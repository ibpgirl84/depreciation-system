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K\Desktop\회계 업무_이은지\★AP\10. 가결산\8. 유무형자산\"/>
    </mc:Choice>
  </mc:AlternateContent>
  <bookViews>
    <workbookView xWindow="0" yWindow="0" windowWidth="28800" windowHeight="11595" tabRatio="759" activeTab="1"/>
  </bookViews>
  <sheets>
    <sheet name="결산전표입력후BSP" sheetId="26" r:id="rId1"/>
    <sheet name="요약" sheetId="1" r:id="rId2"/>
    <sheet name="요약_변동내역" sheetId="28" r:id="rId3"/>
    <sheet name="▶유형자산" sheetId="10" r:id="rId4"/>
    <sheet name="차량" sheetId="2" r:id="rId5"/>
    <sheet name="비품" sheetId="3" r:id="rId6"/>
    <sheet name="시설장치" sheetId="6" r:id="rId7"/>
    <sheet name="▶무형자산" sheetId="11" r:id="rId8"/>
    <sheet name="소프트웨어" sheetId="7" r:id="rId9"/>
    <sheet name="상표권" sheetId="8" r:id="rId10"/>
    <sheet name="기타무형자산" sheetId="9" r:id="rId11"/>
  </sheets>
  <externalReferences>
    <externalReference r:id="rId12"/>
  </externalReferences>
  <definedNames>
    <definedName name="_xlnm._FilterDatabase" localSheetId="10" hidden="1">기타무형자산!$B$2:$K$7</definedName>
    <definedName name="_xlnm._FilterDatabase" localSheetId="5" hidden="1">비품!$B$5:$AF$167</definedName>
    <definedName name="_xlnm._FilterDatabase" localSheetId="9" hidden="1">상표권!$B$2:$S$34</definedName>
    <definedName name="_xlnm._FilterDatabase" localSheetId="8" hidden="1">소프트웨어!$B$5:$AF$27</definedName>
    <definedName name="_xlnm._FilterDatabase" localSheetId="6" hidden="1">시설장치!$B$5:$S$29</definedName>
    <definedName name="_xlnm._FilterDatabase" localSheetId="4" hidden="1">차량!$B$6:$AL$6</definedName>
    <definedName name="_xlnm.Print_Area" localSheetId="10">기타무형자산!$A$1:$AL$11</definedName>
    <definedName name="_xlnm.Print_Area" localSheetId="5">비품!$A$1:$T$176</definedName>
    <definedName name="_xlnm.Print_Area" localSheetId="9">상표권!$A$1:$AL$40</definedName>
    <definedName name="_xlnm.Print_Area" localSheetId="8">소프트웨어!$A$1:$AL$30</definedName>
    <definedName name="_xlnm.Print_Area" localSheetId="1">요약!$B$2:$O$34</definedName>
    <definedName name="_xlnm.Print_Area" localSheetId="4">차량!$A$1:$AG$12</definedName>
    <definedName name="_xlnm.Print_Titles" localSheetId="5">비품!$1:$6</definedName>
    <definedName name="_xlnm.Print_Titles" localSheetId="6">시설장치!$1:$6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40" i="8" l="1"/>
  <c r="AE40" i="8"/>
  <c r="AD40" i="8"/>
  <c r="AC40" i="8"/>
  <c r="AB40" i="8"/>
  <c r="AA40" i="8"/>
  <c r="Z40" i="8"/>
  <c r="Y40" i="8"/>
  <c r="X40" i="8"/>
  <c r="G33" i="1" l="1"/>
  <c r="G32" i="1"/>
  <c r="G31" i="1"/>
  <c r="G28" i="1"/>
  <c r="G27" i="1"/>
  <c r="G26" i="1"/>
  <c r="G21" i="1"/>
  <c r="G20" i="1"/>
  <c r="G19" i="1"/>
  <c r="G14" i="1"/>
  <c r="G13" i="1"/>
  <c r="G9" i="1"/>
  <c r="G8" i="1"/>
  <c r="G7" i="1"/>
  <c r="AE81" i="28"/>
  <c r="AE76" i="28"/>
  <c r="AE68" i="28"/>
  <c r="AE64" i="28"/>
  <c r="AE69" i="28" s="1"/>
  <c r="AE56" i="28"/>
  <c r="AE52" i="28"/>
  <c r="AE57" i="28" s="1"/>
  <c r="AE43" i="28"/>
  <c r="AE41" i="28"/>
  <c r="AE44" i="28" s="1"/>
  <c r="AE42" i="28" s="1"/>
  <c r="AE37" i="28"/>
  <c r="AE28" i="28"/>
  <c r="AE26" i="28"/>
  <c r="AE29" i="28" s="1"/>
  <c r="AE27" i="28" s="1"/>
  <c r="AE22" i="28"/>
  <c r="AE14" i="28"/>
  <c r="AE13" i="28"/>
  <c r="AE11" i="28"/>
  <c r="AE7" i="28"/>
  <c r="AE12" i="28" s="1"/>
  <c r="X38" i="8"/>
  <c r="X37" i="8"/>
  <c r="X36" i="8"/>
  <c r="X35" i="8"/>
  <c r="X30" i="6"/>
  <c r="X29" i="6"/>
  <c r="X28" i="6"/>
  <c r="X27" i="6"/>
  <c r="X168" i="3"/>
  <c r="X167" i="3"/>
  <c r="X166" i="3"/>
  <c r="X165" i="3"/>
  <c r="X164" i="3"/>
  <c r="X163" i="3"/>
  <c r="X162" i="3"/>
  <c r="X161" i="3"/>
  <c r="X160" i="3"/>
  <c r="X159" i="3"/>
  <c r="X158" i="3"/>
  <c r="X157" i="3"/>
  <c r="X156" i="3"/>
  <c r="X155" i="3"/>
  <c r="X154" i="3"/>
  <c r="X153" i="3"/>
  <c r="X152" i="3"/>
  <c r="X151" i="3"/>
  <c r="X150" i="3"/>
  <c r="X149" i="3"/>
  <c r="X148" i="3"/>
  <c r="X147" i="3"/>
  <c r="X146" i="3"/>
  <c r="X145" i="3"/>
  <c r="X144" i="3"/>
  <c r="X143" i="3"/>
  <c r="X142" i="3"/>
  <c r="X141" i="3"/>
  <c r="X140" i="3"/>
  <c r="X139" i="3"/>
  <c r="X138" i="3"/>
  <c r="X137" i="3"/>
  <c r="X136" i="3"/>
  <c r="X135" i="3"/>
  <c r="X134" i="3"/>
  <c r="X133" i="3"/>
  <c r="X132" i="3"/>
  <c r="X131" i="3"/>
  <c r="X130" i="3"/>
  <c r="X129" i="3"/>
  <c r="X128" i="3"/>
  <c r="X127" i="3"/>
  <c r="X126" i="3"/>
  <c r="X125" i="3"/>
  <c r="X124" i="3"/>
  <c r="X123" i="3"/>
  <c r="X122" i="3"/>
  <c r="X121" i="3"/>
  <c r="X120" i="3"/>
  <c r="X119" i="3"/>
  <c r="X118" i="3"/>
  <c r="X117" i="3"/>
  <c r="X116" i="3"/>
  <c r="X115" i="3"/>
  <c r="X114" i="3"/>
  <c r="X113" i="3"/>
  <c r="X112" i="3"/>
  <c r="X111" i="3"/>
  <c r="X110" i="3"/>
  <c r="X109" i="3"/>
  <c r="X108" i="3"/>
  <c r="X107" i="3"/>
  <c r="X106" i="3"/>
  <c r="X105" i="3"/>
  <c r="X104" i="3"/>
  <c r="X103" i="3"/>
  <c r="X102" i="3"/>
  <c r="X101" i="3"/>
  <c r="X100" i="3"/>
  <c r="X99" i="3"/>
  <c r="X98" i="3"/>
  <c r="X97" i="3"/>
  <c r="X96" i="3"/>
  <c r="X95" i="3"/>
  <c r="X94" i="3"/>
  <c r="X93" i="3"/>
  <c r="X92" i="3"/>
  <c r="X91" i="3"/>
  <c r="X90" i="3"/>
  <c r="X89" i="3"/>
  <c r="X88" i="3"/>
  <c r="X87" i="3"/>
  <c r="X86" i="3"/>
  <c r="X85" i="3"/>
  <c r="X84" i="3"/>
  <c r="X83" i="3"/>
  <c r="X82" i="3"/>
  <c r="X81" i="3"/>
  <c r="X80" i="3"/>
  <c r="X79" i="3"/>
  <c r="X78" i="3"/>
  <c r="X77" i="3"/>
  <c r="X76" i="3"/>
  <c r="X75" i="3"/>
  <c r="X74" i="3"/>
  <c r="X73" i="3"/>
  <c r="X72" i="3"/>
  <c r="X71" i="3"/>
  <c r="X70" i="3"/>
  <c r="X69" i="3"/>
  <c r="X68" i="3"/>
  <c r="X67" i="3"/>
  <c r="X66" i="3"/>
  <c r="X65" i="3"/>
  <c r="X64" i="3"/>
  <c r="X63" i="3"/>
  <c r="X62" i="3"/>
  <c r="X61" i="3"/>
  <c r="X60" i="3"/>
  <c r="X59" i="3"/>
  <c r="X58" i="3"/>
  <c r="X57" i="3"/>
  <c r="X56" i="3"/>
  <c r="X55" i="3"/>
  <c r="X54" i="3"/>
  <c r="X53" i="3"/>
  <c r="X52" i="3"/>
  <c r="X51" i="3"/>
  <c r="X50" i="3"/>
  <c r="X49" i="3"/>
  <c r="X48" i="3"/>
  <c r="X47" i="3"/>
  <c r="X46" i="3"/>
  <c r="X45" i="3"/>
  <c r="X44" i="3"/>
  <c r="X43" i="3"/>
  <c r="X42" i="3"/>
  <c r="X41" i="3"/>
  <c r="X40" i="3"/>
  <c r="X39" i="3"/>
  <c r="X38" i="3"/>
  <c r="X37" i="3"/>
  <c r="X36" i="3"/>
  <c r="X35" i="3"/>
  <c r="X34" i="3"/>
  <c r="X33" i="3"/>
  <c r="X32" i="3"/>
  <c r="AD13" i="28"/>
  <c r="AD11" i="28"/>
  <c r="AD14" i="28" s="1"/>
  <c r="AD7" i="28"/>
  <c r="F13" i="1"/>
  <c r="AD12" i="28" l="1"/>
  <c r="C14" i="1" l="1"/>
  <c r="C13" i="1"/>
  <c r="C12" i="1"/>
  <c r="C9" i="1"/>
  <c r="C8" i="1"/>
  <c r="C7" i="1"/>
  <c r="F33" i="1" l="1"/>
  <c r="F32" i="1"/>
  <c r="F31" i="1"/>
  <c r="F28" i="1"/>
  <c r="F27" i="1"/>
  <c r="F20" i="1" s="1"/>
  <c r="F26" i="1"/>
  <c r="F19" i="1" s="1"/>
  <c r="F21" i="1"/>
  <c r="E13" i="1"/>
  <c r="F14" i="1"/>
  <c r="F9" i="1"/>
  <c r="F8" i="1"/>
  <c r="F7" i="1"/>
  <c r="AD76" i="28"/>
  <c r="AD81" i="28" s="1"/>
  <c r="AD68" i="28"/>
  <c r="AD64" i="28"/>
  <c r="AD69" i="28" s="1"/>
  <c r="AD56" i="28"/>
  <c r="AD52" i="28"/>
  <c r="AD57" i="28" s="1"/>
  <c r="AD43" i="28"/>
  <c r="AD41" i="28"/>
  <c r="AD44" i="28" s="1"/>
  <c r="AD37" i="28"/>
  <c r="AD28" i="28"/>
  <c r="AD26" i="28"/>
  <c r="AD29" i="28" s="1"/>
  <c r="AD27" i="28" s="1"/>
  <c r="AD22" i="28"/>
  <c r="W38" i="8"/>
  <c r="W37" i="8"/>
  <c r="W36" i="8"/>
  <c r="W35" i="8"/>
  <c r="W30" i="6"/>
  <c r="W29" i="6"/>
  <c r="W28" i="6"/>
  <c r="W27" i="6"/>
  <c r="W168" i="3"/>
  <c r="W167" i="3"/>
  <c r="W166" i="3"/>
  <c r="W165" i="3"/>
  <c r="W164" i="3"/>
  <c r="W163" i="3"/>
  <c r="W162" i="3"/>
  <c r="W161" i="3"/>
  <c r="W160" i="3"/>
  <c r="W159" i="3"/>
  <c r="W158" i="3"/>
  <c r="W157" i="3"/>
  <c r="W156" i="3"/>
  <c r="W155" i="3"/>
  <c r="W154" i="3"/>
  <c r="W153" i="3"/>
  <c r="W152" i="3"/>
  <c r="W151" i="3"/>
  <c r="W150" i="3"/>
  <c r="W149" i="3"/>
  <c r="W148" i="3"/>
  <c r="W147" i="3"/>
  <c r="W146" i="3"/>
  <c r="W145" i="3"/>
  <c r="W144" i="3"/>
  <c r="W143" i="3"/>
  <c r="W142" i="3"/>
  <c r="W141" i="3"/>
  <c r="W140" i="3"/>
  <c r="W139" i="3"/>
  <c r="W138" i="3"/>
  <c r="W137" i="3"/>
  <c r="W136" i="3"/>
  <c r="W135" i="3"/>
  <c r="W134" i="3"/>
  <c r="W133" i="3"/>
  <c r="W132" i="3"/>
  <c r="W131" i="3"/>
  <c r="W130" i="3"/>
  <c r="W129" i="3"/>
  <c r="W128" i="3"/>
  <c r="W127" i="3"/>
  <c r="W126" i="3"/>
  <c r="W125" i="3"/>
  <c r="W124" i="3"/>
  <c r="W123" i="3"/>
  <c r="W122" i="3"/>
  <c r="W121" i="3"/>
  <c r="W120" i="3"/>
  <c r="W119" i="3"/>
  <c r="W118" i="3"/>
  <c r="W117" i="3"/>
  <c r="W116" i="3"/>
  <c r="W115" i="3"/>
  <c r="W114" i="3"/>
  <c r="W113" i="3"/>
  <c r="W112" i="3"/>
  <c r="W111" i="3"/>
  <c r="W110" i="3"/>
  <c r="W109" i="3"/>
  <c r="W108" i="3"/>
  <c r="W107" i="3"/>
  <c r="W106" i="3"/>
  <c r="W105" i="3"/>
  <c r="W104" i="3"/>
  <c r="W103" i="3"/>
  <c r="W102" i="3"/>
  <c r="W101" i="3"/>
  <c r="W100" i="3"/>
  <c r="W99" i="3"/>
  <c r="W98" i="3"/>
  <c r="W97" i="3"/>
  <c r="W96" i="3"/>
  <c r="W95" i="3"/>
  <c r="W94" i="3"/>
  <c r="W93" i="3"/>
  <c r="W92" i="3"/>
  <c r="W91" i="3"/>
  <c r="W90" i="3"/>
  <c r="W89" i="3"/>
  <c r="W88" i="3"/>
  <c r="W87" i="3"/>
  <c r="W86" i="3"/>
  <c r="W85" i="3"/>
  <c r="W84" i="3"/>
  <c r="W83" i="3"/>
  <c r="W82" i="3"/>
  <c r="W81" i="3"/>
  <c r="W80" i="3"/>
  <c r="W79" i="3"/>
  <c r="W78" i="3"/>
  <c r="W77" i="3"/>
  <c r="W76" i="3"/>
  <c r="W75" i="3"/>
  <c r="W74" i="3"/>
  <c r="W73" i="3"/>
  <c r="W72" i="3"/>
  <c r="W71" i="3"/>
  <c r="W70" i="3"/>
  <c r="W69" i="3"/>
  <c r="W68" i="3"/>
  <c r="W67" i="3"/>
  <c r="W66" i="3"/>
  <c r="W65" i="3"/>
  <c r="W64" i="3"/>
  <c r="W63" i="3"/>
  <c r="W62" i="3"/>
  <c r="W61" i="3"/>
  <c r="W60" i="3"/>
  <c r="W59" i="3"/>
  <c r="W58" i="3"/>
  <c r="W57" i="3"/>
  <c r="W56" i="3"/>
  <c r="W55" i="3"/>
  <c r="W54" i="3"/>
  <c r="W53" i="3"/>
  <c r="W52" i="3"/>
  <c r="W51" i="3"/>
  <c r="W50" i="3"/>
  <c r="W49" i="3"/>
  <c r="W48" i="3"/>
  <c r="W47" i="3"/>
  <c r="W46" i="3"/>
  <c r="W45" i="3"/>
  <c r="W44" i="3"/>
  <c r="W43" i="3"/>
  <c r="W42" i="3"/>
  <c r="W41" i="3"/>
  <c r="W40" i="3"/>
  <c r="W39" i="3"/>
  <c r="W38" i="3"/>
  <c r="W37" i="3"/>
  <c r="W36" i="3"/>
  <c r="W35" i="3"/>
  <c r="W34" i="3"/>
  <c r="W33" i="3"/>
  <c r="W32" i="3"/>
  <c r="E9" i="1"/>
  <c r="E8" i="1"/>
  <c r="E7" i="1"/>
  <c r="D9" i="1"/>
  <c r="D8" i="1"/>
  <c r="D7" i="1"/>
  <c r="E42" i="1" s="1"/>
  <c r="AD42" i="28" l="1"/>
  <c r="E44" i="1" l="1"/>
  <c r="E43" i="1"/>
  <c r="V179" i="3" l="1"/>
  <c r="V168" i="3"/>
  <c r="V167" i="3"/>
  <c r="V166" i="3"/>
  <c r="V165" i="3"/>
  <c r="V164" i="3"/>
  <c r="V163" i="3"/>
  <c r="V162" i="3"/>
  <c r="V161" i="3"/>
  <c r="V160" i="3"/>
  <c r="V159" i="3"/>
  <c r="V158" i="3"/>
  <c r="V157" i="3"/>
  <c r="V156" i="3"/>
  <c r="V155" i="3"/>
  <c r="V154" i="3"/>
  <c r="V153" i="3"/>
  <c r="V152" i="3"/>
  <c r="V151" i="3"/>
  <c r="V150" i="3"/>
  <c r="V149" i="3"/>
  <c r="V148" i="3"/>
  <c r="V147" i="3"/>
  <c r="V146" i="3"/>
  <c r="V145" i="3"/>
  <c r="V144" i="3"/>
  <c r="V143" i="3"/>
  <c r="V142" i="3"/>
  <c r="V141" i="3"/>
  <c r="V140" i="3"/>
  <c r="V139" i="3"/>
  <c r="V138" i="3"/>
  <c r="V137" i="3"/>
  <c r="V136" i="3"/>
  <c r="V135" i="3"/>
  <c r="V134" i="3"/>
  <c r="V133" i="3"/>
  <c r="V132" i="3"/>
  <c r="V131" i="3"/>
  <c r="V130" i="3"/>
  <c r="V129" i="3"/>
  <c r="V128" i="3"/>
  <c r="V127" i="3"/>
  <c r="V126" i="3"/>
  <c r="V125" i="3"/>
  <c r="V124" i="3"/>
  <c r="V123" i="3"/>
  <c r="V122" i="3"/>
  <c r="V121" i="3"/>
  <c r="V120" i="3"/>
  <c r="V119" i="3"/>
  <c r="V118" i="3"/>
  <c r="V117" i="3"/>
  <c r="V116" i="3"/>
  <c r="V115" i="3"/>
  <c r="V114" i="3"/>
  <c r="V113" i="3"/>
  <c r="V112" i="3"/>
  <c r="V111" i="3"/>
  <c r="V110" i="3"/>
  <c r="V109" i="3"/>
  <c r="V108" i="3"/>
  <c r="V107" i="3"/>
  <c r="V106" i="3"/>
  <c r="V105" i="3"/>
  <c r="V104" i="3"/>
  <c r="V103" i="3"/>
  <c r="V102" i="3"/>
  <c r="V101" i="3"/>
  <c r="V100" i="3"/>
  <c r="V99" i="3"/>
  <c r="V98" i="3"/>
  <c r="V97" i="3"/>
  <c r="V96" i="3"/>
  <c r="V95" i="3"/>
  <c r="V94" i="3"/>
  <c r="V93" i="3"/>
  <c r="V92" i="3"/>
  <c r="V91" i="3"/>
  <c r="V90" i="3"/>
  <c r="V89" i="3"/>
  <c r="V88" i="3"/>
  <c r="V87" i="3"/>
  <c r="V86" i="3"/>
  <c r="V85" i="3"/>
  <c r="V84" i="3"/>
  <c r="V83" i="3"/>
  <c r="V82" i="3"/>
  <c r="V81" i="3"/>
  <c r="V80" i="3"/>
  <c r="V79" i="3"/>
  <c r="V78" i="3"/>
  <c r="V77" i="3"/>
  <c r="V76" i="3"/>
  <c r="V75" i="3"/>
  <c r="V74" i="3"/>
  <c r="V73" i="3"/>
  <c r="V72" i="3"/>
  <c r="V71" i="3"/>
  <c r="V70" i="3"/>
  <c r="V69" i="3"/>
  <c r="V68" i="3"/>
  <c r="V67" i="3"/>
  <c r="V66" i="3"/>
  <c r="V65" i="3"/>
  <c r="V64" i="3"/>
  <c r="V63" i="3"/>
  <c r="V62" i="3"/>
  <c r="V61" i="3"/>
  <c r="V60" i="3"/>
  <c r="V59" i="3"/>
  <c r="V58" i="3"/>
  <c r="V57" i="3"/>
  <c r="V56" i="3"/>
  <c r="V55" i="3"/>
  <c r="V54" i="3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40" i="3"/>
  <c r="V39" i="3"/>
  <c r="V38" i="3"/>
  <c r="V37" i="3"/>
  <c r="V36" i="3"/>
  <c r="V35" i="3"/>
  <c r="V34" i="3"/>
  <c r="V33" i="3"/>
  <c r="V32" i="3"/>
  <c r="AM47" i="28" l="1"/>
  <c r="AL47" i="28"/>
  <c r="AK47" i="28"/>
  <c r="AJ47" i="28"/>
  <c r="AI47" i="28"/>
  <c r="AH47" i="28"/>
  <c r="AG47" i="28"/>
  <c r="AF47" i="28"/>
  <c r="AE47" i="28"/>
  <c r="AD47" i="28"/>
  <c r="AC47" i="28"/>
  <c r="AM46" i="28"/>
  <c r="AL46" i="28"/>
  <c r="AK46" i="28"/>
  <c r="AJ46" i="28"/>
  <c r="AI46" i="28"/>
  <c r="AH46" i="28"/>
  <c r="AG46" i="28"/>
  <c r="AF46" i="28"/>
  <c r="AE46" i="28"/>
  <c r="AD46" i="28"/>
  <c r="AC46" i="28"/>
  <c r="AM45" i="28"/>
  <c r="AL45" i="28"/>
  <c r="AK45" i="28"/>
  <c r="AJ45" i="28"/>
  <c r="AI45" i="28"/>
  <c r="AH45" i="28"/>
  <c r="AG45" i="28"/>
  <c r="AF45" i="28"/>
  <c r="AE45" i="28"/>
  <c r="AD45" i="28"/>
  <c r="AC45" i="28"/>
  <c r="AM32" i="28"/>
  <c r="AL32" i="28"/>
  <c r="AK32" i="28"/>
  <c r="AJ32" i="28"/>
  <c r="AI32" i="28"/>
  <c r="AH32" i="28"/>
  <c r="AG32" i="28"/>
  <c r="AF32" i="28"/>
  <c r="AE32" i="28"/>
  <c r="AD32" i="28"/>
  <c r="AC32" i="28"/>
  <c r="AM31" i="28"/>
  <c r="AL31" i="28"/>
  <c r="AK31" i="28"/>
  <c r="AJ31" i="28"/>
  <c r="AI31" i="28"/>
  <c r="AH31" i="28"/>
  <c r="AG31" i="28"/>
  <c r="AF31" i="28"/>
  <c r="AE31" i="28"/>
  <c r="AD31" i="28"/>
  <c r="AM30" i="28"/>
  <c r="AL30" i="28"/>
  <c r="AK30" i="28"/>
  <c r="AJ30" i="28"/>
  <c r="AI30" i="28"/>
  <c r="AH30" i="28"/>
  <c r="AG30" i="28"/>
  <c r="AF30" i="28"/>
  <c r="AE30" i="28"/>
  <c r="AD30" i="28"/>
  <c r="E33" i="1"/>
  <c r="E32" i="1"/>
  <c r="E31" i="1"/>
  <c r="E28" i="1"/>
  <c r="E26" i="1"/>
  <c r="E19" i="1" s="1"/>
  <c r="E21" i="1"/>
  <c r="E14" i="1"/>
  <c r="AC76" i="28" l="1"/>
  <c r="AC81" i="28" s="1"/>
  <c r="AC68" i="28"/>
  <c r="AC64" i="28"/>
  <c r="AC69" i="28" s="1"/>
  <c r="AC56" i="28"/>
  <c r="AC52" i="28"/>
  <c r="AC57" i="28" s="1"/>
  <c r="AC43" i="28"/>
  <c r="AC41" i="28"/>
  <c r="AC44" i="28" s="1"/>
  <c r="AC37" i="28"/>
  <c r="AC28" i="28"/>
  <c r="AC22" i="28"/>
  <c r="AC13" i="28"/>
  <c r="AC11" i="28"/>
  <c r="AC12" i="28" s="1"/>
  <c r="AC7" i="28"/>
  <c r="AC42" i="28" l="1"/>
  <c r="AC14" i="28"/>
  <c r="V38" i="8"/>
  <c r="V37" i="8"/>
  <c r="V36" i="8"/>
  <c r="V35" i="8"/>
  <c r="V30" i="6"/>
  <c r="V29" i="6"/>
  <c r="V28" i="6"/>
  <c r="V27" i="6"/>
  <c r="O57" i="1"/>
  <c r="N57" i="1"/>
  <c r="M57" i="1"/>
  <c r="L57" i="1"/>
  <c r="K57" i="1"/>
  <c r="J57" i="1"/>
  <c r="I57" i="1"/>
  <c r="H57" i="1"/>
  <c r="D57" i="1"/>
  <c r="AB47" i="28" l="1"/>
  <c r="AB46" i="28"/>
  <c r="AB45" i="28"/>
  <c r="AB32" i="28"/>
  <c r="AB31" i="28"/>
  <c r="AB30" i="28"/>
  <c r="D13" i="1"/>
  <c r="AB69" i="28"/>
  <c r="AB65" i="28"/>
  <c r="U38" i="8" l="1"/>
  <c r="U37" i="8"/>
  <c r="Q37" i="8" s="1"/>
  <c r="R37" i="8" s="1"/>
  <c r="S37" i="8" s="1"/>
  <c r="Q38" i="8"/>
  <c r="R38" i="8" s="1"/>
  <c r="S38" i="8" s="1"/>
  <c r="N38" i="8"/>
  <c r="O38" i="8" s="1"/>
  <c r="N37" i="8"/>
  <c r="O37" i="8" s="1"/>
  <c r="B37" i="8"/>
  <c r="B38" i="8" s="1"/>
  <c r="E14" i="26"/>
  <c r="E13" i="26"/>
  <c r="E12" i="26"/>
  <c r="E11" i="26"/>
  <c r="E10" i="26"/>
  <c r="E9" i="26"/>
  <c r="O68" i="1" l="1"/>
  <c r="O67" i="1"/>
  <c r="O66" i="1"/>
  <c r="O63" i="1"/>
  <c r="O62" i="1"/>
  <c r="O61" i="1"/>
  <c r="O56" i="1"/>
  <c r="O55" i="1"/>
  <c r="O54" i="1"/>
  <c r="O49" i="1"/>
  <c r="O48" i="1"/>
  <c r="O47" i="1"/>
  <c r="O44" i="1"/>
  <c r="O43" i="1"/>
  <c r="O42" i="1"/>
  <c r="C60" i="1" l="1"/>
  <c r="C53" i="1"/>
  <c r="AB56" i="28" l="1"/>
  <c r="AB44" i="28"/>
  <c r="AB29" i="28"/>
  <c r="AB41" i="28"/>
  <c r="AB26" i="28"/>
  <c r="AB11" i="28"/>
  <c r="P76" i="28"/>
  <c r="P81" i="28" s="1"/>
  <c r="Q76" i="28" s="1"/>
  <c r="Q81" i="28" s="1"/>
  <c r="R76" i="28" s="1"/>
  <c r="R81" i="28" s="1"/>
  <c r="S76" i="28" s="1"/>
  <c r="S81" i="28" s="1"/>
  <c r="T76" i="28" s="1"/>
  <c r="T81" i="28" s="1"/>
  <c r="U76" i="28" s="1"/>
  <c r="U81" i="28" s="1"/>
  <c r="V76" i="28" s="1"/>
  <c r="V81" i="28" s="1"/>
  <c r="W76" i="28" s="1"/>
  <c r="W81" i="28" s="1"/>
  <c r="X76" i="28" s="1"/>
  <c r="X81" i="28" s="1"/>
  <c r="Y76" i="28" s="1"/>
  <c r="Y81" i="28" s="1"/>
  <c r="Z76" i="28" s="1"/>
  <c r="Z81" i="28" s="1"/>
  <c r="AA76" i="28" s="1"/>
  <c r="AA81" i="28" s="1"/>
  <c r="AB76" i="28" s="1"/>
  <c r="AB81" i="28" s="1"/>
  <c r="AB64" i="28"/>
  <c r="AB52" i="28"/>
  <c r="U45" i="28"/>
  <c r="AA45" i="28"/>
  <c r="Z45" i="28"/>
  <c r="W45" i="28"/>
  <c r="V45" i="28"/>
  <c r="T45" i="28"/>
  <c r="Q45" i="28"/>
  <c r="S30" i="28"/>
  <c r="Y30" i="28"/>
  <c r="AA30" i="28"/>
  <c r="Z30" i="28"/>
  <c r="V30" i="28"/>
  <c r="U30" i="28"/>
  <c r="T30" i="28"/>
  <c r="L83" i="28"/>
  <c r="K83" i="28"/>
  <c r="J83" i="28"/>
  <c r="I83" i="28"/>
  <c r="H83" i="28"/>
  <c r="G83" i="28"/>
  <c r="F83" i="28"/>
  <c r="E83" i="28"/>
  <c r="D83" i="28"/>
  <c r="L82" i="28"/>
  <c r="K82" i="28"/>
  <c r="J82" i="28"/>
  <c r="I82" i="28"/>
  <c r="H82" i="28"/>
  <c r="G82" i="28"/>
  <c r="F82" i="28"/>
  <c r="E82" i="28"/>
  <c r="D82" i="28"/>
  <c r="P75" i="28"/>
  <c r="Q75" i="28" s="1"/>
  <c r="R75" i="28" s="1"/>
  <c r="S75" i="28" s="1"/>
  <c r="T75" i="28" s="1"/>
  <c r="U75" i="28" s="1"/>
  <c r="V75" i="28" s="1"/>
  <c r="W75" i="28" s="1"/>
  <c r="X75" i="28" s="1"/>
  <c r="Y75" i="28" s="1"/>
  <c r="Z75" i="28" s="1"/>
  <c r="AA75" i="28" s="1"/>
  <c r="AB75" i="28" s="1"/>
  <c r="AC75" i="28" s="1"/>
  <c r="AD75" i="28" s="1"/>
  <c r="AE75" i="28" s="1"/>
  <c r="AF75" i="28" s="1"/>
  <c r="AG75" i="28" s="1"/>
  <c r="AH75" i="28" s="1"/>
  <c r="AI75" i="28" s="1"/>
  <c r="AJ75" i="28" s="1"/>
  <c r="AK75" i="28" s="1"/>
  <c r="AL75" i="28" s="1"/>
  <c r="AM75" i="28" s="1"/>
  <c r="L71" i="28"/>
  <c r="K71" i="28"/>
  <c r="J71" i="28"/>
  <c r="I71" i="28"/>
  <c r="H71" i="28"/>
  <c r="G71" i="28"/>
  <c r="F71" i="28"/>
  <c r="E71" i="28"/>
  <c r="D71" i="28"/>
  <c r="L70" i="28"/>
  <c r="K70" i="28"/>
  <c r="J70" i="28"/>
  <c r="I70" i="28"/>
  <c r="H70" i="28"/>
  <c r="G70" i="28"/>
  <c r="F70" i="28"/>
  <c r="E70" i="28"/>
  <c r="D70" i="28"/>
  <c r="Q63" i="28"/>
  <c r="R63" i="28" s="1"/>
  <c r="S63" i="28" s="1"/>
  <c r="T63" i="28" s="1"/>
  <c r="U63" i="28" s="1"/>
  <c r="V63" i="28" s="1"/>
  <c r="W63" i="28" s="1"/>
  <c r="X63" i="28" s="1"/>
  <c r="Y63" i="28" s="1"/>
  <c r="Z63" i="28" s="1"/>
  <c r="AA63" i="28" s="1"/>
  <c r="AB63" i="28" s="1"/>
  <c r="AC63" i="28" s="1"/>
  <c r="AD63" i="28" s="1"/>
  <c r="AE63" i="28" s="1"/>
  <c r="AF63" i="28" s="1"/>
  <c r="AG63" i="28" s="1"/>
  <c r="AH63" i="28" s="1"/>
  <c r="AI63" i="28" s="1"/>
  <c r="AJ63" i="28" s="1"/>
  <c r="AK63" i="28" s="1"/>
  <c r="AL63" i="28" s="1"/>
  <c r="AM63" i="28" s="1"/>
  <c r="P63" i="28"/>
  <c r="L59" i="28"/>
  <c r="K59" i="28"/>
  <c r="J59" i="28"/>
  <c r="I59" i="28"/>
  <c r="H59" i="28"/>
  <c r="G59" i="28"/>
  <c r="F59" i="28"/>
  <c r="E59" i="28"/>
  <c r="D59" i="28"/>
  <c r="L58" i="28"/>
  <c r="K58" i="28"/>
  <c r="J58" i="28"/>
  <c r="I58" i="28"/>
  <c r="H58" i="28"/>
  <c r="G58" i="28"/>
  <c r="F58" i="28"/>
  <c r="E58" i="28"/>
  <c r="D58" i="28"/>
  <c r="Q51" i="28"/>
  <c r="R51" i="28" s="1"/>
  <c r="S51" i="28" s="1"/>
  <c r="T51" i="28" s="1"/>
  <c r="U51" i="28" s="1"/>
  <c r="V51" i="28" s="1"/>
  <c r="W51" i="28" s="1"/>
  <c r="X51" i="28" s="1"/>
  <c r="Y51" i="28" s="1"/>
  <c r="Z51" i="28" s="1"/>
  <c r="AA51" i="28" s="1"/>
  <c r="AB51" i="28" s="1"/>
  <c r="AC51" i="28" s="1"/>
  <c r="AD51" i="28" s="1"/>
  <c r="AE51" i="28" s="1"/>
  <c r="AF51" i="28" s="1"/>
  <c r="AG51" i="28" s="1"/>
  <c r="AH51" i="28" s="1"/>
  <c r="AI51" i="28" s="1"/>
  <c r="AJ51" i="28" s="1"/>
  <c r="AK51" i="28" s="1"/>
  <c r="AL51" i="28" s="1"/>
  <c r="AM51" i="28" s="1"/>
  <c r="P51" i="28"/>
  <c r="Y45" i="28"/>
  <c r="X45" i="28"/>
  <c r="S45" i="28"/>
  <c r="R45" i="28"/>
  <c r="Q36" i="28"/>
  <c r="R36" i="28" s="1"/>
  <c r="S36" i="28" s="1"/>
  <c r="T36" i="28" s="1"/>
  <c r="U36" i="28" s="1"/>
  <c r="V36" i="28" s="1"/>
  <c r="W36" i="28" s="1"/>
  <c r="X36" i="28" s="1"/>
  <c r="Y36" i="28" s="1"/>
  <c r="Z36" i="28" s="1"/>
  <c r="AA36" i="28" s="1"/>
  <c r="AB36" i="28" s="1"/>
  <c r="AC36" i="28" s="1"/>
  <c r="AD36" i="28" s="1"/>
  <c r="AE36" i="28" s="1"/>
  <c r="AF36" i="28" s="1"/>
  <c r="AG36" i="28" s="1"/>
  <c r="AH36" i="28" s="1"/>
  <c r="AI36" i="28" s="1"/>
  <c r="AJ36" i="28" s="1"/>
  <c r="AK36" i="28" s="1"/>
  <c r="AL36" i="28" s="1"/>
  <c r="AM36" i="28" s="1"/>
  <c r="P36" i="28"/>
  <c r="Q30" i="28"/>
  <c r="X30" i="28"/>
  <c r="W30" i="28"/>
  <c r="R30" i="28"/>
  <c r="P30" i="28"/>
  <c r="N22" i="28"/>
  <c r="M22" i="28"/>
  <c r="L22" i="28"/>
  <c r="K22" i="28"/>
  <c r="J22" i="28"/>
  <c r="I22" i="28"/>
  <c r="H22" i="28"/>
  <c r="G22" i="28"/>
  <c r="F22" i="28"/>
  <c r="E22" i="28"/>
  <c r="D22" i="28"/>
  <c r="P21" i="28"/>
  <c r="Q21" i="28" s="1"/>
  <c r="R21" i="28" s="1"/>
  <c r="S21" i="28" s="1"/>
  <c r="T21" i="28" s="1"/>
  <c r="U21" i="28" s="1"/>
  <c r="V21" i="28" s="1"/>
  <c r="W21" i="28" s="1"/>
  <c r="X21" i="28" s="1"/>
  <c r="Y21" i="28" s="1"/>
  <c r="Z21" i="28" s="1"/>
  <c r="AA21" i="28" s="1"/>
  <c r="AB21" i="28" s="1"/>
  <c r="AC21" i="28" s="1"/>
  <c r="AD21" i="28" s="1"/>
  <c r="AE21" i="28" s="1"/>
  <c r="AF21" i="28" s="1"/>
  <c r="AG21" i="28" s="1"/>
  <c r="AH21" i="28" s="1"/>
  <c r="AI21" i="28" s="1"/>
  <c r="AJ21" i="28" s="1"/>
  <c r="AK21" i="28" s="1"/>
  <c r="AL21" i="28" s="1"/>
  <c r="AM21" i="28" s="1"/>
  <c r="L15" i="28"/>
  <c r="K15" i="28"/>
  <c r="J15" i="28"/>
  <c r="I15" i="28"/>
  <c r="H15" i="28"/>
  <c r="G15" i="28"/>
  <c r="F15" i="28"/>
  <c r="E15" i="28"/>
  <c r="D13" i="28"/>
  <c r="E13" i="28" s="1"/>
  <c r="D11" i="28"/>
  <c r="D14" i="28" s="1"/>
  <c r="D7" i="28"/>
  <c r="Q6" i="28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AG6" i="28" s="1"/>
  <c r="AH6" i="28" s="1"/>
  <c r="AI6" i="28" s="1"/>
  <c r="AJ6" i="28" s="1"/>
  <c r="AK6" i="28" s="1"/>
  <c r="AL6" i="28" s="1"/>
  <c r="AM6" i="28" s="1"/>
  <c r="P6" i="28"/>
  <c r="D12" i="28" l="1"/>
  <c r="D15" i="28"/>
  <c r="AB57" i="28"/>
  <c r="P45" i="28"/>
  <c r="P47" i="28"/>
  <c r="Q32" i="28"/>
  <c r="F13" i="28"/>
  <c r="E17" i="28"/>
  <c r="E7" i="28"/>
  <c r="E12" i="28" s="1"/>
  <c r="D16" i="28"/>
  <c r="E14" i="28"/>
  <c r="D17" i="28"/>
  <c r="P32" i="28"/>
  <c r="R47" i="28" l="1"/>
  <c r="Q47" i="28"/>
  <c r="G13" i="28"/>
  <c r="F17" i="28"/>
  <c r="E16" i="28"/>
  <c r="F14" i="28"/>
  <c r="G7" i="28" s="1"/>
  <c r="G12" i="28" s="1"/>
  <c r="P46" i="28"/>
  <c r="R32" i="28"/>
  <c r="P31" i="28"/>
  <c r="F7" i="28"/>
  <c r="F12" i="28" s="1"/>
  <c r="S47" i="28" l="1"/>
  <c r="Q46" i="28"/>
  <c r="G14" i="28"/>
  <c r="H7" i="28" s="1"/>
  <c r="H12" i="28" s="1"/>
  <c r="F16" i="28"/>
  <c r="Q31" i="28"/>
  <c r="H13" i="28"/>
  <c r="G17" i="28"/>
  <c r="S32" i="28" l="1"/>
  <c r="R31" i="28"/>
  <c r="R46" i="28"/>
  <c r="H17" i="28"/>
  <c r="I13" i="28"/>
  <c r="H14" i="28"/>
  <c r="I7" i="28" s="1"/>
  <c r="I12" i="28" s="1"/>
  <c r="G16" i="28"/>
  <c r="T47" i="28" l="1"/>
  <c r="T32" i="28"/>
  <c r="S46" i="28"/>
  <c r="H16" i="28"/>
  <c r="I14" i="28"/>
  <c r="J7" i="28" s="1"/>
  <c r="J12" i="28" s="1"/>
  <c r="U47" i="28"/>
  <c r="S31" i="28"/>
  <c r="I17" i="28"/>
  <c r="J13" i="28"/>
  <c r="V47" i="28" l="1"/>
  <c r="U32" i="28"/>
  <c r="K13" i="28"/>
  <c r="J17" i="28"/>
  <c r="T31" i="28"/>
  <c r="I16" i="28"/>
  <c r="J14" i="28"/>
  <c r="K7" i="28" s="1"/>
  <c r="K12" i="28" s="1"/>
  <c r="T46" i="28"/>
  <c r="W47" i="28" l="1"/>
  <c r="W32" i="28"/>
  <c r="V32" i="28"/>
  <c r="U46" i="28"/>
  <c r="U31" i="28"/>
  <c r="L13" i="28"/>
  <c r="K17" i="28"/>
  <c r="J16" i="28"/>
  <c r="K14" i="28"/>
  <c r="X32" i="28" l="1"/>
  <c r="M13" i="28"/>
  <c r="L17" i="28"/>
  <c r="V46" i="28"/>
  <c r="K16" i="28"/>
  <c r="L14" i="28"/>
  <c r="L7" i="28"/>
  <c r="L12" i="28" s="1"/>
  <c r="V31" i="28"/>
  <c r="X47" i="28" l="1"/>
  <c r="N13" i="28"/>
  <c r="Y47" i="28"/>
  <c r="W31" i="28"/>
  <c r="Y32" i="28"/>
  <c r="M14" i="28"/>
  <c r="N14" i="28" s="1"/>
  <c r="O14" i="28" s="1"/>
  <c r="AB14" i="28" s="1"/>
  <c r="L16" i="28"/>
  <c r="W46" i="28"/>
  <c r="M7" i="28"/>
  <c r="M12" i="28" s="1"/>
  <c r="Z47" i="28" l="1"/>
  <c r="Z32" i="28"/>
  <c r="X46" i="28"/>
  <c r="N7" i="28"/>
  <c r="N12" i="28" s="1"/>
  <c r="X31" i="28"/>
  <c r="O7" i="28"/>
  <c r="O12" i="28" s="1"/>
  <c r="O13" i="28"/>
  <c r="AB28" i="28" l="1"/>
  <c r="Y31" i="28"/>
  <c r="Y46" i="28"/>
  <c r="AA47" i="28"/>
  <c r="AB43" i="28"/>
  <c r="AA32" i="28" l="1"/>
  <c r="Z46" i="28"/>
  <c r="Z31" i="28"/>
  <c r="AA31" i="28" l="1"/>
  <c r="AB22" i="28"/>
  <c r="AA46" i="28"/>
  <c r="AB37" i="28"/>
  <c r="AB42" i="28" l="1"/>
  <c r="AB27" i="28"/>
  <c r="AB13" i="28" l="1"/>
  <c r="AB7" i="28"/>
  <c r="AB12" i="28" s="1"/>
  <c r="P27" i="7" l="1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Q7" i="2"/>
  <c r="P7" i="2"/>
  <c r="N68" i="1" l="1"/>
  <c r="N67" i="1"/>
  <c r="N66" i="1"/>
  <c r="N63" i="1"/>
  <c r="N62" i="1"/>
  <c r="N61" i="1"/>
  <c r="N56" i="1"/>
  <c r="N55" i="1"/>
  <c r="N54" i="1"/>
  <c r="N49" i="1"/>
  <c r="N48" i="1"/>
  <c r="N47" i="1"/>
  <c r="N44" i="1"/>
  <c r="N43" i="1"/>
  <c r="N42" i="1"/>
  <c r="D29" i="26"/>
  <c r="D28" i="26"/>
  <c r="D27" i="26"/>
  <c r="D26" i="26"/>
  <c r="D25" i="26"/>
  <c r="D24" i="26"/>
  <c r="D23" i="26"/>
  <c r="M68" i="1" l="1"/>
  <c r="M67" i="1"/>
  <c r="M66" i="1"/>
  <c r="M63" i="1"/>
  <c r="M61" i="1"/>
  <c r="M56" i="1"/>
  <c r="M49" i="1"/>
  <c r="M48" i="1"/>
  <c r="M47" i="1"/>
  <c r="M44" i="1"/>
  <c r="M43" i="1"/>
  <c r="M42" i="1"/>
  <c r="L68" i="1"/>
  <c r="L67" i="1"/>
  <c r="L66" i="1"/>
  <c r="L63" i="1"/>
  <c r="L62" i="1"/>
  <c r="L61" i="1"/>
  <c r="L56" i="1"/>
  <c r="L55" i="1"/>
  <c r="L49" i="1"/>
  <c r="L48" i="1"/>
  <c r="L47" i="1"/>
  <c r="L44" i="1"/>
  <c r="L43" i="1"/>
  <c r="L42" i="1"/>
  <c r="J48" i="1" l="1"/>
  <c r="I62" i="1" l="1"/>
  <c r="H48" i="1" l="1"/>
  <c r="E34" i="1" l="1"/>
  <c r="E15" i="1"/>
  <c r="E10" i="1"/>
  <c r="N36" i="8" l="1"/>
  <c r="N35" i="8"/>
  <c r="B36" i="8"/>
  <c r="O35" i="8" l="1"/>
  <c r="U35" i="8" s="1"/>
  <c r="Q35" i="8" s="1"/>
  <c r="R35" i="8" s="1"/>
  <c r="O36" i="8"/>
  <c r="U36" i="8" l="1"/>
  <c r="Q36" i="8" s="1"/>
  <c r="R36" i="8" s="1"/>
  <c r="S36" i="8" s="1"/>
  <c r="S35" i="8"/>
  <c r="D14" i="1"/>
  <c r="E19" i="26"/>
  <c r="F19" i="26"/>
  <c r="G19" i="26"/>
  <c r="H19" i="26"/>
  <c r="I19" i="26"/>
  <c r="J19" i="26"/>
  <c r="K19" i="26"/>
  <c r="L19" i="26"/>
  <c r="M19" i="26"/>
  <c r="N19" i="26"/>
  <c r="O19" i="26"/>
  <c r="P19" i="26"/>
  <c r="N30" i="6" l="1"/>
  <c r="O30" i="6" s="1"/>
  <c r="U30" i="6" l="1"/>
  <c r="Q30" i="6" s="1"/>
  <c r="R30" i="6" l="1"/>
  <c r="S30" i="6" s="1"/>
  <c r="N168" i="3"/>
  <c r="O168" i="3" s="1"/>
  <c r="U168" i="3" l="1"/>
  <c r="O34" i="1"/>
  <c r="O69" i="1" s="1"/>
  <c r="Q168" i="3" l="1"/>
  <c r="O15" i="1"/>
  <c r="O50" i="1" s="1"/>
  <c r="R168" i="3" l="1"/>
  <c r="S168" i="3" s="1"/>
  <c r="N34" i="1" l="1"/>
  <c r="N69" i="1" s="1"/>
  <c r="K68" i="1" l="1"/>
  <c r="K67" i="1"/>
  <c r="K61" i="1"/>
  <c r="K49" i="1"/>
  <c r="K48" i="1"/>
  <c r="K47" i="1"/>
  <c r="K42" i="1"/>
  <c r="L15" i="1"/>
  <c r="L50" i="1" s="1"/>
  <c r="L34" i="1" l="1"/>
  <c r="L69" i="1" s="1"/>
  <c r="K34" i="1"/>
  <c r="K69" i="1" s="1"/>
  <c r="K66" i="1"/>
  <c r="M34" i="1"/>
  <c r="M69" i="1" s="1"/>
  <c r="K15" i="1" l="1"/>
  <c r="K50" i="1" s="1"/>
  <c r="I56" i="1" l="1"/>
  <c r="I49" i="1"/>
  <c r="I44" i="1"/>
  <c r="I42" i="1"/>
  <c r="H49" i="1" l="1"/>
  <c r="H44" i="1" l="1"/>
  <c r="H43" i="1"/>
  <c r="H42" i="1"/>
  <c r="H10" i="1" l="1"/>
  <c r="H45" i="1" s="1"/>
  <c r="G49" i="1" l="1"/>
  <c r="E48" i="1" l="1"/>
  <c r="E47" i="1"/>
  <c r="D47" i="1"/>
  <c r="B8" i="7" l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6" i="6"/>
  <c r="B27" i="6" s="1"/>
  <c r="B28" i="6" s="1"/>
  <c r="B29" i="6" s="1"/>
  <c r="B8" i="3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V10" i="9" l="1"/>
  <c r="E68" i="1" s="1"/>
  <c r="W10" i="9"/>
  <c r="F68" i="1" s="1"/>
  <c r="X10" i="9"/>
  <c r="G68" i="1" s="1"/>
  <c r="Y10" i="9"/>
  <c r="H68" i="1" s="1"/>
  <c r="Z10" i="9"/>
  <c r="I68" i="1" s="1"/>
  <c r="AA10" i="9"/>
  <c r="J68" i="1" s="1"/>
  <c r="AB10" i="9"/>
  <c r="AC10" i="9"/>
  <c r="AD10" i="9"/>
  <c r="AE10" i="9"/>
  <c r="AF10" i="9"/>
  <c r="Q10" i="7"/>
  <c r="Q11" i="7"/>
  <c r="Q13" i="7"/>
  <c r="Q16" i="7"/>
  <c r="Q18" i="7"/>
  <c r="Q19" i="7"/>
  <c r="Q21" i="7"/>
  <c r="Q7" i="7"/>
  <c r="Q8" i="7"/>
  <c r="Q9" i="7"/>
  <c r="Q12" i="7"/>
  <c r="Q14" i="7"/>
  <c r="Q15" i="7"/>
  <c r="Q17" i="7"/>
  <c r="Q20" i="7"/>
  <c r="AB30" i="7"/>
  <c r="AC30" i="7"/>
  <c r="AD30" i="7"/>
  <c r="AE30" i="7"/>
  <c r="AF30" i="7"/>
  <c r="AB12" i="2"/>
  <c r="AC12" i="2"/>
  <c r="AD12" i="2"/>
  <c r="AE12" i="2"/>
  <c r="AF12" i="2"/>
  <c r="N7" i="8" l="1"/>
  <c r="N7" i="9" l="1"/>
  <c r="N8" i="8" l="1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7" i="7" l="1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3" i="6"/>
  <c r="N24" i="6"/>
  <c r="N25" i="6"/>
  <c r="N26" i="6"/>
  <c r="O26" i="6" s="1"/>
  <c r="N27" i="6"/>
  <c r="N28" i="6"/>
  <c r="N29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7" i="3" l="1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O27" i="6" l="1"/>
  <c r="O28" i="6"/>
  <c r="O29" i="6"/>
  <c r="U29" i="6" l="1"/>
  <c r="U28" i="6"/>
  <c r="U27" i="6"/>
  <c r="K92" i="3"/>
  <c r="K56" i="3"/>
  <c r="Q27" i="6" l="1"/>
  <c r="Q28" i="6"/>
  <c r="Q29" i="6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92" i="3"/>
  <c r="O56" i="3"/>
  <c r="Q64" i="3" l="1"/>
  <c r="U64" i="3"/>
  <c r="Q101" i="3"/>
  <c r="U101" i="3"/>
  <c r="U113" i="3"/>
  <c r="U125" i="3"/>
  <c r="U131" i="3"/>
  <c r="U143" i="3"/>
  <c r="U149" i="3"/>
  <c r="U155" i="3"/>
  <c r="U161" i="3"/>
  <c r="U167" i="3"/>
  <c r="U59" i="3"/>
  <c r="U65" i="3"/>
  <c r="Q65" i="3" s="1"/>
  <c r="R65" i="3" s="1"/>
  <c r="S65" i="3" s="1"/>
  <c r="U71" i="3"/>
  <c r="U77" i="3"/>
  <c r="U83" i="3"/>
  <c r="U89" i="3"/>
  <c r="U96" i="3"/>
  <c r="U102" i="3"/>
  <c r="U108" i="3"/>
  <c r="U114" i="3"/>
  <c r="U120" i="3"/>
  <c r="U126" i="3"/>
  <c r="U132" i="3"/>
  <c r="Q132" i="3" s="1"/>
  <c r="U138" i="3"/>
  <c r="U144" i="3"/>
  <c r="U150" i="3"/>
  <c r="U156" i="3"/>
  <c r="U162" i="3"/>
  <c r="U58" i="3"/>
  <c r="U82" i="3"/>
  <c r="U107" i="3"/>
  <c r="U119" i="3"/>
  <c r="U137" i="3"/>
  <c r="U60" i="3"/>
  <c r="U66" i="3"/>
  <c r="U72" i="3"/>
  <c r="U78" i="3"/>
  <c r="U84" i="3"/>
  <c r="U90" i="3"/>
  <c r="U97" i="3"/>
  <c r="U103" i="3"/>
  <c r="U109" i="3"/>
  <c r="U115" i="3"/>
  <c r="U121" i="3"/>
  <c r="U127" i="3"/>
  <c r="U133" i="3"/>
  <c r="U139" i="3"/>
  <c r="U145" i="3"/>
  <c r="U151" i="3"/>
  <c r="U157" i="3"/>
  <c r="U163" i="3"/>
  <c r="U76" i="3"/>
  <c r="U88" i="3"/>
  <c r="U56" i="3"/>
  <c r="Q56" i="3" s="1"/>
  <c r="U67" i="3"/>
  <c r="U85" i="3"/>
  <c r="U110" i="3"/>
  <c r="U134" i="3"/>
  <c r="U140" i="3"/>
  <c r="U146" i="3"/>
  <c r="Q146" i="3" s="1"/>
  <c r="U152" i="3"/>
  <c r="U158" i="3"/>
  <c r="U92" i="3"/>
  <c r="U62" i="3"/>
  <c r="Q62" i="3" s="1"/>
  <c r="U68" i="3"/>
  <c r="U74" i="3"/>
  <c r="U80" i="3"/>
  <c r="U86" i="3"/>
  <c r="U93" i="3"/>
  <c r="U99" i="3"/>
  <c r="U105" i="3"/>
  <c r="U111" i="3"/>
  <c r="U117" i="3"/>
  <c r="U123" i="3"/>
  <c r="U129" i="3"/>
  <c r="U135" i="3"/>
  <c r="U141" i="3"/>
  <c r="U147" i="3"/>
  <c r="U153" i="3"/>
  <c r="U159" i="3"/>
  <c r="U165" i="3"/>
  <c r="U70" i="3"/>
  <c r="U95" i="3"/>
  <c r="U61" i="3"/>
  <c r="U73" i="3"/>
  <c r="U79" i="3"/>
  <c r="U91" i="3"/>
  <c r="U98" i="3"/>
  <c r="U104" i="3"/>
  <c r="U116" i="3"/>
  <c r="U122" i="3"/>
  <c r="U128" i="3"/>
  <c r="U164" i="3"/>
  <c r="U57" i="3"/>
  <c r="U63" i="3"/>
  <c r="U69" i="3"/>
  <c r="U75" i="3"/>
  <c r="U81" i="3"/>
  <c r="U87" i="3"/>
  <c r="U94" i="3"/>
  <c r="U100" i="3"/>
  <c r="U106" i="3"/>
  <c r="U112" i="3"/>
  <c r="U118" i="3"/>
  <c r="U124" i="3"/>
  <c r="Q124" i="3" s="1"/>
  <c r="U130" i="3"/>
  <c r="U136" i="3"/>
  <c r="U142" i="3"/>
  <c r="U148" i="3"/>
  <c r="U154" i="3"/>
  <c r="U160" i="3"/>
  <c r="U166" i="3"/>
  <c r="R29" i="6"/>
  <c r="S29" i="6" s="1"/>
  <c r="R27" i="6"/>
  <c r="S27" i="6" s="1"/>
  <c r="R28" i="6"/>
  <c r="S28" i="6" s="1"/>
  <c r="Q128" i="3"/>
  <c r="Q97" i="3"/>
  <c r="R146" i="3" l="1"/>
  <c r="S146" i="3" s="1"/>
  <c r="R132" i="3"/>
  <c r="S132" i="3" s="1"/>
  <c r="R56" i="3"/>
  <c r="S56" i="3" s="1"/>
  <c r="R97" i="3"/>
  <c r="S97" i="3" s="1"/>
  <c r="R124" i="3"/>
  <c r="S124" i="3" s="1"/>
  <c r="R101" i="3"/>
  <c r="S101" i="3" s="1"/>
  <c r="R62" i="3"/>
  <c r="S62" i="3" s="1"/>
  <c r="R64" i="3"/>
  <c r="S64" i="3" s="1"/>
  <c r="R128" i="3"/>
  <c r="S128" i="3" s="1"/>
  <c r="Q87" i="3"/>
  <c r="Q138" i="3"/>
  <c r="Q99" i="3"/>
  <c r="Q58" i="3"/>
  <c r="Q61" i="3"/>
  <c r="Q154" i="3"/>
  <c r="Q165" i="3"/>
  <c r="Q93" i="3"/>
  <c r="Q103" i="3"/>
  <c r="Q161" i="3"/>
  <c r="Q88" i="3"/>
  <c r="Q151" i="3"/>
  <c r="Q143" i="3"/>
  <c r="Q107" i="3"/>
  <c r="Q70" i="3"/>
  <c r="Q130" i="3"/>
  <c r="Q94" i="3"/>
  <c r="Q57" i="3"/>
  <c r="Q85" i="3"/>
  <c r="Q109" i="3"/>
  <c r="Q156" i="3"/>
  <c r="Q166" i="3"/>
  <c r="Q83" i="3"/>
  <c r="Q141" i="3"/>
  <c r="Q105" i="3"/>
  <c r="Q68" i="3"/>
  <c r="Q140" i="3"/>
  <c r="Q67" i="3"/>
  <c r="Q127" i="3"/>
  <c r="Q144" i="3"/>
  <c r="Q73" i="3"/>
  <c r="Q160" i="3"/>
  <c r="Q115" i="3"/>
  <c r="Q131" i="3"/>
  <c r="Q81" i="3"/>
  <c r="Q134" i="3"/>
  <c r="Q84" i="3"/>
  <c r="Q92" i="3"/>
  <c r="Q163" i="3"/>
  <c r="Q125" i="3"/>
  <c r="Q112" i="3"/>
  <c r="Q75" i="3"/>
  <c r="Q122" i="3"/>
  <c r="Q72" i="3"/>
  <c r="Q150" i="3"/>
  <c r="Q123" i="3"/>
  <c r="Q104" i="3"/>
  <c r="Q157" i="3"/>
  <c r="Q90" i="3"/>
  <c r="Q96" i="3"/>
  <c r="Q155" i="3"/>
  <c r="Q119" i="3"/>
  <c r="Q82" i="3"/>
  <c r="Q142" i="3"/>
  <c r="Q106" i="3"/>
  <c r="Q69" i="3"/>
  <c r="Q110" i="3"/>
  <c r="Q133" i="3"/>
  <c r="Q60" i="3"/>
  <c r="Q89" i="3"/>
  <c r="Q126" i="3"/>
  <c r="Q153" i="3"/>
  <c r="Q117" i="3"/>
  <c r="Q80" i="3"/>
  <c r="Q158" i="3"/>
  <c r="Q91" i="3"/>
  <c r="Q145" i="3"/>
  <c r="Q78" i="3"/>
  <c r="Q77" i="3"/>
  <c r="Q137" i="3"/>
  <c r="Q135" i="3"/>
  <c r="Q167" i="3"/>
  <c r="Q95" i="3"/>
  <c r="Q118" i="3"/>
  <c r="Q120" i="3"/>
  <c r="Q129" i="3"/>
  <c r="Q116" i="3"/>
  <c r="Q114" i="3"/>
  <c r="Q148" i="3"/>
  <c r="Q108" i="3"/>
  <c r="Q159" i="3"/>
  <c r="Q86" i="3"/>
  <c r="Q164" i="3"/>
  <c r="Q149" i="3"/>
  <c r="Q113" i="3"/>
  <c r="Q76" i="3"/>
  <c r="Q136" i="3"/>
  <c r="Q100" i="3"/>
  <c r="Q63" i="3"/>
  <c r="Q98" i="3"/>
  <c r="Q121" i="3"/>
  <c r="Q162" i="3"/>
  <c r="Q71" i="3"/>
  <c r="Q102" i="3"/>
  <c r="Q147" i="3"/>
  <c r="Q111" i="3"/>
  <c r="Q74" i="3"/>
  <c r="Q152" i="3"/>
  <c r="Q79" i="3"/>
  <c r="Q139" i="3"/>
  <c r="Q66" i="3"/>
  <c r="Q59" i="3"/>
  <c r="P32" i="6"/>
  <c r="C21" i="1" s="1"/>
  <c r="R116" i="3" l="1"/>
  <c r="S116" i="3" s="1"/>
  <c r="R104" i="3"/>
  <c r="S104" i="3" s="1"/>
  <c r="R94" i="3"/>
  <c r="S94" i="3" s="1"/>
  <c r="R88" i="3"/>
  <c r="S88" i="3" s="1"/>
  <c r="R86" i="3"/>
  <c r="S86" i="3" s="1"/>
  <c r="R129" i="3"/>
  <c r="S129" i="3" s="1"/>
  <c r="R137" i="3"/>
  <c r="S137" i="3" s="1"/>
  <c r="R80" i="3"/>
  <c r="S80" i="3" s="1"/>
  <c r="R133" i="3"/>
  <c r="S133" i="3" s="1"/>
  <c r="R119" i="3"/>
  <c r="S119" i="3" s="1"/>
  <c r="R123" i="3"/>
  <c r="S123" i="3" s="1"/>
  <c r="R125" i="3"/>
  <c r="S125" i="3" s="1"/>
  <c r="R131" i="3"/>
  <c r="S131" i="3" s="1"/>
  <c r="R67" i="3"/>
  <c r="S67" i="3" s="1"/>
  <c r="R166" i="3"/>
  <c r="S166" i="3" s="1"/>
  <c r="R130" i="3"/>
  <c r="S130" i="3" s="1"/>
  <c r="R161" i="3"/>
  <c r="S161" i="3" s="1"/>
  <c r="R58" i="3"/>
  <c r="S58" i="3" s="1"/>
  <c r="R147" i="3"/>
  <c r="S147" i="3" s="1"/>
  <c r="R158" i="3"/>
  <c r="S158" i="3" s="1"/>
  <c r="R112" i="3"/>
  <c r="S112" i="3" s="1"/>
  <c r="R71" i="3"/>
  <c r="S71" i="3" s="1"/>
  <c r="R159" i="3"/>
  <c r="S159" i="3" s="1"/>
  <c r="R120" i="3"/>
  <c r="S120" i="3" s="1"/>
  <c r="R77" i="3"/>
  <c r="S77" i="3" s="1"/>
  <c r="R117" i="3"/>
  <c r="S117" i="3" s="1"/>
  <c r="R110" i="3"/>
  <c r="S110" i="3" s="1"/>
  <c r="R155" i="3"/>
  <c r="S155" i="3" s="1"/>
  <c r="R150" i="3"/>
  <c r="S150" i="3" s="1"/>
  <c r="R163" i="3"/>
  <c r="S163" i="3" s="1"/>
  <c r="R115" i="3"/>
  <c r="S115" i="3" s="1"/>
  <c r="R140" i="3"/>
  <c r="S140" i="3" s="1"/>
  <c r="R156" i="3"/>
  <c r="S156" i="3" s="1"/>
  <c r="R70" i="3"/>
  <c r="S70" i="3" s="1"/>
  <c r="R103" i="3"/>
  <c r="S103" i="3" s="1"/>
  <c r="R99" i="3"/>
  <c r="S99" i="3" s="1"/>
  <c r="R164" i="3"/>
  <c r="S164" i="3" s="1"/>
  <c r="R82" i="3"/>
  <c r="S82" i="3" s="1"/>
  <c r="R83" i="3"/>
  <c r="S83" i="3" s="1"/>
  <c r="R102" i="3"/>
  <c r="S102" i="3" s="1"/>
  <c r="R162" i="3"/>
  <c r="S162" i="3" s="1"/>
  <c r="R108" i="3"/>
  <c r="S108" i="3" s="1"/>
  <c r="R118" i="3"/>
  <c r="S118" i="3" s="1"/>
  <c r="R153" i="3"/>
  <c r="S153" i="3" s="1"/>
  <c r="R69" i="3"/>
  <c r="S69" i="3" s="1"/>
  <c r="R96" i="3"/>
  <c r="S96" i="3" s="1"/>
  <c r="R72" i="3"/>
  <c r="S72" i="3" s="1"/>
  <c r="R92" i="3"/>
  <c r="S92" i="3" s="1"/>
  <c r="R160" i="3"/>
  <c r="S160" i="3" s="1"/>
  <c r="R68" i="3"/>
  <c r="S68" i="3" s="1"/>
  <c r="R109" i="3"/>
  <c r="S109" i="3" s="1"/>
  <c r="R107" i="3"/>
  <c r="S107" i="3" s="1"/>
  <c r="R93" i="3"/>
  <c r="S93" i="3" s="1"/>
  <c r="R138" i="3"/>
  <c r="S138" i="3" s="1"/>
  <c r="R63" i="3"/>
  <c r="S63" i="3" s="1"/>
  <c r="R60" i="3"/>
  <c r="S60" i="3" s="1"/>
  <c r="R127" i="3"/>
  <c r="S127" i="3" s="1"/>
  <c r="R100" i="3"/>
  <c r="S100" i="3" s="1"/>
  <c r="R79" i="3"/>
  <c r="S79" i="3" s="1"/>
  <c r="R152" i="3"/>
  <c r="S152" i="3" s="1"/>
  <c r="R76" i="3"/>
  <c r="S76" i="3" s="1"/>
  <c r="R78" i="3"/>
  <c r="S78" i="3" s="1"/>
  <c r="R74" i="3"/>
  <c r="S74" i="3" s="1"/>
  <c r="R121" i="3"/>
  <c r="S121" i="3" s="1"/>
  <c r="R113" i="3"/>
  <c r="S113" i="3" s="1"/>
  <c r="R148" i="3"/>
  <c r="S148" i="3" s="1"/>
  <c r="R95" i="3"/>
  <c r="S95" i="3" s="1"/>
  <c r="R145" i="3"/>
  <c r="S145" i="3" s="1"/>
  <c r="R126" i="3"/>
  <c r="S126" i="3" s="1"/>
  <c r="R106" i="3"/>
  <c r="S106" i="3" s="1"/>
  <c r="R90" i="3"/>
  <c r="S90" i="3" s="1"/>
  <c r="R122" i="3"/>
  <c r="S122" i="3" s="1"/>
  <c r="R84" i="3"/>
  <c r="S84" i="3" s="1"/>
  <c r="R73" i="3"/>
  <c r="S73" i="3" s="1"/>
  <c r="R105" i="3"/>
  <c r="S105" i="3" s="1"/>
  <c r="R85" i="3"/>
  <c r="S85" i="3" s="1"/>
  <c r="R143" i="3"/>
  <c r="S143" i="3" s="1"/>
  <c r="R165" i="3"/>
  <c r="S165" i="3" s="1"/>
  <c r="R87" i="3"/>
  <c r="S87" i="3" s="1"/>
  <c r="R66" i="3"/>
  <c r="S66" i="3" s="1"/>
  <c r="R135" i="3"/>
  <c r="S135" i="3" s="1"/>
  <c r="R81" i="3"/>
  <c r="S81" i="3" s="1"/>
  <c r="R61" i="3"/>
  <c r="S61" i="3" s="1"/>
  <c r="R139" i="3"/>
  <c r="S139" i="3" s="1"/>
  <c r="R136" i="3"/>
  <c r="S136" i="3" s="1"/>
  <c r="R59" i="3"/>
  <c r="S59" i="3" s="1"/>
  <c r="R111" i="3"/>
  <c r="S111" i="3" s="1"/>
  <c r="R98" i="3"/>
  <c r="S98" i="3" s="1"/>
  <c r="R149" i="3"/>
  <c r="S149" i="3" s="1"/>
  <c r="R114" i="3"/>
  <c r="S114" i="3" s="1"/>
  <c r="R167" i="3"/>
  <c r="S167" i="3" s="1"/>
  <c r="R91" i="3"/>
  <c r="S91" i="3" s="1"/>
  <c r="R89" i="3"/>
  <c r="S89" i="3" s="1"/>
  <c r="R142" i="3"/>
  <c r="S142" i="3" s="1"/>
  <c r="R157" i="3"/>
  <c r="S157" i="3" s="1"/>
  <c r="R75" i="3"/>
  <c r="S75" i="3" s="1"/>
  <c r="R134" i="3"/>
  <c r="S134" i="3" s="1"/>
  <c r="R144" i="3"/>
  <c r="S144" i="3" s="1"/>
  <c r="R141" i="3"/>
  <c r="S141" i="3" s="1"/>
  <c r="R57" i="3"/>
  <c r="S57" i="3" s="1"/>
  <c r="R151" i="3"/>
  <c r="S151" i="3" s="1"/>
  <c r="R154" i="3"/>
  <c r="S154" i="3" s="1"/>
  <c r="L32" i="6" l="1"/>
  <c r="M32" i="6"/>
  <c r="K32" i="6"/>
  <c r="L176" i="3"/>
  <c r="N176" i="3"/>
  <c r="P176" i="3"/>
  <c r="C20" i="1" s="1"/>
  <c r="K176" i="3"/>
  <c r="N32" i="6" l="1"/>
  <c r="D3" i="3" l="1"/>
  <c r="O34" i="3" l="1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33" i="3"/>
  <c r="O32" i="3"/>
  <c r="Q36" i="3" l="1"/>
  <c r="Q54" i="3"/>
  <c r="D3" i="6"/>
  <c r="D3" i="7" s="1"/>
  <c r="D3" i="8" s="1"/>
  <c r="D3" i="9" s="1"/>
  <c r="R54" i="3" l="1"/>
  <c r="S54" i="3" s="1"/>
  <c r="Q42" i="3"/>
  <c r="Q43" i="3"/>
  <c r="Q34" i="3"/>
  <c r="Q44" i="3"/>
  <c r="Q46" i="3"/>
  <c r="Q33" i="3"/>
  <c r="Q35" i="3"/>
  <c r="Q49" i="3"/>
  <c r="Q39" i="3"/>
  <c r="Q53" i="3"/>
  <c r="Q41" i="3"/>
  <c r="Q32" i="3"/>
  <c r="Q45" i="3"/>
  <c r="Q40" i="3"/>
  <c r="Q48" i="3"/>
  <c r="Q50" i="3"/>
  <c r="Q55" i="3"/>
  <c r="Q37" i="3"/>
  <c r="Q52" i="3"/>
  <c r="Q47" i="3"/>
  <c r="Q38" i="3"/>
  <c r="Q51" i="3"/>
  <c r="P10" i="9"/>
  <c r="N10" i="9"/>
  <c r="M10" i="9"/>
  <c r="L10" i="9"/>
  <c r="K10" i="9"/>
  <c r="R7" i="9"/>
  <c r="O7" i="9"/>
  <c r="P40" i="8"/>
  <c r="N40" i="8"/>
  <c r="M40" i="8"/>
  <c r="L40" i="8"/>
  <c r="K40" i="8"/>
  <c r="O34" i="8"/>
  <c r="O33" i="8"/>
  <c r="O32" i="8"/>
  <c r="O31" i="8"/>
  <c r="O30" i="8"/>
  <c r="Q30" i="8" s="1"/>
  <c r="O29" i="8"/>
  <c r="Q29" i="8" s="1"/>
  <c r="O28" i="8"/>
  <c r="Q28" i="8" s="1"/>
  <c r="O27" i="8"/>
  <c r="Q27" i="8" s="1"/>
  <c r="O26" i="8"/>
  <c r="Q26" i="8" s="1"/>
  <c r="R26" i="8" s="1"/>
  <c r="O25" i="8"/>
  <c r="Q25" i="8" s="1"/>
  <c r="R25" i="8" s="1"/>
  <c r="O24" i="8"/>
  <c r="Q24" i="8" s="1"/>
  <c r="R24" i="8" s="1"/>
  <c r="O23" i="8"/>
  <c r="Q23" i="8" s="1"/>
  <c r="R23" i="8" s="1"/>
  <c r="O22" i="8"/>
  <c r="Q22" i="8" s="1"/>
  <c r="R22" i="8" s="1"/>
  <c r="O21" i="8"/>
  <c r="Q21" i="8" s="1"/>
  <c r="R21" i="8" s="1"/>
  <c r="O20" i="8"/>
  <c r="Q20" i="8" s="1"/>
  <c r="R20" i="8" s="1"/>
  <c r="O19" i="8"/>
  <c r="Q19" i="8" s="1"/>
  <c r="R19" i="8" s="1"/>
  <c r="O18" i="8"/>
  <c r="Q18" i="8" s="1"/>
  <c r="R18" i="8" s="1"/>
  <c r="O17" i="8"/>
  <c r="Q17" i="8" s="1"/>
  <c r="R17" i="8" s="1"/>
  <c r="O16" i="8"/>
  <c r="Q16" i="8" s="1"/>
  <c r="R16" i="8" s="1"/>
  <c r="O15" i="8"/>
  <c r="Q15" i="8" s="1"/>
  <c r="R15" i="8" s="1"/>
  <c r="O14" i="8"/>
  <c r="Q14" i="8" s="1"/>
  <c r="R14" i="8" s="1"/>
  <c r="O13" i="8"/>
  <c r="Q13" i="8" s="1"/>
  <c r="R13" i="8" s="1"/>
  <c r="O12" i="8"/>
  <c r="Q12" i="8" s="1"/>
  <c r="R12" i="8" s="1"/>
  <c r="O11" i="8"/>
  <c r="Q11" i="8" s="1"/>
  <c r="R11" i="8" s="1"/>
  <c r="O10" i="8"/>
  <c r="Q10" i="8" s="1"/>
  <c r="R10" i="8" s="1"/>
  <c r="O9" i="8"/>
  <c r="Q9" i="8" s="1"/>
  <c r="R9" i="8" s="1"/>
  <c r="O8" i="8"/>
  <c r="Q8" i="8" s="1"/>
  <c r="R8" i="8" s="1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O7" i="8"/>
  <c r="R38" i="3" l="1"/>
  <c r="S38" i="3" s="1"/>
  <c r="R47" i="3"/>
  <c r="S47" i="3" s="1"/>
  <c r="R48" i="3"/>
  <c r="S48" i="3" s="1"/>
  <c r="R39" i="3"/>
  <c r="S39" i="3" s="1"/>
  <c r="R34" i="3"/>
  <c r="S34" i="3" s="1"/>
  <c r="R40" i="3"/>
  <c r="S40" i="3" s="1"/>
  <c r="R49" i="3"/>
  <c r="S49" i="3" s="1"/>
  <c r="R43" i="3"/>
  <c r="S43" i="3" s="1"/>
  <c r="R50" i="3"/>
  <c r="S50" i="3" s="1"/>
  <c r="R52" i="3"/>
  <c r="S52" i="3" s="1"/>
  <c r="R45" i="3"/>
  <c r="S45" i="3" s="1"/>
  <c r="R35" i="3"/>
  <c r="S35" i="3" s="1"/>
  <c r="R42" i="3"/>
  <c r="S42" i="3" s="1"/>
  <c r="R53" i="3"/>
  <c r="S53" i="3" s="1"/>
  <c r="R37" i="3"/>
  <c r="S37" i="3" s="1"/>
  <c r="R32" i="3"/>
  <c r="S32" i="3" s="1"/>
  <c r="R33" i="3"/>
  <c r="S33" i="3" s="1"/>
  <c r="R44" i="3"/>
  <c r="S44" i="3" s="1"/>
  <c r="R36" i="3"/>
  <c r="S36" i="3" s="1"/>
  <c r="R51" i="3"/>
  <c r="S51" i="3" s="1"/>
  <c r="R55" i="3"/>
  <c r="S55" i="3" s="1"/>
  <c r="R41" i="3"/>
  <c r="S41" i="3" s="1"/>
  <c r="R46" i="3"/>
  <c r="S46" i="3" s="1"/>
  <c r="U10" i="9"/>
  <c r="Q7" i="8"/>
  <c r="R7" i="8" s="1"/>
  <c r="S7" i="8" s="1"/>
  <c r="S9" i="8"/>
  <c r="S11" i="8"/>
  <c r="S13" i="8"/>
  <c r="S15" i="8"/>
  <c r="S17" i="8"/>
  <c r="S7" i="9"/>
  <c r="S18" i="8"/>
  <c r="S20" i="8"/>
  <c r="S8" i="8"/>
  <c r="S10" i="8"/>
  <c r="S12" i="8"/>
  <c r="S14" i="8"/>
  <c r="S16" i="8"/>
  <c r="S22" i="8"/>
  <c r="S24" i="8"/>
  <c r="S26" i="8"/>
  <c r="S19" i="8"/>
  <c r="S21" i="8"/>
  <c r="S23" i="8"/>
  <c r="S25" i="8"/>
  <c r="O10" i="9"/>
  <c r="O40" i="8"/>
  <c r="I67" i="1" l="1"/>
  <c r="J67" i="1"/>
  <c r="Q33" i="8"/>
  <c r="R33" i="8" s="1"/>
  <c r="S33" i="8" s="1"/>
  <c r="Q34" i="8"/>
  <c r="R34" i="8" s="1"/>
  <c r="S34" i="8" s="1"/>
  <c r="W40" i="8"/>
  <c r="Q32" i="8"/>
  <c r="R32" i="8" s="1"/>
  <c r="S32" i="8" s="1"/>
  <c r="V40" i="8"/>
  <c r="Q31" i="8"/>
  <c r="R31" i="8" s="1"/>
  <c r="S31" i="8" s="1"/>
  <c r="D33" i="1"/>
  <c r="U40" i="8"/>
  <c r="R28" i="8"/>
  <c r="S28" i="8" s="1"/>
  <c r="R29" i="8"/>
  <c r="S29" i="8" s="1"/>
  <c r="R27" i="8"/>
  <c r="S27" i="8" s="1"/>
  <c r="R30" i="8"/>
  <c r="S30" i="8" s="1"/>
  <c r="AB68" i="28" l="1"/>
  <c r="C33" i="1"/>
  <c r="D68" i="1"/>
  <c r="G67" i="1"/>
  <c r="H67" i="1"/>
  <c r="F67" i="1"/>
  <c r="D32" i="1"/>
  <c r="S10" i="9"/>
  <c r="S40" i="8"/>
  <c r="R10" i="9"/>
  <c r="Q10" i="9"/>
  <c r="AL10" i="9" s="1"/>
  <c r="R40" i="8"/>
  <c r="Q40" i="8"/>
  <c r="AL40" i="8" s="1"/>
  <c r="Q14" i="1" l="1"/>
  <c r="C48" i="1"/>
  <c r="D48" i="1"/>
  <c r="C32" i="1"/>
  <c r="C67" i="1" s="1"/>
  <c r="D67" i="1"/>
  <c r="D49" i="1"/>
  <c r="F49" i="1"/>
  <c r="E49" i="1"/>
  <c r="E67" i="1"/>
  <c r="I48" i="1"/>
  <c r="G48" i="1"/>
  <c r="F48" i="1"/>
  <c r="C68" i="1"/>
  <c r="AK10" i="9"/>
  <c r="AK40" i="8"/>
  <c r="P30" i="7"/>
  <c r="N30" i="7"/>
  <c r="M30" i="7"/>
  <c r="L30" i="7"/>
  <c r="K30" i="7"/>
  <c r="O27" i="7"/>
  <c r="O26" i="7"/>
  <c r="O25" i="7"/>
  <c r="O24" i="7"/>
  <c r="O23" i="7"/>
  <c r="O22" i="7"/>
  <c r="O21" i="7"/>
  <c r="O20" i="7"/>
  <c r="O19" i="7"/>
  <c r="R18" i="7"/>
  <c r="O18" i="7"/>
  <c r="R17" i="7"/>
  <c r="O17" i="7"/>
  <c r="R16" i="7"/>
  <c r="O16" i="7"/>
  <c r="R15" i="7"/>
  <c r="O15" i="7"/>
  <c r="R14" i="7"/>
  <c r="O14" i="7"/>
  <c r="R13" i="7"/>
  <c r="O13" i="7"/>
  <c r="R12" i="7"/>
  <c r="O12" i="7"/>
  <c r="R11" i="7"/>
  <c r="O11" i="7"/>
  <c r="R10" i="7"/>
  <c r="O10" i="7"/>
  <c r="R9" i="7"/>
  <c r="O9" i="7"/>
  <c r="R8" i="7"/>
  <c r="O8" i="7"/>
  <c r="R7" i="7"/>
  <c r="O7" i="7"/>
  <c r="O7" i="6"/>
  <c r="Q7" i="6" s="1"/>
  <c r="O8" i="6"/>
  <c r="Q8" i="6" s="1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Q26" i="6"/>
  <c r="O25" i="6"/>
  <c r="O24" i="6"/>
  <c r="Q24" i="6" s="1"/>
  <c r="O23" i="6"/>
  <c r="Q23" i="6" s="1"/>
  <c r="R8" i="6" l="1"/>
  <c r="R7" i="6"/>
  <c r="AF32" i="6"/>
  <c r="AE32" i="6"/>
  <c r="AD32" i="6"/>
  <c r="AC32" i="6"/>
  <c r="AB32" i="6"/>
  <c r="AA30" i="7"/>
  <c r="AA32" i="6"/>
  <c r="Z32" i="6"/>
  <c r="Y32" i="6"/>
  <c r="W32" i="6"/>
  <c r="X32" i="6"/>
  <c r="V32" i="6"/>
  <c r="C49" i="1"/>
  <c r="J49" i="1"/>
  <c r="Q21" i="6"/>
  <c r="Q17" i="6"/>
  <c r="Q13" i="6"/>
  <c r="Q9" i="6"/>
  <c r="Q20" i="6"/>
  <c r="Q16" i="6"/>
  <c r="Q12" i="6"/>
  <c r="Q19" i="6"/>
  <c r="Q15" i="6"/>
  <c r="Q11" i="6"/>
  <c r="Q22" i="6"/>
  <c r="Q18" i="6"/>
  <c r="Q14" i="6"/>
  <c r="Q10" i="6"/>
  <c r="S9" i="7"/>
  <c r="S10" i="7"/>
  <c r="S12" i="7"/>
  <c r="S14" i="7"/>
  <c r="S16" i="7"/>
  <c r="S17" i="7"/>
  <c r="S7" i="7"/>
  <c r="S8" i="7"/>
  <c r="S11" i="7"/>
  <c r="S13" i="7"/>
  <c r="S15" i="7"/>
  <c r="S18" i="7"/>
  <c r="S8" i="6"/>
  <c r="S7" i="6"/>
  <c r="O32" i="6"/>
  <c r="O30" i="7"/>
  <c r="O17" i="3"/>
  <c r="O18" i="3"/>
  <c r="O20" i="3"/>
  <c r="O21" i="3"/>
  <c r="O22" i="3"/>
  <c r="O23" i="3"/>
  <c r="O24" i="3"/>
  <c r="O25" i="3"/>
  <c r="O26" i="3"/>
  <c r="O27" i="3"/>
  <c r="O28" i="3"/>
  <c r="O29" i="3"/>
  <c r="O30" i="3"/>
  <c r="O31" i="3"/>
  <c r="O7" i="3"/>
  <c r="Q7" i="3" s="1"/>
  <c r="O8" i="3"/>
  <c r="Q8" i="3" s="1"/>
  <c r="O9" i="3"/>
  <c r="Q9" i="3" s="1"/>
  <c r="O10" i="3"/>
  <c r="Q10" i="3" s="1"/>
  <c r="O11" i="3"/>
  <c r="Q11" i="3" s="1"/>
  <c r="O12" i="3"/>
  <c r="Q12" i="3" s="1"/>
  <c r="O13" i="3"/>
  <c r="Q13" i="3" s="1"/>
  <c r="O14" i="3"/>
  <c r="Q14" i="3" s="1"/>
  <c r="O15" i="3"/>
  <c r="Q15" i="3" s="1"/>
  <c r="O16" i="3"/>
  <c r="R15" i="6" l="1"/>
  <c r="S15" i="6" s="1"/>
  <c r="R13" i="6"/>
  <c r="S13" i="6" s="1"/>
  <c r="R10" i="6"/>
  <c r="S10" i="6" s="1"/>
  <c r="R19" i="6"/>
  <c r="S19" i="6" s="1"/>
  <c r="R17" i="6"/>
  <c r="S17" i="6" s="1"/>
  <c r="R14" i="6"/>
  <c r="S14" i="6" s="1"/>
  <c r="R12" i="6"/>
  <c r="S12" i="6" s="1"/>
  <c r="R21" i="6"/>
  <c r="S21" i="6" s="1"/>
  <c r="R18" i="6"/>
  <c r="S18" i="6" s="1"/>
  <c r="R16" i="6"/>
  <c r="S16" i="6" s="1"/>
  <c r="R22" i="6"/>
  <c r="S22" i="6" s="1"/>
  <c r="R20" i="6"/>
  <c r="S20" i="6" s="1"/>
  <c r="R11" i="6"/>
  <c r="S11" i="6" s="1"/>
  <c r="R9" i="6"/>
  <c r="S9" i="6" s="1"/>
  <c r="R8" i="3"/>
  <c r="S8" i="3" s="1"/>
  <c r="R7" i="3"/>
  <c r="S7" i="3" s="1"/>
  <c r="K63" i="1"/>
  <c r="AF176" i="3"/>
  <c r="AE176" i="3"/>
  <c r="AD176" i="3"/>
  <c r="AC176" i="3"/>
  <c r="AB176" i="3"/>
  <c r="K44" i="1"/>
  <c r="Q26" i="7"/>
  <c r="R26" i="7" s="1"/>
  <c r="S26" i="7" s="1"/>
  <c r="Q25" i="7"/>
  <c r="R25" i="7" s="1"/>
  <c r="S25" i="7" s="1"/>
  <c r="E63" i="1"/>
  <c r="Q25" i="6"/>
  <c r="Z30" i="7"/>
  <c r="G63" i="1"/>
  <c r="Q23" i="7"/>
  <c r="R23" i="7" s="1"/>
  <c r="S23" i="7" s="1"/>
  <c r="F44" i="1"/>
  <c r="G44" i="1"/>
  <c r="F63" i="1"/>
  <c r="V30" i="7"/>
  <c r="Q22" i="7"/>
  <c r="R22" i="7" s="1"/>
  <c r="S22" i="7" s="1"/>
  <c r="Q27" i="7"/>
  <c r="R27" i="7" s="1"/>
  <c r="S27" i="7" s="1"/>
  <c r="I63" i="1"/>
  <c r="D44" i="1"/>
  <c r="U30" i="7"/>
  <c r="U32" i="6"/>
  <c r="R21" i="7"/>
  <c r="S21" i="7" s="1"/>
  <c r="R20" i="7"/>
  <c r="S20" i="7" s="1"/>
  <c r="R19" i="7"/>
  <c r="S19" i="7" s="1"/>
  <c r="R26" i="6"/>
  <c r="S26" i="6" s="1"/>
  <c r="AK32" i="6"/>
  <c r="R24" i="6"/>
  <c r="S24" i="6" s="1"/>
  <c r="D31" i="1" l="1"/>
  <c r="D28" i="1"/>
  <c r="Q31" i="3"/>
  <c r="R31" i="3" s="1"/>
  <c r="S31" i="3" s="1"/>
  <c r="J44" i="1"/>
  <c r="H63" i="1"/>
  <c r="Q23" i="3"/>
  <c r="Z176" i="3"/>
  <c r="Q29" i="3"/>
  <c r="AA176" i="3"/>
  <c r="Q21" i="3"/>
  <c r="Q27" i="3"/>
  <c r="Q22" i="3"/>
  <c r="R22" i="3" s="1"/>
  <c r="S22" i="3" s="1"/>
  <c r="X176" i="3"/>
  <c r="Q24" i="3"/>
  <c r="W176" i="3"/>
  <c r="J63" i="1"/>
  <c r="Q30" i="3"/>
  <c r="Q16" i="3"/>
  <c r="Q18" i="3"/>
  <c r="Q20" i="3"/>
  <c r="J34" i="1"/>
  <c r="J69" i="1" s="1"/>
  <c r="J66" i="1"/>
  <c r="Q25" i="3"/>
  <c r="Q26" i="3"/>
  <c r="Q17" i="3"/>
  <c r="Y176" i="3"/>
  <c r="Q28" i="3"/>
  <c r="D66" i="1"/>
  <c r="R25" i="6"/>
  <c r="S25" i="6" s="1"/>
  <c r="R23" i="6"/>
  <c r="S23" i="6" s="1"/>
  <c r="Q32" i="6"/>
  <c r="R13" i="3"/>
  <c r="S13" i="3" s="1"/>
  <c r="R12" i="3"/>
  <c r="S12" i="3" s="1"/>
  <c r="R11" i="3"/>
  <c r="S11" i="3" s="1"/>
  <c r="R14" i="3"/>
  <c r="S14" i="3" s="1"/>
  <c r="R9" i="3"/>
  <c r="S9" i="3" s="1"/>
  <c r="R15" i="3"/>
  <c r="S15" i="3" s="1"/>
  <c r="P12" i="2"/>
  <c r="C19" i="1" s="1"/>
  <c r="O7" i="2"/>
  <c r="M62" i="1" l="1"/>
  <c r="M55" i="1"/>
  <c r="R17" i="3"/>
  <c r="S17" i="3" s="1"/>
  <c r="R29" i="3"/>
  <c r="S29" i="3" s="1"/>
  <c r="R16" i="3"/>
  <c r="S16" i="3" s="1"/>
  <c r="R27" i="3"/>
  <c r="S27" i="3" s="1"/>
  <c r="R26" i="3"/>
  <c r="S26" i="3" s="1"/>
  <c r="R20" i="3"/>
  <c r="S20" i="3" s="1"/>
  <c r="R21" i="3"/>
  <c r="S21" i="3" s="1"/>
  <c r="R25" i="3"/>
  <c r="S25" i="3" s="1"/>
  <c r="R30" i="3"/>
  <c r="S30" i="3" s="1"/>
  <c r="R28" i="3"/>
  <c r="S28" i="3" s="1"/>
  <c r="R18" i="3"/>
  <c r="S18" i="3" s="1"/>
  <c r="R24" i="3"/>
  <c r="S24" i="3" s="1"/>
  <c r="R23" i="3"/>
  <c r="S23" i="3" s="1"/>
  <c r="J56" i="1"/>
  <c r="M29" i="1"/>
  <c r="M64" i="1" s="1"/>
  <c r="L29" i="1"/>
  <c r="L64" i="1" s="1"/>
  <c r="O29" i="1"/>
  <c r="O64" i="1" s="1"/>
  <c r="N29" i="1"/>
  <c r="N64" i="1" s="1"/>
  <c r="O10" i="1"/>
  <c r="O45" i="1" s="1"/>
  <c r="K62" i="1"/>
  <c r="K29" i="1"/>
  <c r="K64" i="1" s="1"/>
  <c r="J43" i="1"/>
  <c r="I34" i="1"/>
  <c r="I69" i="1" s="1"/>
  <c r="I66" i="1"/>
  <c r="G62" i="1"/>
  <c r="F62" i="1"/>
  <c r="AA12" i="2"/>
  <c r="Z12" i="2"/>
  <c r="Y12" i="2"/>
  <c r="X12" i="2"/>
  <c r="W12" i="2"/>
  <c r="G42" i="1"/>
  <c r="F42" i="1"/>
  <c r="V12" i="2"/>
  <c r="E66" i="1"/>
  <c r="E69" i="1"/>
  <c r="D34" i="1"/>
  <c r="D69" i="1" s="1"/>
  <c r="D21" i="1"/>
  <c r="D63" i="1"/>
  <c r="I47" i="1"/>
  <c r="I15" i="1"/>
  <c r="I50" i="1" s="1"/>
  <c r="H47" i="1"/>
  <c r="H15" i="1"/>
  <c r="H50" i="1" s="1"/>
  <c r="G47" i="1"/>
  <c r="G15" i="1"/>
  <c r="G50" i="1" s="1"/>
  <c r="F47" i="1"/>
  <c r="F15" i="1"/>
  <c r="F50" i="1" s="1"/>
  <c r="C28" i="1"/>
  <c r="C63" i="1" s="1"/>
  <c r="D15" i="1"/>
  <c r="D50" i="1" s="1"/>
  <c r="U12" i="2"/>
  <c r="R32" i="6"/>
  <c r="AL32" i="6" s="1"/>
  <c r="O12" i="2"/>
  <c r="H62" i="1" l="1"/>
  <c r="D26" i="1"/>
  <c r="K56" i="1"/>
  <c r="M10" i="1"/>
  <c r="M45" i="1" s="1"/>
  <c r="K43" i="1"/>
  <c r="K10" i="1"/>
  <c r="K45" i="1" s="1"/>
  <c r="N10" i="1"/>
  <c r="N45" i="1" s="1"/>
  <c r="R7" i="2"/>
  <c r="S7" i="2" s="1"/>
  <c r="J42" i="1"/>
  <c r="J10" i="1"/>
  <c r="J45" i="1" s="1"/>
  <c r="D56" i="1"/>
  <c r="D42" i="1"/>
  <c r="J62" i="1"/>
  <c r="G43" i="1"/>
  <c r="G10" i="1"/>
  <c r="G45" i="1" s="1"/>
  <c r="F43" i="1"/>
  <c r="F10" i="1"/>
  <c r="F45" i="1" s="1"/>
  <c r="I43" i="1"/>
  <c r="I10" i="1"/>
  <c r="I45" i="1" s="1"/>
  <c r="E50" i="1"/>
  <c r="D61" i="1"/>
  <c r="C44" i="1"/>
  <c r="S32" i="6"/>
  <c r="AK12" i="2"/>
  <c r="J55" i="1" l="1"/>
  <c r="G61" i="1"/>
  <c r="G29" i="1"/>
  <c r="G64" i="1" s="1"/>
  <c r="E56" i="1"/>
  <c r="J29" i="1"/>
  <c r="J64" i="1" s="1"/>
  <c r="J61" i="1"/>
  <c r="C26" i="1"/>
  <c r="C61" i="1" s="1"/>
  <c r="I61" i="1"/>
  <c r="I29" i="1"/>
  <c r="I64" i="1" s="1"/>
  <c r="H61" i="1"/>
  <c r="H29" i="1"/>
  <c r="H64" i="1" s="1"/>
  <c r="F61" i="1"/>
  <c r="F29" i="1"/>
  <c r="F64" i="1" s="1"/>
  <c r="E45" i="1"/>
  <c r="E61" i="1"/>
  <c r="K12" i="2"/>
  <c r="K55" i="1" l="1"/>
  <c r="F56" i="1"/>
  <c r="C42" i="1"/>
  <c r="Q12" i="2"/>
  <c r="G56" i="1" l="1"/>
  <c r="H56" i="1"/>
  <c r="F55" i="1"/>
  <c r="S12" i="2"/>
  <c r="R12" i="2"/>
  <c r="AL12" i="2" s="1"/>
  <c r="O22" i="1" l="1"/>
  <c r="N22" i="1"/>
  <c r="G55" i="1"/>
  <c r="R10" i="3"/>
  <c r="H55" i="1" l="1"/>
  <c r="S10" i="3"/>
  <c r="I55" i="1" l="1"/>
  <c r="F66" i="1" l="1"/>
  <c r="H34" i="1"/>
  <c r="H69" i="1" s="1"/>
  <c r="X30" i="7"/>
  <c r="W30" i="7"/>
  <c r="Q24" i="7"/>
  <c r="Q30" i="7" s="1"/>
  <c r="AL30" i="7" s="1"/>
  <c r="Y30" i="7"/>
  <c r="C31" i="1" l="1"/>
  <c r="C66" i="1" s="1"/>
  <c r="R24" i="7"/>
  <c r="R30" i="7" s="1"/>
  <c r="G34" i="1"/>
  <c r="G69" i="1" s="1"/>
  <c r="G66" i="1"/>
  <c r="H66" i="1"/>
  <c r="F34" i="1"/>
  <c r="F69" i="1" s="1"/>
  <c r="C34" i="1" l="1"/>
  <c r="C69" i="1" s="1"/>
  <c r="S24" i="7"/>
  <c r="S30" i="7" s="1"/>
  <c r="N15" i="1" l="1"/>
  <c r="N50" i="1" s="1"/>
  <c r="M15" i="1"/>
  <c r="M50" i="1" s="1"/>
  <c r="AK30" i="7"/>
  <c r="J15" i="1" l="1"/>
  <c r="J50" i="1" s="1"/>
  <c r="J47" i="1"/>
  <c r="C47" i="1" l="1"/>
  <c r="C15" i="1"/>
  <c r="C50" i="1" s="1"/>
  <c r="C22" i="1" l="1"/>
  <c r="D19" i="1"/>
  <c r="F22" i="1" l="1"/>
  <c r="F57" i="1" s="1"/>
  <c r="F54" i="1"/>
  <c r="D54" i="1"/>
  <c r="E54" i="1"/>
  <c r="G22" i="1" l="1"/>
  <c r="G57" i="1" s="1"/>
  <c r="G54" i="1"/>
  <c r="H54" i="1" l="1"/>
  <c r="H22" i="1"/>
  <c r="I54" i="1" l="1"/>
  <c r="I22" i="1"/>
  <c r="J22" i="1" l="1"/>
  <c r="J54" i="1"/>
  <c r="K54" i="1" l="1"/>
  <c r="K22" i="1"/>
  <c r="L22" i="1" l="1"/>
  <c r="L54" i="1"/>
  <c r="M22" i="1" l="1"/>
  <c r="M54" i="1"/>
  <c r="L10" i="1"/>
  <c r="L45" i="1"/>
  <c r="M176" i="3"/>
  <c r="O19" i="3"/>
  <c r="O176" i="3" s="1"/>
  <c r="U176" i="3" l="1"/>
  <c r="AK176" i="3"/>
  <c r="V176" i="3"/>
  <c r="E27" i="1" l="1"/>
  <c r="AC26" i="28"/>
  <c r="D27" i="1"/>
  <c r="D43" i="1"/>
  <c r="D10" i="1"/>
  <c r="D45" i="1" s="1"/>
  <c r="Q19" i="3"/>
  <c r="AC29" i="28" l="1"/>
  <c r="AC30" i="28"/>
  <c r="E20" i="1"/>
  <c r="E29" i="1"/>
  <c r="E64" i="1" s="1"/>
  <c r="E62" i="1"/>
  <c r="Q176" i="3"/>
  <c r="R19" i="3"/>
  <c r="C10" i="1"/>
  <c r="C45" i="1" s="1"/>
  <c r="C43" i="1"/>
  <c r="D20" i="1"/>
  <c r="C27" i="1"/>
  <c r="D29" i="1"/>
  <c r="D64" i="1" s="1"/>
  <c r="D62" i="1"/>
  <c r="E55" i="1" l="1"/>
  <c r="E22" i="1"/>
  <c r="E57" i="1" s="1"/>
  <c r="AC31" i="28"/>
  <c r="AC27" i="28"/>
  <c r="C62" i="1"/>
  <c r="C29" i="1"/>
  <c r="C64" i="1" s="1"/>
  <c r="R176" i="3"/>
  <c r="AL176" i="3" s="1"/>
  <c r="S19" i="3"/>
  <c r="S176" i="3" s="1"/>
  <c r="D22" i="1"/>
  <c r="D55" i="1"/>
</calcChain>
</file>

<file path=xl/sharedStrings.xml><?xml version="1.0" encoding="utf-8"?>
<sst xmlns="http://schemas.openxmlformats.org/spreadsheetml/2006/main" count="1537" uniqueCount="346">
  <si>
    <t>구분</t>
  </si>
  <si>
    <t>잔액</t>
    <phoneticPr fontId="2" type="noConversion"/>
  </si>
  <si>
    <t>품명</t>
    <phoneticPr fontId="2" type="noConversion"/>
  </si>
  <si>
    <t>사용부서</t>
    <phoneticPr fontId="2" type="noConversion"/>
  </si>
  <si>
    <t>취득가액</t>
    <phoneticPr fontId="2" type="noConversion"/>
  </si>
  <si>
    <t>감액손실</t>
    <phoneticPr fontId="2" type="noConversion"/>
  </si>
  <si>
    <t>차량운반구</t>
    <phoneticPr fontId="2" type="noConversion"/>
  </si>
  <si>
    <t>차량운반구 합계</t>
    <phoneticPr fontId="2" type="noConversion"/>
  </si>
  <si>
    <t>총무팀</t>
  </si>
  <si>
    <t>경영관리팀</t>
  </si>
  <si>
    <t>AGH30-0399266 도요타 알파트(캡웨건 7인승)</t>
    <phoneticPr fontId="2" type="noConversion"/>
  </si>
  <si>
    <t>No</t>
    <phoneticPr fontId="2" type="noConversion"/>
  </si>
  <si>
    <t>자본적 지출</t>
    <phoneticPr fontId="2" type="noConversion"/>
  </si>
  <si>
    <t>최초취득</t>
    <phoneticPr fontId="2" type="noConversion"/>
  </si>
  <si>
    <t>처분</t>
    <phoneticPr fontId="2" type="noConversion"/>
  </si>
  <si>
    <t>처분일</t>
    <phoneticPr fontId="2" type="noConversion"/>
  </si>
  <si>
    <t>감가상각누계액</t>
    <phoneticPr fontId="2" type="noConversion"/>
  </si>
  <si>
    <t>미상각잔액</t>
    <phoneticPr fontId="2" type="noConversion"/>
  </si>
  <si>
    <t>상각월</t>
    <phoneticPr fontId="2" type="noConversion"/>
  </si>
  <si>
    <t>정액법</t>
    <phoneticPr fontId="2" type="noConversion"/>
  </si>
  <si>
    <t>BSP 잔액검증</t>
    <phoneticPr fontId="2" type="noConversion"/>
  </si>
  <si>
    <t>차량운반구 Diff.</t>
    <phoneticPr fontId="2" type="noConversion"/>
  </si>
  <si>
    <t>감가상각누계액 Diff.</t>
    <phoneticPr fontId="2" type="noConversion"/>
  </si>
  <si>
    <t>기준일</t>
    <phoneticPr fontId="2" type="noConversion"/>
  </si>
  <si>
    <t>비품</t>
    <phoneticPr fontId="2" type="noConversion"/>
  </si>
  <si>
    <t>비품 합계</t>
    <phoneticPr fontId="2" type="noConversion"/>
  </si>
  <si>
    <t>비품 Diff.</t>
    <phoneticPr fontId="2" type="noConversion"/>
  </si>
  <si>
    <t>소프트웨어</t>
  </si>
  <si>
    <t>본사</t>
  </si>
  <si>
    <t>강남</t>
  </si>
  <si>
    <t>분당서현지점</t>
  </si>
  <si>
    <t>EDW-TFT</t>
  </si>
  <si>
    <t>인사팀</t>
  </si>
  <si>
    <t>영업기획팀</t>
  </si>
  <si>
    <t>미술작품구매(사내전시용,작품명:축제)</t>
  </si>
  <si>
    <t>EDW시스템 고도화 구축</t>
  </si>
  <si>
    <t>PC OFF 솔루션 서버 비용지급의 건</t>
  </si>
  <si>
    <t>K-IFRS 전산시스템 장비 구입 비용 지급(와이젠정보기술)</t>
  </si>
  <si>
    <t>K-IFRS 전산시스템 장비 구입 비용 지급(네비스텍)</t>
  </si>
  <si>
    <t>K-IFRS 전산시스템 장비 구입 비용 지급(코오롱베니트)</t>
  </si>
  <si>
    <t>K-IFRS 전산시스템 장비 구입 비용 지급(피앤피시큐어)</t>
  </si>
  <si>
    <t>K-IFRS 전산시스템 장비 구입 비용 지급(아임코어시스템)</t>
  </si>
  <si>
    <t>K-IFRS 전산시스템 장비 구입 비용 지급(넷앤드)</t>
  </si>
  <si>
    <t>계좌관리시스템 서버 및 솔루션 구축비용 지급(이지시스템)</t>
  </si>
  <si>
    <t>노후/파손 사무용 의자 교체의 건 S-20(중)</t>
  </si>
  <si>
    <t>통합컨택센터 구축 프로젝트</t>
  </si>
  <si>
    <t>본점(상공회의소) 사무용가구 구매비용</t>
  </si>
  <si>
    <t>팀원용 회전의자(주, 리프오피스)</t>
  </si>
  <si>
    <t>팀원용 회전의자(TL200L비스20중)</t>
  </si>
  <si>
    <t>카페읏(상공회의소)</t>
  </si>
  <si>
    <t>상각완료</t>
    <phoneticPr fontId="2" type="noConversion"/>
  </si>
  <si>
    <t>시설장치 합계</t>
    <phoneticPr fontId="2" type="noConversion"/>
  </si>
  <si>
    <t>FC</t>
  </si>
  <si>
    <t>beat머신 인테리어 대금(본사)</t>
  </si>
  <si>
    <t>비트 도입을 위한 네트워크 공사비</t>
  </si>
  <si>
    <t>시설장치</t>
    <phoneticPr fontId="2" type="noConversion"/>
  </si>
  <si>
    <t>시설비</t>
  </si>
  <si>
    <t>리모델링공사(강남,영업1부)</t>
  </si>
  <si>
    <t>강남지점독촉실공사</t>
  </si>
  <si>
    <t>강남지점부분변경공사대금(IDN)</t>
  </si>
  <si>
    <t>강남지점회선증설공사</t>
  </si>
  <si>
    <t>1588전화공사 송파외</t>
  </si>
  <si>
    <t>송파전화회선증설</t>
  </si>
  <si>
    <t>송파지점간판설치(IDN)</t>
  </si>
  <si>
    <t>대구,송파,마산,중앙전화공사</t>
  </si>
  <si>
    <t>전화가설공사(송파울산)</t>
  </si>
  <si>
    <t>구로지점 전화증설외</t>
  </si>
  <si>
    <t>구로지점 이전공사비</t>
  </si>
  <si>
    <t>전화녹음 시스템 설치    ㈜루키스</t>
  </si>
  <si>
    <t>송파</t>
  </si>
  <si>
    <t>마산</t>
  </si>
  <si>
    <t>울산</t>
  </si>
  <si>
    <t>구로</t>
  </si>
  <si>
    <t>ARS</t>
    <phoneticPr fontId="2" type="noConversion"/>
  </si>
  <si>
    <t>소프트웨어 합계</t>
    <phoneticPr fontId="2" type="noConversion"/>
  </si>
  <si>
    <t>RC</t>
  </si>
  <si>
    <t>AO</t>
  </si>
  <si>
    <t>HL</t>
  </si>
  <si>
    <t>PC</t>
  </si>
  <si>
    <t>WC</t>
  </si>
  <si>
    <t>FM</t>
  </si>
  <si>
    <t>추가</t>
  </si>
  <si>
    <t>소프트웨어</t>
    <phoneticPr fontId="2" type="noConversion"/>
  </si>
  <si>
    <t>오피스 등 소프트웨어 구입비(VAT)</t>
  </si>
  <si>
    <t>심사기획팀 통계분석 소프트웨어(SAS)구입 건</t>
  </si>
  <si>
    <t>추가자동대출 제작의 건</t>
  </si>
  <si>
    <t>전자금융 서비스 제휴</t>
  </si>
  <si>
    <t>MS OFFICE 구입 650개(라이센스)</t>
  </si>
  <si>
    <t>MS OFFICE 구입 152개</t>
  </si>
  <si>
    <t>폰트(Frutiger) 구매의 건</t>
  </si>
  <si>
    <t>심사기획실 15,11월 WinSQL 정식 라이센스 구매</t>
  </si>
  <si>
    <t>심사기획실 DW시스템 추가 개발건(선급50%+잔금50%)</t>
  </si>
  <si>
    <t>'17년 CSS시스템고도화를 위한 DBMS교체_오라클 DBMS 라이선스비용지급</t>
  </si>
  <si>
    <t>Adobe 영문폰트 라이선스</t>
  </si>
  <si>
    <t>IFRS9 시스템 구축</t>
  </si>
  <si>
    <t>PC OFF 솔루션</t>
  </si>
  <si>
    <t>계좌관리시스템 구축 (굿센씨엠에스)</t>
  </si>
  <si>
    <t>계좌관리시스템 백업솔루션 구축비용 지급(아임코어시스템)</t>
  </si>
  <si>
    <t>계좌관리시스템 서버 및 솔루션 구축비용 지급(넷앤드)</t>
  </si>
  <si>
    <t>계좌관리시스템 서버 및 솔루션 구축비용 지급(네비스텍)</t>
  </si>
  <si>
    <t>계좌관리시스템 서버 및 솔루션 구축비용 지급(피앤피시큐어)</t>
  </si>
  <si>
    <t>통합건택센터 구축 프로젝트 잔금(30%)/기업, 337-015561-04-021</t>
  </si>
  <si>
    <t>시설장치 Diff.</t>
    <phoneticPr fontId="2" type="noConversion"/>
  </si>
  <si>
    <t>상각비</t>
    <phoneticPr fontId="2" type="noConversion"/>
  </si>
  <si>
    <t>소프트웨어 Diff</t>
    <phoneticPr fontId="2" type="noConversion"/>
  </si>
  <si>
    <t>상각비 Diff.</t>
    <phoneticPr fontId="2" type="noConversion"/>
  </si>
  <si>
    <t>상표권</t>
  </si>
  <si>
    <t>상표권</t>
    <phoneticPr fontId="2" type="noConversion"/>
  </si>
  <si>
    <t>서비스표양수(APLO로 부터)</t>
  </si>
  <si>
    <t>8/26 서비스표 양수(러시앤캐시,캐시마루)</t>
  </si>
  <si>
    <t>러시앤캐시, 캐시마루 상표권</t>
  </si>
  <si>
    <t>러시앤캐시, 캐시마루 상표권(양도일 05/08/19)</t>
  </si>
  <si>
    <t>상표권(APLO)</t>
  </si>
  <si>
    <t>여자애드림_상표권</t>
  </si>
  <si>
    <t>상표권_총무 선급반제분 확인할것</t>
  </si>
  <si>
    <t>ANP FINANCIAL</t>
  </si>
  <si>
    <t>APRO</t>
  </si>
  <si>
    <t>'APRO Again', '해피러시' 상표권 출원 신청료(수임료, 관납료)</t>
  </si>
  <si>
    <t>'APRO Again', '해피러시' 상표권 등록 공고 결정료(수임료)</t>
  </si>
  <si>
    <t>'APRO Again', '해피러시' 상표권 등록 공고 결정료(등록료)</t>
  </si>
  <si>
    <t>베스피드 상표등록의 건</t>
  </si>
  <si>
    <t>베스피드 상표 추가등록</t>
  </si>
  <si>
    <t>상표권 갱신 출원 신청의 건 (女子(주)크레디트CI외2건)</t>
  </si>
  <si>
    <t>서비스표(7건)'APRO Financial service group''APRO investment''APRO亞富路''A&amp;P Financial''아프로''앞으로''rush&amp;cash'</t>
  </si>
  <si>
    <t>총무팀 2015년 6월  법인카드 사용내역&lt;상표권갱신-2개&gt;</t>
  </si>
  <si>
    <t>특허법인 대아 대리인 수수료</t>
  </si>
  <si>
    <t>국내 상표 출원비용</t>
  </si>
  <si>
    <t>서비스표 연장 비용(대리인수수료)</t>
  </si>
  <si>
    <t>서비스표 연장 비용(관납료)</t>
  </si>
  <si>
    <t>상표권 2건 연장 비용 정산(대리인수수료)</t>
  </si>
  <si>
    <t>상표권 2건 연장 비용 정산(관납료)</t>
  </si>
  <si>
    <t>출원 상표권 2건 등록 비용 정산(대리인수수료) / 여성만플러스천, 여성만플러스1000</t>
  </si>
  <si>
    <t>출원 상표권 2건 등록 비용 정산(관납료) / 여성만플러스천, 여성만플러스1000</t>
  </si>
  <si>
    <t>취득일</t>
  </si>
  <si>
    <t>(계정과목15309000</t>
    <phoneticPr fontId="2" type="noConversion"/>
  </si>
  <si>
    <t>상품권 Diff</t>
  </si>
  <si>
    <t>기타무형자산</t>
    <phoneticPr fontId="2" type="noConversion"/>
  </si>
  <si>
    <t>한원컨트리클럽 회원권</t>
  </si>
  <si>
    <t>기타무형자산 Diff</t>
    <phoneticPr fontId="2" type="noConversion"/>
  </si>
  <si>
    <t>차량운반구</t>
    <phoneticPr fontId="2" type="noConversion"/>
  </si>
  <si>
    <t>비품</t>
    <phoneticPr fontId="2" type="noConversion"/>
  </si>
  <si>
    <t>시설장치</t>
    <phoneticPr fontId="2" type="noConversion"/>
  </si>
  <si>
    <t>소프트웨어</t>
    <phoneticPr fontId="2" type="noConversion"/>
  </si>
  <si>
    <t>상표권</t>
    <phoneticPr fontId="2" type="noConversion"/>
  </si>
  <si>
    <t>기타무형자산</t>
    <phoneticPr fontId="2" type="noConversion"/>
  </si>
  <si>
    <t>감가상각비</t>
    <phoneticPr fontId="2" type="noConversion"/>
  </si>
  <si>
    <t>취득원가</t>
    <phoneticPr fontId="2" type="noConversion"/>
  </si>
  <si>
    <t>구분</t>
    <phoneticPr fontId="2" type="noConversion"/>
  </si>
  <si>
    <t>유형자산상각비</t>
    <phoneticPr fontId="2" type="noConversion"/>
  </si>
  <si>
    <t>무형자산상각비</t>
    <phoneticPr fontId="2" type="noConversion"/>
  </si>
  <si>
    <t>결산일 현재</t>
    <phoneticPr fontId="2" type="noConversion"/>
  </si>
  <si>
    <t>유형자산 소계</t>
    <phoneticPr fontId="2" type="noConversion"/>
  </si>
  <si>
    <t>무형자산 합계</t>
    <phoneticPr fontId="2" type="noConversion"/>
  </si>
  <si>
    <t>17년 CSS시스템고도화를 위한 DBMS교체_Migration(시스템이관)잔금</t>
    <phoneticPr fontId="2" type="noConversion"/>
  </si>
  <si>
    <t>AP 차량운반구 명세서</t>
    <phoneticPr fontId="2" type="noConversion"/>
  </si>
  <si>
    <t>AP 비품 명세서</t>
    <phoneticPr fontId="2" type="noConversion"/>
  </si>
  <si>
    <t>AP 시설장치 명세서</t>
    <phoneticPr fontId="2" type="noConversion"/>
  </si>
  <si>
    <t>AP 소프트웨어 명세서</t>
    <phoneticPr fontId="2" type="noConversion"/>
  </si>
  <si>
    <t>AP 상표권 명세서</t>
    <phoneticPr fontId="2" type="noConversion"/>
  </si>
  <si>
    <t>AP 기타무형자산</t>
    <phoneticPr fontId="2" type="noConversion"/>
  </si>
  <si>
    <t>팀원의자(TL200L비스20중)</t>
  </si>
  <si>
    <t>기타무형자산 합계</t>
    <phoneticPr fontId="2" type="noConversion"/>
  </si>
  <si>
    <t>차량감가상각누계액</t>
    <phoneticPr fontId="2" type="noConversion"/>
  </si>
  <si>
    <t>비품감가상각누계액</t>
    <phoneticPr fontId="2" type="noConversion"/>
  </si>
  <si>
    <t>시설장치감가상각누계액</t>
    <phoneticPr fontId="2" type="noConversion"/>
  </si>
  <si>
    <t>유형자산감가상각누계액</t>
    <phoneticPr fontId="2" type="noConversion"/>
  </si>
  <si>
    <t>비품</t>
  </si>
  <si>
    <t>비규격책상(라운드)</t>
  </si>
  <si>
    <t>UFS-CRT형편수책상</t>
  </si>
  <si>
    <t>AP-3단올문장(고급)</t>
  </si>
  <si>
    <t>HD26-LPM탁자</t>
  </si>
  <si>
    <t>KC매틱팔유로라(메쉬)</t>
  </si>
  <si>
    <t>30T플렛파티션</t>
  </si>
  <si>
    <t>30T플렛포스트</t>
  </si>
  <si>
    <t>23년 5월 회현센터 냉난방기 설치 및 철거작업비용 지급의 건 (뉴에어솔루션)</t>
  </si>
  <si>
    <t>23년 5월 회현센터(홍덕빌딩) 네트워크공사 (새론정보통신)</t>
  </si>
  <si>
    <t>23년 5월 회현센터(홍덕빌딩) 인테리어 공사비용 지급의 건 (이프시스템)</t>
  </si>
  <si>
    <t>No</t>
  </si>
  <si>
    <t>계정코드</t>
  </si>
  <si>
    <t>계정과목</t>
  </si>
  <si>
    <t>합계</t>
  </si>
  <si>
    <t>15200000</t>
  </si>
  <si>
    <t>15205000</t>
  </si>
  <si>
    <t>15206000</t>
  </si>
  <si>
    <t>15208000</t>
  </si>
  <si>
    <t>15209000</t>
  </si>
  <si>
    <t>15211000</t>
  </si>
  <si>
    <t>15212000</t>
  </si>
  <si>
    <t>15230000</t>
  </si>
  <si>
    <t>15231000</t>
  </si>
  <si>
    <t>15232000</t>
  </si>
  <si>
    <t>15233000</t>
  </si>
  <si>
    <t>15240000</t>
  </si>
  <si>
    <t>15241000</t>
  </si>
  <si>
    <t>15300000</t>
  </si>
  <si>
    <t>15302000</t>
  </si>
  <si>
    <t>15304000</t>
  </si>
  <si>
    <t>15309000</t>
  </si>
  <si>
    <t>취득원가</t>
  </si>
  <si>
    <t>결산일 현재</t>
  </si>
  <si>
    <t>차량운반구</t>
  </si>
  <si>
    <t>시설장치</t>
  </si>
  <si>
    <t>유형자산 소계</t>
  </si>
  <si>
    <t>기타무형자산</t>
  </si>
  <si>
    <t>무형자산 합계</t>
  </si>
  <si>
    <t>감가상각누계액</t>
  </si>
  <si>
    <t>차량감가상각누계액</t>
  </si>
  <si>
    <t>비품감가상각누계액</t>
  </si>
  <si>
    <t>시설장치감가상각누계액</t>
  </si>
  <si>
    <t>유형자산감가상각누계액</t>
  </si>
  <si>
    <t>감가상각비</t>
  </si>
  <si>
    <t>유형자산상각비</t>
  </si>
  <si>
    <t>무형자산상각비</t>
  </si>
  <si>
    <t>(2)유형자산</t>
  </si>
  <si>
    <t>사용권자산/건물</t>
  </si>
  <si>
    <t>사용권자산/건물[감가상각누계액]</t>
  </si>
  <si>
    <t>사용권자산/차량운반구</t>
  </si>
  <si>
    <t>사용권자산/차량운반구[감각상각누계액]</t>
  </si>
  <si>
    <t>임차자산개량권</t>
  </si>
  <si>
    <t>임차자산개량권[감가상각누계액]</t>
  </si>
  <si>
    <t>(3)무형자산</t>
  </si>
  <si>
    <t>50801000</t>
  </si>
  <si>
    <t>50801200</t>
  </si>
  <si>
    <t>50801300</t>
  </si>
  <si>
    <t>50801400</t>
  </si>
  <si>
    <t>50802000</t>
  </si>
  <si>
    <t>50802200</t>
  </si>
  <si>
    <t>50802400</t>
  </si>
  <si>
    <t>유형자산상각비/차량운반구</t>
  </si>
  <si>
    <t>유형자산상각비/비품</t>
  </si>
  <si>
    <t>유형자산상각비/비품</t>
    <phoneticPr fontId="2" type="noConversion"/>
  </si>
  <si>
    <t>유형자산상각비/시설장치</t>
  </si>
  <si>
    <t>유형자산상각비/시설장치</t>
    <phoneticPr fontId="2" type="noConversion"/>
  </si>
  <si>
    <t>무형자산상각비/소프트웨어</t>
  </si>
  <si>
    <t>무형자산상각비/상표권</t>
  </si>
  <si>
    <t>무형자산상각비/기타무형자산</t>
  </si>
  <si>
    <t xml:space="preserve"> ▼ 검 증</t>
    <phoneticPr fontId="2" type="noConversion"/>
  </si>
  <si>
    <t>　　12) 유형자산상각비</t>
  </si>
  <si>
    <t>　　13) 무형자산감가상각비</t>
  </si>
  <si>
    <t>전기 감누</t>
    <phoneticPr fontId="2" type="noConversion"/>
  </si>
  <si>
    <t>당기 감누</t>
    <phoneticPr fontId="2" type="noConversion"/>
  </si>
  <si>
    <t>기초장부가액</t>
    <phoneticPr fontId="2" type="noConversion"/>
  </si>
  <si>
    <t>취득/자본적지출</t>
    <phoneticPr fontId="2" type="noConversion"/>
  </si>
  <si>
    <t>감가상각</t>
    <phoneticPr fontId="2" type="noConversion"/>
  </si>
  <si>
    <t>상각</t>
    <phoneticPr fontId="2" type="noConversion"/>
  </si>
  <si>
    <t>본사 12층 업무공간 구성 및 10층 레이아웃 변경 비용 정산(전기) - 10층</t>
    <phoneticPr fontId="2" type="noConversion"/>
  </si>
  <si>
    <t>본사 12층 업무공간 구성 및 10층 레이아웃 변경 비용 정산(인테리어) - 10층</t>
    <phoneticPr fontId="2" type="noConversion"/>
  </si>
  <si>
    <t>계열사</t>
    <phoneticPr fontId="2" type="noConversion"/>
  </si>
  <si>
    <t>폐기/양도/유지</t>
    <phoneticPr fontId="2" type="noConversion"/>
  </si>
  <si>
    <t>처분일자</t>
    <phoneticPr fontId="2" type="noConversion"/>
  </si>
  <si>
    <t>유지</t>
    <phoneticPr fontId="2" type="noConversion"/>
  </si>
  <si>
    <t>AP</t>
    <phoneticPr fontId="2" type="noConversion"/>
  </si>
  <si>
    <t>유지</t>
    <phoneticPr fontId="2" type="noConversion"/>
  </si>
  <si>
    <t>유지</t>
    <phoneticPr fontId="2" type="noConversion"/>
  </si>
  <si>
    <t>유지</t>
    <phoneticPr fontId="2" type="noConversion"/>
  </si>
  <si>
    <t>AP</t>
    <phoneticPr fontId="2" type="noConversion"/>
  </si>
  <si>
    <t>AP</t>
    <phoneticPr fontId="2" type="noConversion"/>
  </si>
  <si>
    <t>유지</t>
    <phoneticPr fontId="2" type="noConversion"/>
  </si>
  <si>
    <t>AP</t>
    <phoneticPr fontId="2" type="noConversion"/>
  </si>
  <si>
    <t>AP</t>
    <phoneticPr fontId="2" type="noConversion"/>
  </si>
  <si>
    <t>상표권 합계</t>
    <phoneticPr fontId="2" type="noConversion"/>
  </si>
  <si>
    <t>처분일</t>
  </si>
  <si>
    <t>처분일자</t>
  </si>
  <si>
    <t>폐기/양도/유지</t>
  </si>
  <si>
    <t>계열사</t>
  </si>
  <si>
    <t>품명</t>
  </si>
  <si>
    <t>사용부서</t>
  </si>
  <si>
    <t>자본적 지출</t>
    <phoneticPr fontId="2" type="noConversion"/>
  </si>
  <si>
    <t>감액손실</t>
    <phoneticPr fontId="2" type="noConversion"/>
  </si>
  <si>
    <t>처분</t>
    <phoneticPr fontId="2" type="noConversion"/>
  </si>
  <si>
    <t>전기 감누</t>
    <phoneticPr fontId="2" type="noConversion"/>
  </si>
  <si>
    <t>당기 감누</t>
    <phoneticPr fontId="2" type="noConversion"/>
  </si>
  <si>
    <t>감가상각누계액</t>
    <phoneticPr fontId="2" type="noConversion"/>
  </si>
  <si>
    <t>양도</t>
    <phoneticPr fontId="2" type="noConversion"/>
  </si>
  <si>
    <t>오케이넥스트 유무형자산 명세표</t>
    <phoneticPr fontId="2" type="noConversion"/>
  </si>
  <si>
    <t>오케이넥스트 유무형자산 변동내역</t>
    <phoneticPr fontId="2" type="noConversion"/>
  </si>
  <si>
    <t>감가상각비</t>
    <phoneticPr fontId="2" type="noConversion"/>
  </si>
  <si>
    <t>감가상각비</t>
    <phoneticPr fontId="2" type="noConversion"/>
  </si>
  <si>
    <t>기타무형자산</t>
    <phoneticPr fontId="2" type="noConversion"/>
  </si>
  <si>
    <t>무형자산상각비/소프트웨어</t>
    <phoneticPr fontId="2" type="noConversion"/>
  </si>
  <si>
    <t>폐기</t>
    <phoneticPr fontId="2" type="noConversion"/>
  </si>
  <si>
    <t>폐기</t>
    <phoneticPr fontId="2" type="noConversion"/>
  </si>
  <si>
    <t>비품</t>
    <phoneticPr fontId="2" type="noConversion"/>
  </si>
  <si>
    <t>유지</t>
    <phoneticPr fontId="2" type="noConversion"/>
  </si>
  <si>
    <t>시설장치</t>
    <phoneticPr fontId="2" type="noConversion"/>
  </si>
  <si>
    <t>AP</t>
    <phoneticPr fontId="2" type="noConversion"/>
  </si>
  <si>
    <t>총무팀</t>
    <phoneticPr fontId="2" type="noConversion"/>
  </si>
  <si>
    <t>총무팀</t>
    <phoneticPr fontId="2" type="noConversion"/>
  </si>
  <si>
    <t>카페읏(본사-상공회의소) 비트머신(3.0) 설치 공사 대금</t>
    <phoneticPr fontId="2" type="noConversion"/>
  </si>
  <si>
    <t>카페읏(본사-상공회의소) 비트머신(3.0)</t>
    <phoneticPr fontId="2" type="noConversion"/>
  </si>
  <si>
    <t>27기</t>
    <phoneticPr fontId="2" type="noConversion"/>
  </si>
  <si>
    <t>상표권 7건 연장 비용 정산(대리인수수료)</t>
    <phoneticPr fontId="2" type="noConversion"/>
  </si>
  <si>
    <t>상표권 7건 연장 비용 정산(관납료)</t>
    <phoneticPr fontId="2" type="noConversion"/>
  </si>
  <si>
    <t>감가상각비U5:AF121</t>
    <phoneticPr fontId="2" type="noConversion"/>
  </si>
  <si>
    <t>2026년 01월</t>
  </si>
  <si>
    <t>2026년 02월</t>
  </si>
  <si>
    <t>2026년 03월</t>
  </si>
  <si>
    <t>2026년 04월</t>
  </si>
  <si>
    <t>2026년 05월</t>
  </si>
  <si>
    <t>2026년 06월</t>
  </si>
  <si>
    <t>2026년 07월</t>
  </si>
  <si>
    <t>2026년 08월</t>
  </si>
  <si>
    <t>2026년 09월</t>
  </si>
  <si>
    <t>2026년 10월</t>
  </si>
  <si>
    <t>2026년 11월</t>
  </si>
  <si>
    <t>2026년 12월</t>
  </si>
  <si>
    <t>2026년 1월</t>
  </si>
  <si>
    <t>2026년 2월</t>
  </si>
  <si>
    <t>2026년 3월</t>
  </si>
  <si>
    <t>2026년 4월</t>
  </si>
  <si>
    <t>2026년 5월</t>
  </si>
  <si>
    <t>2026년 6월</t>
  </si>
  <si>
    <t>2026년 7월</t>
  </si>
  <si>
    <t>2026년 8월</t>
  </si>
  <si>
    <t>2026년 9월</t>
  </si>
  <si>
    <t>27기</t>
    <phoneticPr fontId="2" type="noConversion"/>
  </si>
  <si>
    <t>28기</t>
    <phoneticPr fontId="2" type="noConversion"/>
  </si>
  <si>
    <t>28기</t>
    <phoneticPr fontId="2" type="noConversion"/>
  </si>
  <si>
    <t>28기</t>
    <phoneticPr fontId="2" type="noConversion"/>
  </si>
  <si>
    <t>28기</t>
    <phoneticPr fontId="2" type="noConversion"/>
  </si>
  <si>
    <t>차량</t>
    <phoneticPr fontId="2" type="noConversion"/>
  </si>
  <si>
    <t>기말장부가액</t>
    <phoneticPr fontId="2" type="noConversion"/>
  </si>
  <si>
    <t>취득원가</t>
    <phoneticPr fontId="2" type="noConversion"/>
  </si>
  <si>
    <t>기말감가상각누계액</t>
    <phoneticPr fontId="2" type="noConversion"/>
  </si>
  <si>
    <t>대사_감비</t>
    <phoneticPr fontId="2" type="noConversion"/>
  </si>
  <si>
    <t>대사_감누</t>
    <phoneticPr fontId="2" type="noConversion"/>
  </si>
  <si>
    <t>대사_취득원가</t>
    <phoneticPr fontId="2" type="noConversion"/>
  </si>
  <si>
    <t>비품</t>
    <phoneticPr fontId="2" type="noConversion"/>
  </si>
  <si>
    <t>기초장부가액</t>
    <phoneticPr fontId="2" type="noConversion"/>
  </si>
  <si>
    <t>취득/자본적지출</t>
    <phoneticPr fontId="2" type="noConversion"/>
  </si>
  <si>
    <t>양도</t>
    <phoneticPr fontId="2" type="noConversion"/>
  </si>
  <si>
    <t>감가상각</t>
    <phoneticPr fontId="2" type="noConversion"/>
  </si>
  <si>
    <t>시설장치</t>
    <phoneticPr fontId="2" type="noConversion"/>
  </si>
  <si>
    <t>처분</t>
    <phoneticPr fontId="2" type="noConversion"/>
  </si>
  <si>
    <t>소프트웨어</t>
    <phoneticPr fontId="2" type="noConversion"/>
  </si>
  <si>
    <t>기초장부가</t>
    <phoneticPr fontId="2" type="noConversion"/>
  </si>
  <si>
    <t>상각</t>
    <phoneticPr fontId="2" type="noConversion"/>
  </si>
  <si>
    <t>기말장부가</t>
    <phoneticPr fontId="2" type="noConversion"/>
  </si>
  <si>
    <t>대사_기말장부가</t>
    <phoneticPr fontId="2" type="noConversion"/>
  </si>
  <si>
    <t>대사_상각비</t>
    <phoneticPr fontId="2" type="noConversion"/>
  </si>
  <si>
    <t>상표권</t>
    <phoneticPr fontId="2" type="noConversion"/>
  </si>
  <si>
    <t>기타무형자산</t>
    <phoneticPr fontId="2" type="noConversion"/>
  </si>
  <si>
    <t>2026년 기초</t>
    <phoneticPr fontId="2" type="noConversion"/>
  </si>
  <si>
    <t>2026년 합계</t>
    <phoneticPr fontId="2" type="noConversion"/>
  </si>
  <si>
    <t>상표권 1건 연장 비용 정산(대리인수수료)</t>
    <phoneticPr fontId="2" type="noConversion"/>
  </si>
  <si>
    <t>상표권 1건 연장 비용 정산(관납료)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</si>
</sst>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43" formatCode="_-* #,##0.00_-;\-* #,##0.00_-;_-* &quot;-&quot;??_-;_-@_-"/>
    <numFmt numFmtId="176" formatCode="0&quot;월&quot;"/>
    <numFmt numFmtId="177" formatCode="#,##0_-;[Red]\(#,##0\)_-;\-_-"/>
    <numFmt numFmtId="178" formatCode="0_);[Red]\(0\)"/>
    <numFmt numFmtId="179" formatCode="#,##0_ "/>
    <numFmt numFmtId="180" formatCode="_-* #,##0.0_-;\-* #,##0.0_-;_-* &quot;-&quot;_-;_-@_-"/>
    <numFmt numFmtId="181" formatCode="_-* #,##0.00000_-;\-* #,##0.00000_-;_-* &quot;-&quot;_-;_-@_-"/>
    <numFmt numFmtId="182" formatCode="#,##0_);[Red]\(#,##0\)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9"/>
      <color rgb="FF666666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Arial Narrow"/>
      <family val="2"/>
    </font>
    <font>
      <sz val="11"/>
      <color theme="0"/>
      <name val="맑은 고딕"/>
      <family val="2"/>
      <charset val="129"/>
      <scheme val="minor"/>
    </font>
    <font>
      <sz val="9"/>
      <color rgb="FF53699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AE0E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113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hair">
        <color auto="1"/>
      </right>
      <top style="thin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hair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medium">
        <color indexed="64"/>
      </top>
      <bottom/>
      <diagonal/>
    </border>
    <border>
      <left style="thick">
        <color rgb="FFFF0000"/>
      </left>
      <right style="thick">
        <color rgb="FFFF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auto="1"/>
      </right>
      <top style="hair">
        <color indexed="64"/>
      </top>
      <bottom style="hair">
        <color indexed="64"/>
      </bottom>
      <diagonal/>
    </border>
    <border>
      <left/>
      <right style="medium">
        <color auto="1"/>
      </right>
      <top/>
      <bottom style="medium">
        <color indexed="64"/>
      </bottom>
      <diagonal/>
    </border>
  </borders>
  <cellStyleXfs count="9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424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41" fontId="3" fillId="0" borderId="0" xfId="0" applyNumberFormat="1" applyFont="1">
      <alignment vertical="center"/>
    </xf>
    <xf numFmtId="0" fontId="3" fillId="0" borderId="9" xfId="0" applyFont="1" applyBorder="1">
      <alignment vertical="center"/>
    </xf>
    <xf numFmtId="0" fontId="3" fillId="0" borderId="10" xfId="0" applyFont="1" applyBorder="1">
      <alignment vertical="center"/>
    </xf>
    <xf numFmtId="14" fontId="5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4" fillId="3" borderId="12" xfId="0" applyFont="1" applyFill="1" applyBorder="1" applyAlignment="1">
      <alignment vertical="center"/>
    </xf>
    <xf numFmtId="41" fontId="4" fillId="3" borderId="12" xfId="0" applyNumberFormat="1" applyFont="1" applyFill="1" applyBorder="1" applyAlignment="1">
      <alignment vertical="center"/>
    </xf>
    <xf numFmtId="0" fontId="4" fillId="4" borderId="20" xfId="0" applyFont="1" applyFill="1" applyBorder="1" applyAlignment="1">
      <alignment horizontal="center" vertical="center"/>
    </xf>
    <xf numFmtId="178" fontId="5" fillId="0" borderId="23" xfId="0" applyNumberFormat="1" applyFont="1" applyBorder="1" applyAlignment="1">
      <alignment horizontal="center" vertical="center"/>
    </xf>
    <xf numFmtId="0" fontId="3" fillId="0" borderId="0" xfId="0" applyFont="1" applyBorder="1">
      <alignment vertical="center"/>
    </xf>
    <xf numFmtId="0" fontId="3" fillId="0" borderId="24" xfId="0" applyFont="1" applyBorder="1">
      <alignment vertical="center"/>
    </xf>
    <xf numFmtId="0" fontId="3" fillId="0" borderId="26" xfId="0" applyFont="1" applyBorder="1">
      <alignment vertical="center"/>
    </xf>
    <xf numFmtId="41" fontId="3" fillId="0" borderId="10" xfId="1" applyFont="1" applyBorder="1">
      <alignment vertical="center"/>
    </xf>
    <xf numFmtId="41" fontId="3" fillId="0" borderId="25" xfId="1" applyFont="1" applyBorder="1">
      <alignment vertical="center"/>
    </xf>
    <xf numFmtId="0" fontId="3" fillId="0" borderId="28" xfId="0" applyFont="1" applyBorder="1">
      <alignment vertical="center"/>
    </xf>
    <xf numFmtId="0" fontId="3" fillId="0" borderId="29" xfId="0" applyFont="1" applyBorder="1">
      <alignment vertical="center"/>
    </xf>
    <xf numFmtId="176" fontId="4" fillId="2" borderId="31" xfId="1" applyNumberFormat="1" applyFont="1" applyFill="1" applyBorder="1" applyAlignment="1">
      <alignment horizontal="center" vertical="center"/>
    </xf>
    <xf numFmtId="176" fontId="4" fillId="2" borderId="32" xfId="1" applyNumberFormat="1" applyFont="1" applyFill="1" applyBorder="1" applyAlignment="1">
      <alignment horizontal="center" vertical="center"/>
    </xf>
    <xf numFmtId="176" fontId="4" fillId="2" borderId="36" xfId="1" applyNumberFormat="1" applyFont="1" applyFill="1" applyBorder="1" applyAlignment="1">
      <alignment horizontal="center" vertical="center"/>
    </xf>
    <xf numFmtId="176" fontId="4" fillId="2" borderId="38" xfId="1" applyNumberFormat="1" applyFont="1" applyFill="1" applyBorder="1" applyAlignment="1">
      <alignment horizontal="center" vertical="center"/>
    </xf>
    <xf numFmtId="41" fontId="3" fillId="0" borderId="28" xfId="1" applyFont="1" applyBorder="1">
      <alignment vertical="center"/>
    </xf>
    <xf numFmtId="41" fontId="3" fillId="0" borderId="6" xfId="1" applyFont="1" applyFill="1" applyBorder="1">
      <alignment vertical="center"/>
    </xf>
    <xf numFmtId="41" fontId="3" fillId="0" borderId="0" xfId="1" applyFont="1" applyFill="1" applyBorder="1">
      <alignment vertical="center"/>
    </xf>
    <xf numFmtId="41" fontId="3" fillId="0" borderId="8" xfId="1" applyFont="1" applyFill="1" applyBorder="1">
      <alignment vertical="center"/>
    </xf>
    <xf numFmtId="41" fontId="3" fillId="0" borderId="0" xfId="1" applyFont="1" applyBorder="1">
      <alignment vertical="center"/>
    </xf>
    <xf numFmtId="41" fontId="3" fillId="0" borderId="29" xfId="1" applyFont="1" applyBorder="1">
      <alignment vertical="center"/>
    </xf>
    <xf numFmtId="41" fontId="4" fillId="3" borderId="34" xfId="1" applyFont="1" applyFill="1" applyBorder="1">
      <alignment vertical="center"/>
    </xf>
    <xf numFmtId="41" fontId="4" fillId="3" borderId="35" xfId="1" applyFont="1" applyFill="1" applyBorder="1">
      <alignment vertical="center"/>
    </xf>
    <xf numFmtId="0" fontId="4" fillId="4" borderId="39" xfId="0" applyFont="1" applyFill="1" applyBorder="1" applyAlignment="1">
      <alignment horizontal="center" vertical="center"/>
    </xf>
    <xf numFmtId="41" fontId="3" fillId="0" borderId="0" xfId="1" applyFont="1">
      <alignment vertical="center"/>
    </xf>
    <xf numFmtId="41" fontId="4" fillId="3" borderId="15" xfId="1" applyFont="1" applyFill="1" applyBorder="1" applyAlignment="1">
      <alignment vertical="center"/>
    </xf>
    <xf numFmtId="41" fontId="4" fillId="3" borderId="42" xfId="0" applyNumberFormat="1" applyFont="1" applyFill="1" applyBorder="1" applyAlignment="1">
      <alignment vertical="center"/>
    </xf>
    <xf numFmtId="41" fontId="4" fillId="3" borderId="40" xfId="1" applyFont="1" applyFill="1" applyBorder="1" applyAlignment="1">
      <alignment vertical="center"/>
    </xf>
    <xf numFmtId="0" fontId="4" fillId="2" borderId="30" xfId="0" applyFont="1" applyFill="1" applyBorder="1" applyAlignment="1">
      <alignment horizontal="center" vertical="center" wrapText="1"/>
    </xf>
    <xf numFmtId="0" fontId="4" fillId="2" borderId="32" xfId="0" applyFont="1" applyFill="1" applyBorder="1" applyAlignment="1">
      <alignment horizontal="center" vertical="center" wrapText="1"/>
    </xf>
    <xf numFmtId="177" fontId="4" fillId="3" borderId="33" xfId="1" applyNumberFormat="1" applyFont="1" applyFill="1" applyBorder="1" applyAlignment="1">
      <alignment horizontal="right" vertical="center"/>
    </xf>
    <xf numFmtId="177" fontId="4" fillId="3" borderId="35" xfId="1" applyNumberFormat="1" applyFont="1" applyFill="1" applyBorder="1" applyAlignment="1">
      <alignment horizontal="right" vertical="center"/>
    </xf>
    <xf numFmtId="0" fontId="4" fillId="2" borderId="37" xfId="0" applyFont="1" applyFill="1" applyBorder="1" applyAlignment="1">
      <alignment horizontal="center" vertical="center" wrapText="1"/>
    </xf>
    <xf numFmtId="177" fontId="4" fillId="3" borderId="14" xfId="1" applyNumberFormat="1" applyFont="1" applyFill="1" applyBorder="1" applyAlignment="1">
      <alignment horizontal="right" vertical="center"/>
    </xf>
    <xf numFmtId="0" fontId="4" fillId="2" borderId="43" xfId="0" applyFont="1" applyFill="1" applyBorder="1" applyAlignment="1">
      <alignment horizontal="center" vertical="center" wrapText="1"/>
    </xf>
    <xf numFmtId="177" fontId="4" fillId="3" borderId="13" xfId="1" applyNumberFormat="1" applyFont="1" applyFill="1" applyBorder="1" applyAlignment="1">
      <alignment horizontal="right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41" fontId="4" fillId="4" borderId="20" xfId="1" applyFont="1" applyFill="1" applyBorder="1" applyAlignment="1">
      <alignment horizontal="center" vertical="center"/>
    </xf>
    <xf numFmtId="41" fontId="3" fillId="0" borderId="0" xfId="1" applyFont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4" fillId="4" borderId="39" xfId="0" applyFont="1" applyFill="1" applyBorder="1" applyAlignment="1">
      <alignment horizontal="center" vertical="center"/>
    </xf>
    <xf numFmtId="14" fontId="5" fillId="0" borderId="9" xfId="0" applyNumberFormat="1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3" fillId="0" borderId="41" xfId="0" applyFont="1" applyBorder="1">
      <alignment vertical="center"/>
    </xf>
    <xf numFmtId="0" fontId="4" fillId="4" borderId="45" xfId="0" applyFont="1" applyFill="1" applyBorder="1" applyAlignment="1">
      <alignment horizontal="center" vertical="center"/>
    </xf>
    <xf numFmtId="0" fontId="3" fillId="0" borderId="44" xfId="0" applyFont="1" applyBorder="1">
      <alignment vertical="center"/>
    </xf>
    <xf numFmtId="0" fontId="5" fillId="0" borderId="10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41" fontId="5" fillId="0" borderId="23" xfId="1" applyFont="1" applyBorder="1">
      <alignment vertical="center"/>
    </xf>
    <xf numFmtId="41" fontId="3" fillId="0" borderId="24" xfId="0" applyNumberFormat="1" applyFont="1" applyBorder="1">
      <alignment vertical="center"/>
    </xf>
    <xf numFmtId="41" fontId="3" fillId="0" borderId="27" xfId="0" applyNumberFormat="1" applyFont="1" applyBorder="1">
      <alignment vertical="center"/>
    </xf>
    <xf numFmtId="41" fontId="4" fillId="3" borderId="11" xfId="0" applyNumberFormat="1" applyFont="1" applyFill="1" applyBorder="1" applyAlignment="1">
      <alignment vertical="center"/>
    </xf>
    <xf numFmtId="41" fontId="4" fillId="3" borderId="15" xfId="0" applyNumberFormat="1" applyFont="1" applyFill="1" applyBorder="1" applyAlignment="1">
      <alignment vertical="center"/>
    </xf>
    <xf numFmtId="41" fontId="4" fillId="3" borderId="49" xfId="1" applyFont="1" applyFill="1" applyBorder="1" applyAlignment="1">
      <alignment vertical="center"/>
    </xf>
    <xf numFmtId="41" fontId="3" fillId="0" borderId="0" xfId="0" applyNumberFormat="1" applyFont="1" applyBorder="1">
      <alignment vertical="center"/>
    </xf>
    <xf numFmtId="41" fontId="4" fillId="4" borderId="19" xfId="1" applyFont="1" applyFill="1" applyBorder="1" applyAlignment="1">
      <alignment horizontal="center" vertical="center"/>
    </xf>
    <xf numFmtId="41" fontId="3" fillId="0" borderId="23" xfId="1" applyFont="1" applyBorder="1">
      <alignment vertical="center"/>
    </xf>
    <xf numFmtId="41" fontId="3" fillId="0" borderId="50" xfId="1" applyFont="1" applyBorder="1">
      <alignment vertical="center"/>
    </xf>
    <xf numFmtId="14" fontId="3" fillId="0" borderId="10" xfId="0" applyNumberFormat="1" applyFont="1" applyBorder="1" applyAlignment="1">
      <alignment horizontal="center" vertical="center"/>
    </xf>
    <xf numFmtId="0" fontId="0" fillId="0" borderId="0" xfId="0" applyFont="1">
      <alignment vertical="center"/>
    </xf>
    <xf numFmtId="0" fontId="6" fillId="0" borderId="0" xfId="0" applyFont="1">
      <alignment vertical="center"/>
    </xf>
    <xf numFmtId="41" fontId="0" fillId="0" borderId="52" xfId="0" applyNumberFormat="1" applyFont="1" applyBorder="1">
      <alignment vertical="center"/>
    </xf>
    <xf numFmtId="176" fontId="4" fillId="2" borderId="17" xfId="1" applyNumberFormat="1" applyFont="1" applyFill="1" applyBorder="1" applyAlignment="1">
      <alignment horizontal="center" vertical="center"/>
    </xf>
    <xf numFmtId="176" fontId="4" fillId="2" borderId="18" xfId="1" applyNumberFormat="1" applyFont="1" applyFill="1" applyBorder="1" applyAlignment="1">
      <alignment horizontal="center" vertical="center"/>
    </xf>
    <xf numFmtId="41" fontId="0" fillId="0" borderId="54" xfId="0" applyNumberFormat="1" applyFont="1" applyBorder="1">
      <alignment vertical="center"/>
    </xf>
    <xf numFmtId="41" fontId="0" fillId="0" borderId="17" xfId="0" applyNumberFormat="1" applyFont="1" applyBorder="1">
      <alignment vertical="center"/>
    </xf>
    <xf numFmtId="41" fontId="0" fillId="5" borderId="40" xfId="0" applyNumberFormat="1" applyFont="1" applyFill="1" applyBorder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41" fontId="0" fillId="0" borderId="0" xfId="0" applyNumberFormat="1" applyFont="1">
      <alignment vertical="center"/>
    </xf>
    <xf numFmtId="176" fontId="4" fillId="2" borderId="37" xfId="1" applyNumberFormat="1" applyFont="1" applyFill="1" applyBorder="1" applyAlignment="1">
      <alignment horizontal="center" vertical="center"/>
    </xf>
    <xf numFmtId="41" fontId="4" fillId="3" borderId="12" xfId="1" applyFont="1" applyFill="1" applyBorder="1">
      <alignment vertical="center"/>
    </xf>
    <xf numFmtId="41" fontId="4" fillId="3" borderId="34" xfId="1" applyFont="1" applyFill="1" applyBorder="1" applyAlignment="1">
      <alignment vertical="center"/>
    </xf>
    <xf numFmtId="41" fontId="3" fillId="0" borderId="7" xfId="1" applyFont="1" applyFill="1" applyBorder="1">
      <alignment vertical="center"/>
    </xf>
    <xf numFmtId="41" fontId="4" fillId="3" borderId="11" xfId="1" applyFont="1" applyFill="1" applyBorder="1" applyAlignment="1">
      <alignment vertical="center"/>
    </xf>
    <xf numFmtId="14" fontId="3" fillId="0" borderId="0" xfId="0" applyNumberFormat="1" applyFont="1" applyBorder="1" applyAlignment="1">
      <alignment horizontal="center" vertical="center"/>
    </xf>
    <xf numFmtId="3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41" fontId="4" fillId="3" borderId="49" xfId="1" applyFont="1" applyFill="1" applyBorder="1">
      <alignment vertical="center"/>
    </xf>
    <xf numFmtId="0" fontId="3" fillId="6" borderId="0" xfId="0" applyFont="1" applyFill="1">
      <alignment vertical="center"/>
    </xf>
    <xf numFmtId="14" fontId="3" fillId="6" borderId="0" xfId="0" applyNumberFormat="1" applyFont="1" applyFill="1" applyAlignment="1">
      <alignment horizontal="center" vertical="center"/>
    </xf>
    <xf numFmtId="41" fontId="4" fillId="3" borderId="35" xfId="1" applyFont="1" applyFill="1" applyBorder="1" applyAlignment="1">
      <alignment horizontal="right" vertical="center"/>
    </xf>
    <xf numFmtId="179" fontId="9" fillId="0" borderId="0" xfId="0" applyNumberFormat="1" applyFont="1" applyBorder="1" applyAlignment="1">
      <alignment horizontal="right" vertical="center" wrapText="1"/>
    </xf>
    <xf numFmtId="0" fontId="10" fillId="0" borderId="0" xfId="0" applyFont="1" applyFill="1" applyAlignment="1">
      <alignment vertical="center"/>
    </xf>
    <xf numFmtId="0" fontId="0" fillId="0" borderId="0" xfId="0">
      <alignment vertical="center"/>
    </xf>
    <xf numFmtId="0" fontId="3" fillId="0" borderId="25" xfId="0" applyFont="1" applyBorder="1">
      <alignment vertical="center"/>
    </xf>
    <xf numFmtId="41" fontId="4" fillId="3" borderId="11" xfId="1" applyFont="1" applyFill="1" applyBorder="1">
      <alignment vertical="center"/>
    </xf>
    <xf numFmtId="41" fontId="3" fillId="0" borderId="44" xfId="1" applyFont="1" applyBorder="1">
      <alignment vertical="center"/>
    </xf>
    <xf numFmtId="41" fontId="3" fillId="0" borderId="24" xfId="1" applyFont="1" applyBorder="1">
      <alignment vertical="center"/>
    </xf>
    <xf numFmtId="180" fontId="3" fillId="0" borderId="0" xfId="1" applyNumberFormat="1" applyFont="1" applyAlignment="1">
      <alignment horizontal="center" vertical="center"/>
    </xf>
    <xf numFmtId="41" fontId="3" fillId="0" borderId="28" xfId="1" applyFont="1" applyFill="1" applyBorder="1">
      <alignment vertical="center"/>
    </xf>
    <xf numFmtId="181" fontId="3" fillId="0" borderId="0" xfId="0" applyNumberFormat="1" applyFont="1">
      <alignment vertical="center"/>
    </xf>
    <xf numFmtId="178" fontId="5" fillId="0" borderId="28" xfId="0" applyNumberFormat="1" applyFont="1" applyBorder="1" applyAlignment="1">
      <alignment horizontal="center" vertical="center"/>
    </xf>
    <xf numFmtId="43" fontId="3" fillId="0" borderId="0" xfId="0" applyNumberFormat="1" applyFont="1">
      <alignment vertical="center"/>
    </xf>
    <xf numFmtId="176" fontId="4" fillId="2" borderId="5" xfId="1" applyNumberFormat="1" applyFont="1" applyFill="1" applyBorder="1" applyAlignment="1">
      <alignment horizontal="center" vertical="center"/>
    </xf>
    <xf numFmtId="0" fontId="0" fillId="0" borderId="60" xfId="0" applyFont="1" applyBorder="1">
      <alignment vertical="center"/>
    </xf>
    <xf numFmtId="0" fontId="0" fillId="0" borderId="61" xfId="0" applyFont="1" applyBorder="1">
      <alignment vertical="center"/>
    </xf>
    <xf numFmtId="0" fontId="0" fillId="5" borderId="11" xfId="0" applyFont="1" applyFill="1" applyBorder="1">
      <alignment vertical="center"/>
    </xf>
    <xf numFmtId="0" fontId="0" fillId="0" borderId="5" xfId="0" applyFont="1" applyBorder="1">
      <alignment vertical="center"/>
    </xf>
    <xf numFmtId="0" fontId="0" fillId="0" borderId="36" xfId="0" applyFont="1" applyBorder="1">
      <alignment vertical="center"/>
    </xf>
    <xf numFmtId="176" fontId="4" fillId="2" borderId="51" xfId="1" applyNumberFormat="1" applyFont="1" applyFill="1" applyBorder="1" applyAlignment="1">
      <alignment horizontal="center" vertical="center"/>
    </xf>
    <xf numFmtId="41" fontId="0" fillId="0" borderId="57" xfId="0" applyNumberFormat="1" applyFont="1" applyBorder="1">
      <alignment vertical="center"/>
    </xf>
    <xf numFmtId="41" fontId="0" fillId="0" borderId="62" xfId="0" applyNumberFormat="1" applyFont="1" applyBorder="1">
      <alignment vertical="center"/>
    </xf>
    <xf numFmtId="41" fontId="0" fillId="5" borderId="58" xfId="0" applyNumberFormat="1" applyFont="1" applyFill="1" applyBorder="1">
      <alignment vertical="center"/>
    </xf>
    <xf numFmtId="41" fontId="0" fillId="0" borderId="51" xfId="0" applyNumberFormat="1" applyFont="1" applyBorder="1">
      <alignment vertical="center"/>
    </xf>
    <xf numFmtId="41" fontId="0" fillId="0" borderId="63" xfId="1" applyFont="1" applyBorder="1">
      <alignment vertical="center"/>
    </xf>
    <xf numFmtId="41" fontId="0" fillId="5" borderId="64" xfId="1" applyFont="1" applyFill="1" applyBorder="1">
      <alignment vertical="center"/>
    </xf>
    <xf numFmtId="0" fontId="0" fillId="0" borderId="65" xfId="0" applyFont="1" applyBorder="1">
      <alignment vertical="center"/>
    </xf>
    <xf numFmtId="41" fontId="0" fillId="0" borderId="66" xfId="1" applyFont="1" applyBorder="1">
      <alignment vertical="center"/>
    </xf>
    <xf numFmtId="41" fontId="0" fillId="0" borderId="65" xfId="1" applyFont="1" applyBorder="1">
      <alignment vertical="center"/>
    </xf>
    <xf numFmtId="41" fontId="6" fillId="0" borderId="65" xfId="1" applyFont="1" applyBorder="1">
      <alignment vertical="center"/>
    </xf>
    <xf numFmtId="41" fontId="4" fillId="2" borderId="66" xfId="1" applyFont="1" applyFill="1" applyBorder="1" applyAlignment="1">
      <alignment horizontal="center" vertical="center"/>
    </xf>
    <xf numFmtId="41" fontId="3" fillId="0" borderId="67" xfId="1" applyFont="1" applyBorder="1">
      <alignment vertical="center"/>
    </xf>
    <xf numFmtId="41" fontId="0" fillId="0" borderId="68" xfId="1" applyFont="1" applyBorder="1">
      <alignment vertical="center"/>
    </xf>
    <xf numFmtId="41" fontId="0" fillId="0" borderId="69" xfId="1" applyFont="1" applyBorder="1">
      <alignment vertical="center"/>
    </xf>
    <xf numFmtId="41" fontId="0" fillId="0" borderId="62" xfId="0" applyNumberFormat="1" applyFont="1" applyFill="1" applyBorder="1">
      <alignment vertical="center"/>
    </xf>
    <xf numFmtId="0" fontId="3" fillId="0" borderId="9" xfId="0" applyFont="1" applyFill="1" applyBorder="1">
      <alignment vertical="center"/>
    </xf>
    <xf numFmtId="0" fontId="5" fillId="0" borderId="9" xfId="0" applyFont="1" applyFill="1" applyBorder="1">
      <alignment vertical="center"/>
    </xf>
    <xf numFmtId="41" fontId="15" fillId="0" borderId="63" xfId="1" applyFont="1" applyBorder="1">
      <alignment vertical="center"/>
    </xf>
    <xf numFmtId="41" fontId="0" fillId="4" borderId="63" xfId="1" applyFont="1" applyFill="1" applyBorder="1">
      <alignment vertical="center"/>
    </xf>
    <xf numFmtId="41" fontId="0" fillId="4" borderId="64" xfId="1" applyFont="1" applyFill="1" applyBorder="1">
      <alignment vertical="center"/>
    </xf>
    <xf numFmtId="41" fontId="12" fillId="8" borderId="0" xfId="1" applyFont="1" applyFill="1">
      <alignment vertical="center"/>
    </xf>
    <xf numFmtId="41" fontId="12" fillId="8" borderId="0" xfId="0" applyNumberFormat="1" applyFont="1" applyFill="1">
      <alignment vertical="center"/>
    </xf>
    <xf numFmtId="41" fontId="14" fillId="0" borderId="0" xfId="1" applyFont="1">
      <alignment vertical="center"/>
    </xf>
    <xf numFmtId="0" fontId="16" fillId="8" borderId="0" xfId="0" applyFont="1" applyFill="1">
      <alignment vertical="center"/>
    </xf>
    <xf numFmtId="179" fontId="9" fillId="0" borderId="72" xfId="0" applyNumberFormat="1" applyFont="1" applyBorder="1" applyAlignment="1">
      <alignment horizontal="right" vertical="center"/>
    </xf>
    <xf numFmtId="0" fontId="0" fillId="0" borderId="0" xfId="0" applyAlignment="1">
      <alignment vertical="center"/>
    </xf>
    <xf numFmtId="0" fontId="9" fillId="0" borderId="72" xfId="0" applyFont="1" applyBorder="1" applyAlignment="1">
      <alignment horizontal="center" vertical="center"/>
    </xf>
    <xf numFmtId="49" fontId="9" fillId="0" borderId="72" xfId="0" applyNumberFormat="1" applyFont="1" applyBorder="1" applyAlignment="1">
      <alignment horizontal="left" vertical="center"/>
    </xf>
    <xf numFmtId="41" fontId="9" fillId="0" borderId="72" xfId="1" applyFont="1" applyBorder="1" applyAlignment="1">
      <alignment horizontal="right" vertical="center"/>
    </xf>
    <xf numFmtId="49" fontId="9" fillId="9" borderId="71" xfId="0" applyNumberFormat="1" applyFont="1" applyFill="1" applyBorder="1" applyAlignment="1">
      <alignment horizontal="left" vertical="center"/>
    </xf>
    <xf numFmtId="49" fontId="13" fillId="7" borderId="70" xfId="0" applyNumberFormat="1" applyFont="1" applyFill="1" applyBorder="1" applyAlignment="1">
      <alignment horizontal="center" vertical="center"/>
    </xf>
    <xf numFmtId="0" fontId="9" fillId="0" borderId="71" xfId="0" applyFont="1" applyBorder="1" applyAlignment="1">
      <alignment horizontal="center" vertical="center"/>
    </xf>
    <xf numFmtId="49" fontId="9" fillId="0" borderId="71" xfId="0" applyNumberFormat="1" applyFont="1" applyBorder="1" applyAlignment="1">
      <alignment horizontal="left" vertical="center"/>
    </xf>
    <xf numFmtId="179" fontId="9" fillId="0" borderId="71" xfId="0" applyNumberFormat="1" applyFont="1" applyBorder="1" applyAlignment="1">
      <alignment horizontal="right" vertical="center"/>
    </xf>
    <xf numFmtId="49" fontId="13" fillId="7" borderId="70" xfId="0" applyNumberFormat="1" applyFont="1" applyFill="1" applyBorder="1" applyAlignment="1">
      <alignment horizontal="center" vertical="center"/>
    </xf>
    <xf numFmtId="49" fontId="13" fillId="7" borderId="74" xfId="0" applyNumberFormat="1" applyFont="1" applyFill="1" applyBorder="1" applyAlignment="1">
      <alignment horizontal="center" vertical="center"/>
    </xf>
    <xf numFmtId="179" fontId="9" fillId="0" borderId="75" xfId="0" applyNumberFormat="1" applyFont="1" applyBorder="1" applyAlignment="1">
      <alignment horizontal="right" vertical="center"/>
    </xf>
    <xf numFmtId="179" fontId="9" fillId="0" borderId="76" xfId="0" applyNumberFormat="1" applyFont="1" applyBorder="1" applyAlignment="1">
      <alignment horizontal="right" vertical="center"/>
    </xf>
    <xf numFmtId="0" fontId="0" fillId="0" borderId="0" xfId="0">
      <alignment vertical="center"/>
    </xf>
    <xf numFmtId="0" fontId="14" fillId="11" borderId="0" xfId="0" applyFont="1" applyFill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3" borderId="55" xfId="0" applyFill="1" applyBorder="1">
      <alignment vertical="center"/>
    </xf>
    <xf numFmtId="0" fontId="0" fillId="3" borderId="59" xfId="0" applyFill="1" applyBorder="1">
      <alignment vertical="center"/>
    </xf>
    <xf numFmtId="0" fontId="0" fillId="3" borderId="77" xfId="0" applyFill="1" applyBorder="1" applyAlignment="1">
      <alignment horizontal="center" vertical="center"/>
    </xf>
    <xf numFmtId="0" fontId="0" fillId="3" borderId="52" xfId="0" applyFill="1" applyBorder="1">
      <alignment vertical="center"/>
    </xf>
    <xf numFmtId="0" fontId="0" fillId="3" borderId="53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>
      <alignment vertical="center"/>
    </xf>
    <xf numFmtId="0" fontId="0" fillId="3" borderId="21" xfId="0" applyFill="1" applyBorder="1">
      <alignment vertical="center"/>
    </xf>
    <xf numFmtId="41" fontId="3" fillId="0" borderId="10" xfId="1" applyFont="1" applyFill="1" applyBorder="1">
      <alignment vertical="center"/>
    </xf>
    <xf numFmtId="41" fontId="3" fillId="0" borderId="29" xfId="1" applyFont="1" applyFill="1" applyBorder="1">
      <alignment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14" fontId="17" fillId="0" borderId="0" xfId="0" applyNumberFormat="1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14" fontId="17" fillId="0" borderId="10" xfId="0" applyNumberFormat="1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5" fillId="0" borderId="41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41" fontId="3" fillId="0" borderId="29" xfId="0" applyNumberFormat="1" applyFont="1" applyBorder="1">
      <alignment vertical="center"/>
    </xf>
    <xf numFmtId="0" fontId="3" fillId="0" borderId="0" xfId="0" applyFont="1" applyFill="1">
      <alignment vertical="center"/>
    </xf>
    <xf numFmtId="41" fontId="4" fillId="3" borderId="49" xfId="0" applyNumberFormat="1" applyFont="1" applyFill="1" applyBorder="1" applyAlignment="1">
      <alignment vertical="center"/>
    </xf>
    <xf numFmtId="0" fontId="3" fillId="0" borderId="10" xfId="0" applyFont="1" applyFill="1" applyBorder="1">
      <alignment vertical="center"/>
    </xf>
    <xf numFmtId="41" fontId="4" fillId="0" borderId="40" xfId="0" applyNumberFormat="1" applyFont="1" applyFill="1" applyBorder="1" applyAlignment="1">
      <alignment vertical="center"/>
    </xf>
    <xf numFmtId="41" fontId="4" fillId="4" borderId="36" xfId="1" applyFont="1" applyFill="1" applyBorder="1" applyAlignment="1">
      <alignment horizontal="center" vertical="center"/>
    </xf>
    <xf numFmtId="0" fontId="3" fillId="0" borderId="25" xfId="0" applyFont="1" applyFill="1" applyBorder="1">
      <alignment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vertical="center"/>
    </xf>
    <xf numFmtId="0" fontId="4" fillId="6" borderId="2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/>
    </xf>
    <xf numFmtId="0" fontId="4" fillId="4" borderId="39" xfId="0" applyFont="1" applyFill="1" applyBorder="1" applyAlignment="1">
      <alignment vertical="center"/>
    </xf>
    <xf numFmtId="0" fontId="4" fillId="4" borderId="18" xfId="0" applyFont="1" applyFill="1" applyBorder="1" applyAlignment="1">
      <alignment vertical="center"/>
    </xf>
    <xf numFmtId="0" fontId="4" fillId="4" borderId="21" xfId="0" applyFont="1" applyFill="1" applyBorder="1" applyAlignment="1">
      <alignment vertical="center"/>
    </xf>
    <xf numFmtId="0" fontId="4" fillId="6" borderId="46" xfId="0" applyFont="1" applyFill="1" applyBorder="1" applyAlignment="1">
      <alignment vertical="center"/>
    </xf>
    <xf numFmtId="0" fontId="4" fillId="6" borderId="46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4" fillId="4" borderId="48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6" borderId="25" xfId="0" applyFont="1" applyFill="1" applyBorder="1" applyAlignment="1">
      <alignment horizontal="center" vertical="center"/>
    </xf>
    <xf numFmtId="0" fontId="4" fillId="6" borderId="25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vertical="center"/>
    </xf>
    <xf numFmtId="0" fontId="4" fillId="4" borderId="81" xfId="0" applyFont="1" applyFill="1" applyBorder="1" applyAlignment="1">
      <alignment vertical="center"/>
    </xf>
    <xf numFmtId="0" fontId="4" fillId="4" borderId="55" xfId="0" applyFont="1" applyFill="1" applyBorder="1" applyAlignment="1">
      <alignment horizontal="center" vertical="center"/>
    </xf>
    <xf numFmtId="0" fontId="4" fillId="4" borderId="82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4" fillId="6" borderId="44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center" vertical="center" wrapText="1"/>
    </xf>
    <xf numFmtId="0" fontId="4" fillId="6" borderId="44" xfId="0" applyFont="1" applyFill="1" applyBorder="1" applyAlignment="1">
      <alignment horizontal="center" vertical="center"/>
    </xf>
    <xf numFmtId="0" fontId="4" fillId="4" borderId="78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right" vertical="center"/>
    </xf>
    <xf numFmtId="182" fontId="0" fillId="0" borderId="20" xfId="1" applyNumberFormat="1" applyFont="1" applyBorder="1">
      <alignment vertical="center"/>
    </xf>
    <xf numFmtId="182" fontId="0" fillId="0" borderId="52" xfId="1" applyNumberFormat="1" applyFont="1" applyBorder="1">
      <alignment vertical="center"/>
    </xf>
    <xf numFmtId="0" fontId="0" fillId="0" borderId="77" xfId="0" applyFill="1" applyBorder="1" applyAlignment="1">
      <alignment horizontal="center" vertical="center"/>
    </xf>
    <xf numFmtId="182" fontId="0" fillId="0" borderId="52" xfId="1" applyNumberFormat="1" applyFont="1" applyFill="1" applyBorder="1">
      <alignment vertical="center"/>
    </xf>
    <xf numFmtId="182" fontId="0" fillId="0" borderId="52" xfId="0" applyNumberFormat="1" applyBorder="1">
      <alignment vertical="center"/>
    </xf>
    <xf numFmtId="182" fontId="0" fillId="0" borderId="20" xfId="0" applyNumberFormat="1" applyBorder="1">
      <alignment vertical="center"/>
    </xf>
    <xf numFmtId="41" fontId="3" fillId="0" borderId="83" xfId="1" applyFont="1" applyBorder="1">
      <alignment vertical="center"/>
    </xf>
    <xf numFmtId="41" fontId="3" fillId="0" borderId="84" xfId="1" applyFont="1" applyBorder="1">
      <alignment vertical="center"/>
    </xf>
    <xf numFmtId="41" fontId="3" fillId="0" borderId="85" xfId="1" applyFont="1" applyBorder="1">
      <alignment vertical="center"/>
    </xf>
    <xf numFmtId="176" fontId="4" fillId="2" borderId="89" xfId="1" applyNumberFormat="1" applyFont="1" applyFill="1" applyBorder="1" applyAlignment="1">
      <alignment horizontal="center" vertical="center"/>
    </xf>
    <xf numFmtId="176" fontId="4" fillId="2" borderId="67" xfId="1" applyNumberFormat="1" applyFont="1" applyFill="1" applyBorder="1" applyAlignment="1">
      <alignment horizontal="center" vertical="center"/>
    </xf>
    <xf numFmtId="176" fontId="4" fillId="2" borderId="90" xfId="1" applyNumberFormat="1" applyFont="1" applyFill="1" applyBorder="1" applyAlignment="1">
      <alignment horizontal="center" vertical="center"/>
    </xf>
    <xf numFmtId="41" fontId="4" fillId="3" borderId="89" xfId="1" applyFont="1" applyFill="1" applyBorder="1">
      <alignment vertical="center"/>
    </xf>
    <xf numFmtId="41" fontId="4" fillId="3" borderId="67" xfId="1" applyFont="1" applyFill="1" applyBorder="1">
      <alignment vertical="center"/>
    </xf>
    <xf numFmtId="41" fontId="4" fillId="3" borderId="90" xfId="1" applyFont="1" applyFill="1" applyBorder="1">
      <alignment vertical="center"/>
    </xf>
    <xf numFmtId="41" fontId="3" fillId="0" borderId="86" xfId="1" applyFont="1" applyBorder="1">
      <alignment vertical="center"/>
    </xf>
    <xf numFmtId="41" fontId="3" fillId="0" borderId="87" xfId="1" applyFont="1" applyBorder="1">
      <alignment vertical="center"/>
    </xf>
    <xf numFmtId="41" fontId="3" fillId="0" borderId="88" xfId="1" applyFont="1" applyBorder="1">
      <alignment vertical="center"/>
    </xf>
    <xf numFmtId="176" fontId="4" fillId="2" borderId="50" xfId="1" applyNumberFormat="1" applyFont="1" applyFill="1" applyBorder="1" applyAlignment="1">
      <alignment horizontal="center" vertical="center"/>
    </xf>
    <xf numFmtId="176" fontId="4" fillId="2" borderId="13" xfId="1" applyNumberFormat="1" applyFont="1" applyFill="1" applyBorder="1" applyAlignment="1">
      <alignment horizontal="center" vertical="center"/>
    </xf>
    <xf numFmtId="176" fontId="4" fillId="2" borderId="42" xfId="1" applyNumberFormat="1" applyFont="1" applyFill="1" applyBorder="1" applyAlignment="1">
      <alignment horizontal="center" vertical="center"/>
    </xf>
    <xf numFmtId="176" fontId="4" fillId="2" borderId="91" xfId="1" applyNumberFormat="1" applyFont="1" applyFill="1" applyBorder="1" applyAlignment="1">
      <alignment horizontal="center" vertical="center"/>
    </xf>
    <xf numFmtId="176" fontId="4" fillId="2" borderId="15" xfId="1" applyNumberFormat="1" applyFont="1" applyFill="1" applyBorder="1" applyAlignment="1">
      <alignment horizontal="center" vertical="center"/>
    </xf>
    <xf numFmtId="41" fontId="3" fillId="0" borderId="83" xfId="1" applyFont="1" applyFill="1" applyBorder="1">
      <alignment vertical="center"/>
    </xf>
    <xf numFmtId="41" fontId="3" fillId="0" borderId="84" xfId="1" applyFont="1" applyFill="1" applyBorder="1">
      <alignment vertical="center"/>
    </xf>
    <xf numFmtId="41" fontId="3" fillId="0" borderId="85" xfId="1" applyFont="1" applyFill="1" applyBorder="1">
      <alignment vertical="center"/>
    </xf>
    <xf numFmtId="41" fontId="3" fillId="0" borderId="92" xfId="1" applyFont="1" applyFill="1" applyBorder="1">
      <alignment vertical="center"/>
    </xf>
    <xf numFmtId="41" fontId="3" fillId="0" borderId="93" xfId="1" applyFont="1" applyFill="1" applyBorder="1">
      <alignment vertical="center"/>
    </xf>
    <xf numFmtId="41" fontId="3" fillId="0" borderId="94" xfId="1" applyFont="1" applyFill="1" applyBorder="1">
      <alignment vertical="center"/>
    </xf>
    <xf numFmtId="176" fontId="4" fillId="2" borderId="30" xfId="1" applyNumberFormat="1" applyFont="1" applyFill="1" applyBorder="1" applyAlignment="1">
      <alignment horizontal="center" vertical="center"/>
    </xf>
    <xf numFmtId="176" fontId="4" fillId="2" borderId="16" xfId="1" applyNumberFormat="1" applyFont="1" applyFill="1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182" fontId="0" fillId="0" borderId="55" xfId="1" applyNumberFormat="1" applyFont="1" applyBorder="1">
      <alignment vertical="center"/>
    </xf>
    <xf numFmtId="0" fontId="14" fillId="10" borderId="56" xfId="0" applyFont="1" applyFill="1" applyBorder="1" applyAlignment="1">
      <alignment horizontal="right" vertical="center"/>
    </xf>
    <xf numFmtId="14" fontId="14" fillId="10" borderId="40" xfId="0" applyNumberFormat="1" applyFont="1" applyFill="1" applyBorder="1" applyAlignment="1">
      <alignment horizontal="center" vertical="center"/>
    </xf>
    <xf numFmtId="14" fontId="14" fillId="10" borderId="15" xfId="0" applyNumberFormat="1" applyFont="1" applyFill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182" fontId="0" fillId="0" borderId="54" xfId="1" applyNumberFormat="1" applyFont="1" applyBorder="1">
      <alignment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>
      <alignment vertical="center"/>
    </xf>
    <xf numFmtId="182" fontId="0" fillId="0" borderId="55" xfId="0" applyNumberFormat="1" applyBorder="1">
      <alignment vertical="center"/>
    </xf>
    <xf numFmtId="0" fontId="18" fillId="0" borderId="0" xfId="0" applyFont="1" applyFill="1" applyBorder="1" applyAlignment="1">
      <alignment vertical="center"/>
    </xf>
    <xf numFmtId="182" fontId="0" fillId="3" borderId="55" xfId="0" applyNumberFormat="1" applyFill="1" applyBorder="1">
      <alignment vertical="center"/>
    </xf>
    <xf numFmtId="182" fontId="0" fillId="0" borderId="53" xfId="0" applyNumberFormat="1" applyBorder="1">
      <alignment vertical="center"/>
    </xf>
    <xf numFmtId="182" fontId="0" fillId="0" borderId="21" xfId="0" applyNumberFormat="1" applyBorder="1">
      <alignment vertical="center"/>
    </xf>
    <xf numFmtId="182" fontId="0" fillId="0" borderId="54" xfId="0" applyNumberFormat="1" applyBorder="1">
      <alignment vertical="center"/>
    </xf>
    <xf numFmtId="41" fontId="0" fillId="0" borderId="20" xfId="0" applyNumberFormat="1" applyFont="1" applyBorder="1">
      <alignment vertical="center"/>
    </xf>
    <xf numFmtId="41" fontId="0" fillId="0" borderId="97" xfId="0" applyNumberFormat="1" applyFont="1" applyBorder="1">
      <alignment vertical="center"/>
    </xf>
    <xf numFmtId="41" fontId="0" fillId="0" borderId="96" xfId="0" applyNumberFormat="1" applyFont="1" applyBorder="1">
      <alignment vertical="center"/>
    </xf>
    <xf numFmtId="182" fontId="0" fillId="0" borderId="52" xfId="0" applyNumberFormat="1" applyFont="1" applyBorder="1">
      <alignment vertical="center"/>
    </xf>
    <xf numFmtId="179" fontId="0" fillId="0" borderId="0" xfId="0" applyNumberFormat="1" applyAlignment="1">
      <alignment vertical="center"/>
    </xf>
    <xf numFmtId="0" fontId="9" fillId="0" borderId="71" xfId="0" applyFont="1" applyBorder="1" applyAlignment="1">
      <alignment horizontal="center" vertical="center"/>
    </xf>
    <xf numFmtId="49" fontId="9" fillId="0" borderId="71" xfId="0" applyNumberFormat="1" applyFont="1" applyBorder="1" applyAlignment="1">
      <alignment horizontal="left" vertical="center"/>
    </xf>
    <xf numFmtId="0" fontId="9" fillId="0" borderId="71" xfId="0" applyFont="1" applyBorder="1" applyAlignment="1">
      <alignment horizontal="center" vertical="center"/>
    </xf>
    <xf numFmtId="49" fontId="9" fillId="0" borderId="71" xfId="0" applyNumberFormat="1" applyFont="1" applyBorder="1" applyAlignment="1">
      <alignment horizontal="left" vertical="center"/>
    </xf>
    <xf numFmtId="0" fontId="9" fillId="0" borderId="71" xfId="0" applyFont="1" applyBorder="1" applyAlignment="1">
      <alignment horizontal="center" vertical="center"/>
    </xf>
    <xf numFmtId="49" fontId="9" fillId="0" borderId="71" xfId="0" applyNumberFormat="1" applyFont="1" applyBorder="1" applyAlignment="1">
      <alignment horizontal="left" vertical="center"/>
    </xf>
    <xf numFmtId="41" fontId="4" fillId="0" borderId="34" xfId="1" applyFont="1" applyFill="1" applyBorder="1">
      <alignment vertical="center"/>
    </xf>
    <xf numFmtId="178" fontId="17" fillId="0" borderId="28" xfId="0" applyNumberFormat="1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14" fontId="17" fillId="0" borderId="9" xfId="0" applyNumberFormat="1" applyFont="1" applyFill="1" applyBorder="1" applyAlignment="1">
      <alignment horizontal="center" vertical="center"/>
    </xf>
    <xf numFmtId="0" fontId="17" fillId="0" borderId="10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17" fillId="0" borderId="9" xfId="0" applyFont="1" applyFill="1" applyBorder="1">
      <alignment vertical="center"/>
    </xf>
    <xf numFmtId="41" fontId="17" fillId="0" borderId="28" xfId="1" applyFont="1" applyFill="1" applyBorder="1">
      <alignment vertical="center"/>
    </xf>
    <xf numFmtId="41" fontId="17" fillId="0" borderId="10" xfId="1" applyFont="1" applyFill="1" applyBorder="1">
      <alignment vertical="center"/>
    </xf>
    <xf numFmtId="41" fontId="17" fillId="0" borderId="44" xfId="1" applyFont="1" applyFill="1" applyBorder="1">
      <alignment vertical="center"/>
    </xf>
    <xf numFmtId="41" fontId="17" fillId="0" borderId="24" xfId="1" applyFont="1" applyFill="1" applyBorder="1">
      <alignment vertical="center"/>
    </xf>
    <xf numFmtId="41" fontId="17" fillId="0" borderId="29" xfId="1" applyFont="1" applyFill="1" applyBorder="1">
      <alignment vertical="center"/>
    </xf>
    <xf numFmtId="41" fontId="5" fillId="0" borderId="85" xfId="1" applyFont="1" applyFill="1" applyBorder="1">
      <alignment vertical="center"/>
    </xf>
    <xf numFmtId="182" fontId="0" fillId="0" borderId="59" xfId="0" applyNumberFormat="1" applyBorder="1">
      <alignment vertical="center"/>
    </xf>
    <xf numFmtId="0" fontId="0" fillId="3" borderId="18" xfId="0" applyFill="1" applyBorder="1">
      <alignment vertical="center"/>
    </xf>
    <xf numFmtId="179" fontId="9" fillId="0" borderId="71" xfId="0" applyNumberFormat="1" applyFont="1" applyBorder="1" applyAlignment="1">
      <alignment horizontal="right" vertical="center" wrapText="1"/>
    </xf>
    <xf numFmtId="41" fontId="0" fillId="0" borderId="99" xfId="0" applyNumberFormat="1" applyFont="1" applyBorder="1">
      <alignment vertical="center"/>
    </xf>
    <xf numFmtId="41" fontId="0" fillId="5" borderId="49" xfId="0" applyNumberFormat="1" applyFont="1" applyFill="1" applyBorder="1">
      <alignment vertical="center"/>
    </xf>
    <xf numFmtId="41" fontId="0" fillId="0" borderId="4" xfId="0" applyNumberFormat="1" applyFont="1" applyBorder="1">
      <alignment vertical="center"/>
    </xf>
    <xf numFmtId="41" fontId="0" fillId="0" borderId="100" xfId="0" applyNumberFormat="1" applyFont="1" applyBorder="1">
      <alignment vertical="center"/>
    </xf>
    <xf numFmtId="41" fontId="0" fillId="5" borderId="15" xfId="0" applyNumberFormat="1" applyFont="1" applyFill="1" applyBorder="1">
      <alignment vertical="center"/>
    </xf>
    <xf numFmtId="41" fontId="0" fillId="0" borderId="18" xfId="0" applyNumberFormat="1" applyFont="1" applyBorder="1">
      <alignment vertical="center"/>
    </xf>
    <xf numFmtId="41" fontId="0" fillId="0" borderId="53" xfId="0" applyNumberFormat="1" applyFont="1" applyBorder="1">
      <alignment vertical="center"/>
    </xf>
    <xf numFmtId="41" fontId="0" fillId="0" borderId="98" xfId="0" applyNumberFormat="1" applyFont="1" applyBorder="1">
      <alignment vertical="center"/>
    </xf>
    <xf numFmtId="182" fontId="0" fillId="0" borderId="59" xfId="0" applyNumberFormat="1" applyFill="1" applyBorder="1">
      <alignment vertical="center"/>
    </xf>
    <xf numFmtId="182" fontId="0" fillId="0" borderId="53" xfId="0" applyNumberFormat="1" applyFill="1" applyBorder="1">
      <alignment vertical="center"/>
    </xf>
    <xf numFmtId="182" fontId="0" fillId="0" borderId="21" xfId="0" applyNumberFormat="1" applyFill="1" applyBorder="1">
      <alignment vertical="center"/>
    </xf>
    <xf numFmtId="182" fontId="0" fillId="0" borderId="98" xfId="0" applyNumberFormat="1" applyFill="1" applyBorder="1">
      <alignment vertical="center"/>
    </xf>
    <xf numFmtId="178" fontId="5" fillId="0" borderId="23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14" fontId="3" fillId="0" borderId="10" xfId="0" applyNumberFormat="1" applyFont="1" applyFill="1" applyBorder="1" applyAlignment="1">
      <alignment horizontal="center" vertical="center"/>
    </xf>
    <xf numFmtId="14" fontId="17" fillId="0" borderId="10" xfId="0" applyNumberFormat="1" applyFont="1" applyFill="1" applyBorder="1" applyAlignment="1">
      <alignment horizontal="center" vertical="center"/>
    </xf>
    <xf numFmtId="14" fontId="17" fillId="0" borderId="0" xfId="0" applyNumberFormat="1" applyFont="1" applyFill="1" applyBorder="1" applyAlignment="1">
      <alignment horizontal="center" vertical="center"/>
    </xf>
    <xf numFmtId="41" fontId="3" fillId="0" borderId="29" xfId="0" applyNumberFormat="1" applyFont="1" applyFill="1" applyBorder="1">
      <alignment vertical="center"/>
    </xf>
    <xf numFmtId="178" fontId="19" fillId="0" borderId="23" xfId="0" applyNumberFormat="1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center" vertical="center"/>
    </xf>
    <xf numFmtId="14" fontId="19" fillId="0" borderId="10" xfId="0" applyNumberFormat="1" applyFont="1" applyFill="1" applyBorder="1" applyAlignment="1">
      <alignment horizontal="center" vertical="center"/>
    </xf>
    <xf numFmtId="14" fontId="19" fillId="0" borderId="0" xfId="0" applyNumberFormat="1" applyFont="1" applyFill="1" applyBorder="1" applyAlignment="1">
      <alignment horizontal="center" vertical="center"/>
    </xf>
    <xf numFmtId="0" fontId="19" fillId="0" borderId="9" xfId="0" applyFont="1" applyFill="1" applyBorder="1">
      <alignment vertical="center"/>
    </xf>
    <xf numFmtId="41" fontId="19" fillId="0" borderId="28" xfId="1" applyFont="1" applyFill="1" applyBorder="1">
      <alignment vertical="center"/>
    </xf>
    <xf numFmtId="0" fontId="19" fillId="0" borderId="10" xfId="0" applyFont="1" applyFill="1" applyBorder="1">
      <alignment vertical="center"/>
    </xf>
    <xf numFmtId="41" fontId="19" fillId="0" borderId="10" xfId="1" applyFont="1" applyFill="1" applyBorder="1">
      <alignment vertical="center"/>
    </xf>
    <xf numFmtId="41" fontId="19" fillId="0" borderId="29" xfId="0" applyNumberFormat="1" applyFont="1" applyFill="1" applyBorder="1">
      <alignment vertical="center"/>
    </xf>
    <xf numFmtId="41" fontId="19" fillId="0" borderId="29" xfId="1" applyFont="1" applyFill="1" applyBorder="1">
      <alignment vertical="center"/>
    </xf>
    <xf numFmtId="41" fontId="19" fillId="0" borderId="84" xfId="1" applyFont="1" applyFill="1" applyBorder="1">
      <alignment vertical="center"/>
    </xf>
    <xf numFmtId="41" fontId="19" fillId="0" borderId="83" xfId="1" applyFont="1" applyFill="1" applyBorder="1">
      <alignment vertical="center"/>
    </xf>
    <xf numFmtId="41" fontId="19" fillId="0" borderId="85" xfId="1" applyFont="1" applyFill="1" applyBorder="1">
      <alignment vertical="center"/>
    </xf>
    <xf numFmtId="0" fontId="3" fillId="0" borderId="10" xfId="0" applyFont="1" applyFill="1" applyBorder="1" applyAlignment="1">
      <alignment horizontal="center" vertical="center"/>
    </xf>
    <xf numFmtId="41" fontId="3" fillId="0" borderId="102" xfId="1" applyFont="1" applyFill="1" applyBorder="1">
      <alignment vertical="center"/>
    </xf>
    <xf numFmtId="41" fontId="19" fillId="0" borderId="102" xfId="1" applyFont="1" applyFill="1" applyBorder="1">
      <alignment vertical="center"/>
    </xf>
    <xf numFmtId="41" fontId="3" fillId="0" borderId="101" xfId="1" applyFont="1" applyFill="1" applyBorder="1">
      <alignment vertical="center"/>
    </xf>
    <xf numFmtId="178" fontId="19" fillId="0" borderId="28" xfId="0" applyNumberFormat="1" applyFont="1" applyFill="1" applyBorder="1" applyAlignment="1">
      <alignment horizontal="center" vertical="center"/>
    </xf>
    <xf numFmtId="0" fontId="19" fillId="0" borderId="9" xfId="0" applyFont="1" applyFill="1" applyBorder="1" applyAlignment="1">
      <alignment horizontal="center" vertical="center"/>
    </xf>
    <xf numFmtId="14" fontId="19" fillId="0" borderId="9" xfId="0" applyNumberFormat="1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center"/>
    </xf>
    <xf numFmtId="41" fontId="19" fillId="0" borderId="44" xfId="1" applyFont="1" applyFill="1" applyBorder="1">
      <alignment vertical="center"/>
    </xf>
    <xf numFmtId="41" fontId="19" fillId="0" borderId="24" xfId="1" applyFont="1" applyFill="1" applyBorder="1">
      <alignment vertical="center"/>
    </xf>
    <xf numFmtId="41" fontId="3" fillId="0" borderId="0" xfId="0" applyNumberFormat="1" applyFont="1" applyFill="1" applyBorder="1">
      <alignment vertical="center"/>
    </xf>
    <xf numFmtId="178" fontId="5" fillId="0" borderId="28" xfId="0" applyNumberFormat="1" applyFont="1" applyFill="1" applyBorder="1" applyAlignment="1">
      <alignment horizontal="center" vertical="center"/>
    </xf>
    <xf numFmtId="14" fontId="3" fillId="0" borderId="9" xfId="0" applyNumberFormat="1" applyFont="1" applyFill="1" applyBorder="1" applyAlignment="1">
      <alignment horizontal="center" vertical="center"/>
    </xf>
    <xf numFmtId="0" fontId="3" fillId="0" borderId="44" xfId="0" applyFont="1" applyFill="1" applyBorder="1" applyAlignment="1">
      <alignment horizontal="center" vertical="center"/>
    </xf>
    <xf numFmtId="41" fontId="3" fillId="0" borderId="44" xfId="1" applyFont="1" applyFill="1" applyBorder="1">
      <alignment vertical="center"/>
    </xf>
    <xf numFmtId="41" fontId="3" fillId="0" borderId="24" xfId="1" applyFont="1" applyFill="1" applyBorder="1">
      <alignment vertical="center"/>
    </xf>
    <xf numFmtId="0" fontId="3" fillId="0" borderId="0" xfId="0" applyFont="1" applyFill="1" applyBorder="1">
      <alignment vertical="center"/>
    </xf>
    <xf numFmtId="14" fontId="3" fillId="0" borderId="41" xfId="0" applyNumberFormat="1" applyFont="1" applyFill="1" applyBorder="1" applyAlignment="1">
      <alignment horizontal="center" vertical="center"/>
    </xf>
    <xf numFmtId="0" fontId="3" fillId="0" borderId="25" xfId="0" applyFont="1" applyFill="1" applyBorder="1" applyAlignment="1">
      <alignment horizontal="center" vertical="center"/>
    </xf>
    <xf numFmtId="41" fontId="3" fillId="0" borderId="9" xfId="1" applyFont="1" applyFill="1" applyBorder="1">
      <alignment vertical="center"/>
    </xf>
    <xf numFmtId="41" fontId="3" fillId="0" borderId="89" xfId="1" applyFont="1" applyFill="1" applyBorder="1">
      <alignment vertical="center"/>
    </xf>
    <xf numFmtId="41" fontId="3" fillId="0" borderId="103" xfId="1" applyFont="1" applyFill="1" applyBorder="1">
      <alignment vertical="center"/>
    </xf>
    <xf numFmtId="41" fontId="0" fillId="5" borderId="104" xfId="0" applyNumberFormat="1" applyFont="1" applyFill="1" applyBorder="1">
      <alignment vertical="center"/>
    </xf>
    <xf numFmtId="182" fontId="0" fillId="0" borderId="53" xfId="0" applyNumberFormat="1" applyFont="1" applyBorder="1">
      <alignment vertical="center"/>
    </xf>
    <xf numFmtId="14" fontId="14" fillId="10" borderId="49" xfId="0" applyNumberFormat="1" applyFont="1" applyFill="1" applyBorder="1" applyAlignment="1">
      <alignment horizontal="center" vertical="center"/>
    </xf>
    <xf numFmtId="182" fontId="0" fillId="0" borderId="105" xfId="0" applyNumberFormat="1" applyBorder="1">
      <alignment vertical="center"/>
    </xf>
    <xf numFmtId="182" fontId="0" fillId="0" borderId="57" xfId="0" applyNumberFormat="1" applyBorder="1">
      <alignment vertical="center"/>
    </xf>
    <xf numFmtId="182" fontId="0" fillId="0" borderId="45" xfId="0" applyNumberFormat="1" applyBorder="1">
      <alignment vertical="center"/>
    </xf>
    <xf numFmtId="182" fontId="0" fillId="0" borderId="106" xfId="0" applyNumberFormat="1" applyBorder="1">
      <alignment vertical="center"/>
    </xf>
    <xf numFmtId="182" fontId="0" fillId="0" borderId="99" xfId="0" applyNumberFormat="1" applyBorder="1">
      <alignment vertical="center"/>
    </xf>
    <xf numFmtId="182" fontId="0" fillId="0" borderId="47" xfId="0" applyNumberFormat="1" applyBorder="1">
      <alignment vertical="center"/>
    </xf>
    <xf numFmtId="14" fontId="14" fillId="10" borderId="56" xfId="0" applyNumberFormat="1" applyFont="1" applyFill="1" applyBorder="1" applyAlignment="1">
      <alignment horizontal="center" vertical="center"/>
    </xf>
    <xf numFmtId="182" fontId="0" fillId="0" borderId="77" xfId="0" applyNumberFormat="1" applyBorder="1">
      <alignment vertical="center"/>
    </xf>
    <xf numFmtId="182" fontId="0" fillId="0" borderId="19" xfId="0" applyNumberFormat="1" applyBorder="1">
      <alignment vertical="center"/>
    </xf>
    <xf numFmtId="182" fontId="0" fillId="0" borderId="55" xfId="0" applyNumberFormat="1" applyFill="1" applyBorder="1">
      <alignment vertical="center"/>
    </xf>
    <xf numFmtId="182" fontId="0" fillId="0" borderId="52" xfId="0" applyNumberFormat="1" applyFill="1" applyBorder="1">
      <alignment vertical="center"/>
    </xf>
    <xf numFmtId="182" fontId="0" fillId="0" borderId="54" xfId="0" applyNumberFormat="1" applyFill="1" applyBorder="1">
      <alignment vertical="center"/>
    </xf>
    <xf numFmtId="182" fontId="0" fillId="0" borderId="20" xfId="0" applyNumberFormat="1" applyFill="1" applyBorder="1">
      <alignment vertical="center"/>
    </xf>
    <xf numFmtId="14" fontId="14" fillId="10" borderId="58" xfId="0" applyNumberFormat="1" applyFont="1" applyFill="1" applyBorder="1" applyAlignment="1">
      <alignment horizontal="center" vertical="center"/>
    </xf>
    <xf numFmtId="182" fontId="0" fillId="0" borderId="105" xfId="0" applyNumberFormat="1" applyFill="1" applyBorder="1">
      <alignment vertical="center"/>
    </xf>
    <xf numFmtId="182" fontId="0" fillId="0" borderId="57" xfId="0" applyNumberFormat="1" applyFill="1" applyBorder="1">
      <alignment vertical="center"/>
    </xf>
    <xf numFmtId="182" fontId="0" fillId="0" borderId="45" xfId="0" applyNumberFormat="1" applyFill="1" applyBorder="1">
      <alignment vertical="center"/>
    </xf>
    <xf numFmtId="0" fontId="0" fillId="3" borderId="105" xfId="0" applyFill="1" applyBorder="1">
      <alignment vertical="center"/>
    </xf>
    <xf numFmtId="0" fontId="0" fillId="3" borderId="57" xfId="0" applyFill="1" applyBorder="1">
      <alignment vertical="center"/>
    </xf>
    <xf numFmtId="0" fontId="0" fillId="3" borderId="45" xfId="0" applyFill="1" applyBorder="1">
      <alignment vertical="center"/>
    </xf>
    <xf numFmtId="182" fontId="0" fillId="0" borderId="62" xfId="0" applyNumberFormat="1" applyFill="1" applyBorder="1">
      <alignment vertical="center"/>
    </xf>
    <xf numFmtId="0" fontId="0" fillId="3" borderId="51" xfId="0" applyFill="1" applyBorder="1">
      <alignment vertical="center"/>
    </xf>
    <xf numFmtId="41" fontId="5" fillId="0" borderId="102" xfId="1" applyFont="1" applyFill="1" applyBorder="1">
      <alignment vertical="center"/>
    </xf>
    <xf numFmtId="41" fontId="5" fillId="0" borderId="101" xfId="1" applyFont="1" applyFill="1" applyBorder="1">
      <alignment vertical="center"/>
    </xf>
    <xf numFmtId="41" fontId="3" fillId="0" borderId="107" xfId="1" applyFont="1" applyFill="1" applyBorder="1">
      <alignment vertical="center"/>
    </xf>
    <xf numFmtId="182" fontId="0" fillId="0" borderId="16" xfId="0" applyNumberFormat="1" applyBorder="1">
      <alignment vertical="center"/>
    </xf>
    <xf numFmtId="41" fontId="0" fillId="0" borderId="108" xfId="0" applyNumberFormat="1" applyFont="1" applyBorder="1">
      <alignment vertical="center"/>
    </xf>
    <xf numFmtId="41" fontId="0" fillId="0" borderId="109" xfId="0" applyNumberFormat="1" applyFont="1" applyBorder="1">
      <alignment vertical="center"/>
    </xf>
    <xf numFmtId="41" fontId="3" fillId="6" borderId="83" xfId="1" applyFont="1" applyFill="1" applyBorder="1">
      <alignment vertical="center"/>
    </xf>
    <xf numFmtId="179" fontId="13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41" fontId="0" fillId="0" borderId="21" xfId="0" applyNumberFormat="1" applyFont="1" applyBorder="1">
      <alignment vertical="center"/>
    </xf>
    <xf numFmtId="179" fontId="13" fillId="0" borderId="71" xfId="0" applyNumberFormat="1" applyFont="1" applyBorder="1" applyAlignment="1">
      <alignment horizontal="right" vertical="center" wrapText="1"/>
    </xf>
    <xf numFmtId="41" fontId="3" fillId="0" borderId="110" xfId="1" applyFont="1" applyFill="1" applyBorder="1">
      <alignment vertical="center"/>
    </xf>
    <xf numFmtId="41" fontId="3" fillId="0" borderId="111" xfId="1" applyFont="1" applyFill="1" applyBorder="1">
      <alignment vertical="center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41" fontId="3" fillId="0" borderId="26" xfId="1" applyFont="1" applyBorder="1">
      <alignment vertical="center"/>
    </xf>
    <xf numFmtId="41" fontId="3" fillId="0" borderId="91" xfId="1" applyFont="1" applyBorder="1">
      <alignment vertical="center"/>
    </xf>
    <xf numFmtId="41" fontId="3" fillId="0" borderId="112" xfId="1" applyFont="1" applyBorder="1">
      <alignment vertical="center"/>
    </xf>
    <xf numFmtId="0" fontId="0" fillId="3" borderId="27" xfId="0" applyFill="1" applyBorder="1">
      <alignment vertical="center"/>
    </xf>
    <xf numFmtId="0" fontId="0" fillId="0" borderId="0" xfId="0">
      <alignment vertical="center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0" fontId="0" fillId="3" borderId="106" xfId="0" applyFill="1" applyBorder="1">
      <alignment vertical="center"/>
    </xf>
    <xf numFmtId="0" fontId="0" fillId="3" borderId="99" xfId="0" applyFill="1" applyBorder="1">
      <alignment vertical="center"/>
    </xf>
    <xf numFmtId="0" fontId="0" fillId="3" borderId="47" xfId="0" applyFill="1" applyBorder="1">
      <alignment vertical="center"/>
    </xf>
    <xf numFmtId="41" fontId="0" fillId="0" borderId="45" xfId="0" applyNumberFormat="1" applyFont="1" applyBorder="1">
      <alignment vertical="center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179" fontId="9" fillId="0" borderId="71" xfId="0" applyNumberFormat="1" applyFont="1" applyBorder="1" applyAlignment="1">
      <alignment horizontal="right" vertical="center" wrapText="1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49" xfId="0" applyFont="1" applyFill="1" applyBorder="1" applyAlignment="1">
      <alignment horizontal="center" vertical="center"/>
    </xf>
    <xf numFmtId="0" fontId="4" fillId="4" borderId="22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4" fillId="6" borderId="25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6" borderId="25" xfId="0" applyFont="1" applyFill="1" applyBorder="1" applyAlignment="1">
      <alignment horizontal="center" vertical="center" wrapText="1"/>
    </xf>
    <xf numFmtId="0" fontId="4" fillId="4" borderId="79" xfId="0" applyFont="1" applyFill="1" applyBorder="1" applyAlignment="1">
      <alignment horizontal="center" vertical="center"/>
    </xf>
    <xf numFmtId="0" fontId="4" fillId="4" borderId="80" xfId="0" applyFont="1" applyFill="1" applyBorder="1" applyAlignment="1">
      <alignment horizontal="center" vertical="center"/>
    </xf>
  </cellXfs>
  <cellStyles count="9">
    <cellStyle name="Comma [0] 2 2 2" xfId="3"/>
    <cellStyle name="Comma [0] 2 2 2 2" xfId="6"/>
    <cellStyle name="Normal 3" xfId="2"/>
    <cellStyle name="쉼표 [0]" xfId="1" builtinId="6"/>
    <cellStyle name="쉼표 [0] 2" xfId="5"/>
    <cellStyle name="쉼표 [0] 3" xfId="8"/>
    <cellStyle name="쉼표 [0] 6 8" xfId="4"/>
    <cellStyle name="쉼표 [0] 6 8 2" xf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010.ON%20&#50976;&#47924;&#54805;&#51088;&#49328;_2025.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결산전표입력후BSP"/>
      <sheetName val="요약"/>
      <sheetName val="요약_변동내역"/>
      <sheetName val="▶유형자산"/>
      <sheetName val="차량"/>
      <sheetName val="비품"/>
      <sheetName val="시설장치"/>
      <sheetName val="▶무형자산"/>
      <sheetName val="소프트웨어"/>
      <sheetName val="상표권"/>
      <sheetName val="기타무형자산"/>
    </sheetNames>
    <sheetDataSet>
      <sheetData sheetId="0">
        <row r="3">
          <cell r="E3">
            <v>56123338</v>
          </cell>
          <cell r="F3">
            <v>56123338</v>
          </cell>
          <cell r="G3">
            <v>56123338</v>
          </cell>
          <cell r="H3">
            <v>56123338</v>
          </cell>
          <cell r="I3">
            <v>56123338</v>
          </cell>
          <cell r="J3">
            <v>56123338</v>
          </cell>
          <cell r="K3">
            <v>56123338</v>
          </cell>
          <cell r="L3">
            <v>56123338</v>
          </cell>
          <cell r="M3">
            <v>56123338</v>
          </cell>
        </row>
        <row r="4">
          <cell r="E4">
            <v>-44430968</v>
          </cell>
          <cell r="F4">
            <v>-45600204</v>
          </cell>
          <cell r="G4">
            <v>-46769440</v>
          </cell>
          <cell r="H4">
            <v>-47938676</v>
          </cell>
          <cell r="I4">
            <v>-49107912</v>
          </cell>
          <cell r="J4">
            <v>-50277148</v>
          </cell>
          <cell r="K4">
            <v>-51446384</v>
          </cell>
          <cell r="L4">
            <v>-52615620</v>
          </cell>
          <cell r="M4">
            <v>-53784856</v>
          </cell>
        </row>
        <row r="5">
          <cell r="E5">
            <v>1275548372</v>
          </cell>
          <cell r="F5">
            <v>1275548372</v>
          </cell>
          <cell r="G5">
            <v>1275548372</v>
          </cell>
          <cell r="H5">
            <v>1275548372</v>
          </cell>
          <cell r="I5">
            <v>1275548372</v>
          </cell>
          <cell r="J5">
            <v>1275548372</v>
          </cell>
          <cell r="K5">
            <v>1275548372</v>
          </cell>
          <cell r="L5">
            <v>1275548372</v>
          </cell>
          <cell r="M5">
            <v>1275548372</v>
          </cell>
          <cell r="N5">
            <v>1275548372</v>
          </cell>
          <cell r="O5">
            <v>1275548372</v>
          </cell>
          <cell r="P5">
            <v>1275548372</v>
          </cell>
        </row>
        <row r="6">
          <cell r="E6">
            <v>-1194180588</v>
          </cell>
          <cell r="F6">
            <v>-1196733926</v>
          </cell>
          <cell r="G6">
            <v>-1198633746</v>
          </cell>
          <cell r="H6">
            <v>-1200533566</v>
          </cell>
          <cell r="I6">
            <v>-1202432406</v>
          </cell>
          <cell r="J6">
            <v>-1204313091</v>
          </cell>
          <cell r="K6">
            <v>-1206184122</v>
          </cell>
          <cell r="L6">
            <v>-1208048457</v>
          </cell>
          <cell r="M6">
            <v>-1209912792</v>
          </cell>
          <cell r="N6">
            <v>-1211777127</v>
          </cell>
          <cell r="O6">
            <v>-1213641462</v>
          </cell>
          <cell r="P6">
            <v>-1215505797</v>
          </cell>
        </row>
        <row r="7">
          <cell r="E7">
            <v>293033329</v>
          </cell>
          <cell r="F7">
            <v>293033329</v>
          </cell>
          <cell r="G7">
            <v>293033329</v>
          </cell>
          <cell r="H7">
            <v>293033329</v>
          </cell>
          <cell r="I7">
            <v>293033329</v>
          </cell>
          <cell r="J7">
            <v>293033329</v>
          </cell>
          <cell r="K7">
            <v>293033329</v>
          </cell>
          <cell r="L7">
            <v>293033329</v>
          </cell>
          <cell r="M7">
            <v>293033329</v>
          </cell>
          <cell r="N7">
            <v>293033329</v>
          </cell>
          <cell r="O7">
            <v>293033329</v>
          </cell>
          <cell r="P7">
            <v>293033329</v>
          </cell>
        </row>
        <row r="8">
          <cell r="E8">
            <v>-259093676</v>
          </cell>
          <cell r="F8">
            <v>-260410329</v>
          </cell>
          <cell r="G8">
            <v>-261726982</v>
          </cell>
          <cell r="H8">
            <v>-263043635</v>
          </cell>
          <cell r="I8">
            <v>-264358304</v>
          </cell>
          <cell r="J8">
            <v>-265457249</v>
          </cell>
          <cell r="K8">
            <v>-266556194</v>
          </cell>
          <cell r="L8">
            <v>-267655139</v>
          </cell>
          <cell r="M8">
            <v>-268754084</v>
          </cell>
          <cell r="N8">
            <v>-269853029</v>
          </cell>
          <cell r="O8">
            <v>-270951974</v>
          </cell>
          <cell r="P8">
            <v>-272050919</v>
          </cell>
        </row>
        <row r="16">
          <cell r="E16">
            <v>11282180</v>
          </cell>
          <cell r="F16">
            <v>21000</v>
          </cell>
          <cell r="G16">
            <v>21000</v>
          </cell>
          <cell r="H16">
            <v>21000</v>
          </cell>
          <cell r="I16">
            <v>21000</v>
          </cell>
          <cell r="J16">
            <v>21000</v>
          </cell>
          <cell r="K16">
            <v>21000</v>
          </cell>
          <cell r="L16">
            <v>21000</v>
          </cell>
          <cell r="M16">
            <v>21000</v>
          </cell>
        </row>
        <row r="17">
          <cell r="E17">
            <v>28000</v>
          </cell>
          <cell r="F17">
            <v>2784127</v>
          </cell>
          <cell r="G17">
            <v>2737414</v>
          </cell>
          <cell r="H17">
            <v>2690701</v>
          </cell>
          <cell r="I17">
            <v>2643988</v>
          </cell>
          <cell r="J17">
            <v>2597275</v>
          </cell>
          <cell r="K17">
            <v>2550562</v>
          </cell>
          <cell r="L17">
            <v>2503849</v>
          </cell>
          <cell r="M17">
            <v>2457136</v>
          </cell>
        </row>
        <row r="18">
          <cell r="E18">
            <v>67180000</v>
          </cell>
          <cell r="F18">
            <v>67180000</v>
          </cell>
          <cell r="G18">
            <v>67180000</v>
          </cell>
          <cell r="H18">
            <v>67180000</v>
          </cell>
          <cell r="I18">
            <v>67180000</v>
          </cell>
          <cell r="J18">
            <v>67180000</v>
          </cell>
          <cell r="K18">
            <v>67180000</v>
          </cell>
          <cell r="L18">
            <v>67180000</v>
          </cell>
          <cell r="M18">
            <v>67180000</v>
          </cell>
        </row>
        <row r="24">
          <cell r="E24">
            <v>1169236</v>
          </cell>
          <cell r="F24">
            <v>1169236</v>
          </cell>
          <cell r="G24">
            <v>1169236</v>
          </cell>
          <cell r="H24">
            <v>1169236</v>
          </cell>
          <cell r="I24">
            <v>1169236</v>
          </cell>
          <cell r="J24">
            <v>1169236</v>
          </cell>
          <cell r="K24">
            <v>1169236</v>
          </cell>
          <cell r="L24">
            <v>1169236</v>
          </cell>
          <cell r="M24">
            <v>1169236</v>
          </cell>
        </row>
        <row r="25">
          <cell r="E25">
            <v>2554336</v>
          </cell>
          <cell r="F25">
            <v>2553338</v>
          </cell>
          <cell r="G25">
            <v>1899820</v>
          </cell>
          <cell r="H25">
            <v>1899820</v>
          </cell>
          <cell r="I25">
            <v>1898840</v>
          </cell>
          <cell r="J25">
            <v>1880685</v>
          </cell>
          <cell r="K25">
            <v>1871031</v>
          </cell>
          <cell r="L25">
            <v>1864335</v>
          </cell>
          <cell r="M25">
            <v>1864335</v>
          </cell>
          <cell r="N25">
            <v>1864335</v>
          </cell>
          <cell r="O25">
            <v>1864335</v>
          </cell>
          <cell r="P25">
            <v>1864335</v>
          </cell>
        </row>
        <row r="26">
          <cell r="E26">
            <v>1316653</v>
          </cell>
          <cell r="F26">
            <v>1316653</v>
          </cell>
          <cell r="G26">
            <v>1316653</v>
          </cell>
          <cell r="H26">
            <v>1316653</v>
          </cell>
          <cell r="I26">
            <v>1314669</v>
          </cell>
          <cell r="J26">
            <v>1098945</v>
          </cell>
          <cell r="K26">
            <v>1098945</v>
          </cell>
          <cell r="L26">
            <v>1098945</v>
          </cell>
          <cell r="M26">
            <v>1098945</v>
          </cell>
          <cell r="N26">
            <v>1098945</v>
          </cell>
          <cell r="O26">
            <v>1098945</v>
          </cell>
          <cell r="P26">
            <v>1098945</v>
          </cell>
        </row>
        <row r="28">
          <cell r="E28">
            <v>11262150</v>
          </cell>
          <cell r="F28">
            <v>11261180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29">
          <cell r="E29">
            <v>0</v>
          </cell>
          <cell r="F29">
            <v>46713</v>
          </cell>
          <cell r="G29">
            <v>46713</v>
          </cell>
          <cell r="H29">
            <v>46713</v>
          </cell>
          <cell r="I29">
            <v>46713</v>
          </cell>
          <cell r="J29">
            <v>46713</v>
          </cell>
          <cell r="K29">
            <v>46713</v>
          </cell>
          <cell r="L29">
            <v>46713</v>
          </cell>
          <cell r="M29">
            <v>46713</v>
          </cell>
        </row>
      </sheetData>
      <sheetData sheetId="1" refreshError="1"/>
      <sheetData sheetId="2" refreshError="1"/>
      <sheetData sheetId="3" refreshError="1"/>
      <sheetData sheetId="4">
        <row r="12">
          <cell r="U12">
            <v>1169236</v>
          </cell>
        </row>
      </sheetData>
      <sheetData sheetId="5"/>
      <sheetData sheetId="6"/>
      <sheetData sheetId="7" refreshError="1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P32"/>
  <sheetViews>
    <sheetView zoomScaleNormal="100" workbookViewId="0">
      <selection activeCell="G29" sqref="G29"/>
    </sheetView>
  </sheetViews>
  <sheetFormatPr defaultRowHeight="16.5" x14ac:dyDescent="0.3"/>
  <cols>
    <col min="1" max="1" width="4.625" style="140" bestFit="1" customWidth="1"/>
    <col min="2" max="2" width="12.75" style="140" bestFit="1" customWidth="1"/>
    <col min="3" max="3" width="22.375" style="140" customWidth="1"/>
    <col min="4" max="10" width="14.125" style="140" bestFit="1" customWidth="1"/>
    <col min="11" max="16" width="11.875" style="140" bestFit="1" customWidth="1"/>
    <col min="17" max="16384" width="9" style="252"/>
  </cols>
  <sheetData>
    <row r="1" spans="1:16" x14ac:dyDescent="0.3">
      <c r="A1" s="145" t="s">
        <v>177</v>
      </c>
      <c r="B1" s="145" t="s">
        <v>178</v>
      </c>
      <c r="C1" s="145" t="s">
        <v>179</v>
      </c>
      <c r="D1" s="145" t="s">
        <v>180</v>
      </c>
      <c r="E1" s="145" t="s">
        <v>294</v>
      </c>
      <c r="F1" s="145" t="s">
        <v>295</v>
      </c>
      <c r="G1" s="145" t="s">
        <v>296</v>
      </c>
      <c r="H1" s="145" t="s">
        <v>297</v>
      </c>
      <c r="I1" s="145" t="s">
        <v>298</v>
      </c>
      <c r="J1" s="145" t="s">
        <v>299</v>
      </c>
      <c r="K1" s="145" t="s">
        <v>300</v>
      </c>
      <c r="L1" s="145" t="s">
        <v>301</v>
      </c>
      <c r="M1" s="145" t="s">
        <v>302</v>
      </c>
      <c r="N1" s="145" t="s">
        <v>303</v>
      </c>
      <c r="O1" s="145" t="s">
        <v>304</v>
      </c>
      <c r="P1" s="150" t="s">
        <v>305</v>
      </c>
    </row>
    <row r="2" spans="1:16" x14ac:dyDescent="0.3">
      <c r="A2" s="262">
        <v>49</v>
      </c>
      <c r="B2" s="263" t="s">
        <v>181</v>
      </c>
      <c r="C2" s="144" t="s">
        <v>213</v>
      </c>
      <c r="D2" s="398">
        <v>619776363</v>
      </c>
      <c r="E2" s="389">
        <v>625702923</v>
      </c>
      <c r="F2" s="371">
        <v>622739643</v>
      </c>
      <c r="G2" s="397">
        <v>619776363</v>
      </c>
      <c r="H2" s="371"/>
      <c r="I2" s="371"/>
      <c r="J2" s="371"/>
      <c r="K2" s="371"/>
      <c r="L2" s="371"/>
      <c r="M2" s="371"/>
      <c r="N2" s="371"/>
      <c r="O2" s="377"/>
      <c r="P2" s="371"/>
    </row>
    <row r="3" spans="1:16" x14ac:dyDescent="0.3">
      <c r="A3" s="262">
        <v>50</v>
      </c>
      <c r="B3" s="263" t="s">
        <v>182</v>
      </c>
      <c r="C3" s="144" t="s">
        <v>200</v>
      </c>
      <c r="D3" s="398">
        <v>56123338</v>
      </c>
      <c r="E3" s="389">
        <v>56123338</v>
      </c>
      <c r="F3" s="371">
        <v>56123338</v>
      </c>
      <c r="G3" s="397">
        <v>56123338</v>
      </c>
      <c r="H3" s="371"/>
      <c r="I3" s="371"/>
      <c r="J3" s="371"/>
      <c r="K3" s="371"/>
      <c r="L3" s="371"/>
      <c r="M3" s="371"/>
      <c r="N3" s="371"/>
      <c r="O3" s="377"/>
      <c r="P3" s="371"/>
    </row>
    <row r="4" spans="1:16" x14ac:dyDescent="0.3">
      <c r="A4" s="262">
        <v>51</v>
      </c>
      <c r="B4" s="263" t="s">
        <v>183</v>
      </c>
      <c r="C4" s="144" t="s">
        <v>206</v>
      </c>
      <c r="D4" s="398">
        <v>-56123328</v>
      </c>
      <c r="E4" s="389">
        <v>-56123328</v>
      </c>
      <c r="F4" s="371">
        <v>-56123328</v>
      </c>
      <c r="G4" s="397">
        <v>-56123328</v>
      </c>
      <c r="H4" s="371"/>
      <c r="I4" s="371"/>
      <c r="J4" s="371"/>
      <c r="K4" s="371"/>
      <c r="L4" s="371"/>
      <c r="M4" s="371"/>
      <c r="N4" s="371"/>
      <c r="O4" s="377"/>
      <c r="P4" s="371"/>
    </row>
    <row r="5" spans="1:16" x14ac:dyDescent="0.3">
      <c r="A5" s="262">
        <v>52</v>
      </c>
      <c r="B5" s="263" t="s">
        <v>184</v>
      </c>
      <c r="C5" s="144" t="s">
        <v>166</v>
      </c>
      <c r="D5" s="398">
        <v>1275548372</v>
      </c>
      <c r="E5" s="389">
        <v>1275548372</v>
      </c>
      <c r="F5" s="371">
        <v>1275548372</v>
      </c>
      <c r="G5" s="397">
        <v>1275548372</v>
      </c>
      <c r="H5" s="371"/>
      <c r="I5" s="371"/>
      <c r="J5" s="371"/>
      <c r="K5" s="371"/>
      <c r="L5" s="371"/>
      <c r="M5" s="371"/>
      <c r="N5" s="371"/>
      <c r="O5" s="377"/>
      <c r="P5" s="371"/>
    </row>
    <row r="6" spans="1:16" x14ac:dyDescent="0.3">
      <c r="A6" s="262">
        <v>53</v>
      </c>
      <c r="B6" s="263" t="s">
        <v>185</v>
      </c>
      <c r="C6" s="144" t="s">
        <v>207</v>
      </c>
      <c r="D6" s="398">
        <v>-1221098802</v>
      </c>
      <c r="E6" s="389">
        <v>-1217370132</v>
      </c>
      <c r="F6" s="371">
        <v>-1219234467</v>
      </c>
      <c r="G6" s="397">
        <v>-1221098802</v>
      </c>
      <c r="H6" s="371"/>
      <c r="I6" s="371"/>
      <c r="J6" s="371"/>
      <c r="K6" s="371"/>
      <c r="L6" s="371"/>
      <c r="M6" s="371"/>
      <c r="N6" s="371"/>
      <c r="O6" s="377"/>
      <c r="P6" s="371"/>
    </row>
    <row r="7" spans="1:16" x14ac:dyDescent="0.3">
      <c r="A7" s="262">
        <v>54</v>
      </c>
      <c r="B7" s="263" t="s">
        <v>186</v>
      </c>
      <c r="C7" s="144" t="s">
        <v>201</v>
      </c>
      <c r="D7" s="398">
        <v>293033329</v>
      </c>
      <c r="E7" s="389">
        <v>293033329</v>
      </c>
      <c r="F7" s="371">
        <v>293033329</v>
      </c>
      <c r="G7" s="397">
        <v>293033329</v>
      </c>
      <c r="H7" s="371"/>
      <c r="I7" s="371"/>
      <c r="J7" s="371"/>
      <c r="K7" s="371"/>
      <c r="L7" s="371"/>
      <c r="M7" s="371"/>
      <c r="N7" s="371"/>
      <c r="O7" s="377"/>
      <c r="P7" s="371"/>
    </row>
    <row r="8" spans="1:16" x14ac:dyDescent="0.3">
      <c r="A8" s="262">
        <v>55</v>
      </c>
      <c r="B8" s="263" t="s">
        <v>187</v>
      </c>
      <c r="C8" s="144" t="s">
        <v>208</v>
      </c>
      <c r="D8" s="398">
        <v>-275347754</v>
      </c>
      <c r="E8" s="389">
        <v>-273149864</v>
      </c>
      <c r="F8" s="371">
        <v>-274248809</v>
      </c>
      <c r="G8" s="397">
        <v>-275347754</v>
      </c>
      <c r="H8" s="371"/>
      <c r="I8" s="371"/>
      <c r="J8" s="371"/>
      <c r="K8" s="371"/>
      <c r="L8" s="371"/>
      <c r="M8" s="371"/>
      <c r="N8" s="371"/>
      <c r="O8" s="377"/>
      <c r="P8" s="371"/>
    </row>
    <row r="9" spans="1:16" hidden="1" x14ac:dyDescent="0.3">
      <c r="A9" s="146">
        <v>70</v>
      </c>
      <c r="B9" s="147" t="s">
        <v>188</v>
      </c>
      <c r="C9" s="267" t="s">
        <v>214</v>
      </c>
      <c r="D9" s="148"/>
      <c r="E9" s="385">
        <f t="shared" ref="E9:E14" si="0">F9</f>
        <v>0</v>
      </c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51"/>
    </row>
    <row r="10" spans="1:16" hidden="1" x14ac:dyDescent="0.3">
      <c r="A10" s="146">
        <v>71</v>
      </c>
      <c r="B10" s="147" t="s">
        <v>189</v>
      </c>
      <c r="C10" s="267" t="s">
        <v>215</v>
      </c>
      <c r="D10" s="148"/>
      <c r="E10" s="385">
        <f t="shared" si="0"/>
        <v>0</v>
      </c>
      <c r="F10" s="148"/>
      <c r="G10" s="148"/>
      <c r="H10" s="148"/>
      <c r="I10" s="148"/>
      <c r="J10" s="148"/>
      <c r="K10" s="148"/>
      <c r="L10" s="148"/>
      <c r="M10" s="148"/>
      <c r="N10" s="148"/>
      <c r="O10" s="148"/>
      <c r="P10" s="151"/>
    </row>
    <row r="11" spans="1:16" hidden="1" x14ac:dyDescent="0.3">
      <c r="A11" s="146">
        <v>72</v>
      </c>
      <c r="B11" s="147" t="s">
        <v>190</v>
      </c>
      <c r="C11" s="267" t="s">
        <v>216</v>
      </c>
      <c r="D11" s="148"/>
      <c r="E11" s="385">
        <f t="shared" si="0"/>
        <v>0</v>
      </c>
      <c r="F11" s="148"/>
      <c r="G11" s="148"/>
      <c r="H11" s="148"/>
      <c r="I11" s="148"/>
      <c r="J11" s="148"/>
      <c r="K11" s="148"/>
      <c r="L11" s="148"/>
      <c r="M11" s="148"/>
      <c r="N11" s="148"/>
      <c r="O11" s="148"/>
      <c r="P11" s="151"/>
    </row>
    <row r="12" spans="1:16" hidden="1" x14ac:dyDescent="0.3">
      <c r="A12" s="146">
        <v>73</v>
      </c>
      <c r="B12" s="147" t="s">
        <v>191</v>
      </c>
      <c r="C12" s="267" t="s">
        <v>217</v>
      </c>
      <c r="D12" s="148"/>
      <c r="E12" s="385">
        <f t="shared" si="0"/>
        <v>0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51"/>
    </row>
    <row r="13" spans="1:16" hidden="1" x14ac:dyDescent="0.3">
      <c r="A13" s="146">
        <v>74</v>
      </c>
      <c r="B13" s="147" t="s">
        <v>192</v>
      </c>
      <c r="C13" s="267" t="s">
        <v>218</v>
      </c>
      <c r="D13" s="148"/>
      <c r="E13" s="385">
        <f t="shared" si="0"/>
        <v>0</v>
      </c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51"/>
    </row>
    <row r="14" spans="1:16" hidden="1" x14ac:dyDescent="0.3">
      <c r="A14" s="146">
        <v>75</v>
      </c>
      <c r="B14" s="147" t="s">
        <v>193</v>
      </c>
      <c r="C14" s="267" t="s">
        <v>219</v>
      </c>
      <c r="D14" s="148"/>
      <c r="E14" s="385">
        <f t="shared" si="0"/>
        <v>0</v>
      </c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51"/>
    </row>
    <row r="15" spans="1:16" x14ac:dyDescent="0.3">
      <c r="A15" s="146">
        <v>76</v>
      </c>
      <c r="B15" s="147" t="s">
        <v>194</v>
      </c>
      <c r="C15" s="144" t="s">
        <v>220</v>
      </c>
      <c r="D15" s="398">
        <v>69763674</v>
      </c>
      <c r="E15" s="385">
        <v>69870636</v>
      </c>
      <c r="F15" s="395">
        <v>69817155</v>
      </c>
      <c r="G15" s="398">
        <v>69763674</v>
      </c>
      <c r="H15" s="148"/>
      <c r="I15" s="148"/>
      <c r="J15" s="148"/>
      <c r="K15" s="148"/>
      <c r="L15" s="148"/>
      <c r="M15" s="148"/>
      <c r="N15" s="148"/>
      <c r="O15" s="148"/>
      <c r="P15" s="151"/>
    </row>
    <row r="16" spans="1:16" x14ac:dyDescent="0.3">
      <c r="A16" s="264">
        <v>63</v>
      </c>
      <c r="B16" s="265" t="s">
        <v>195</v>
      </c>
      <c r="C16" s="144" t="s">
        <v>27</v>
      </c>
      <c r="D16" s="398">
        <v>21000</v>
      </c>
      <c r="E16" s="390">
        <v>21000</v>
      </c>
      <c r="F16" s="395">
        <v>21000</v>
      </c>
      <c r="G16" s="398">
        <v>21000</v>
      </c>
      <c r="H16" s="372"/>
      <c r="I16" s="372"/>
      <c r="J16" s="372"/>
      <c r="K16" s="372"/>
      <c r="L16" s="372"/>
      <c r="M16" s="372"/>
      <c r="N16" s="372"/>
      <c r="O16" s="378"/>
      <c r="P16" s="372"/>
    </row>
    <row r="17" spans="1:16" x14ac:dyDescent="0.3">
      <c r="A17" s="264">
        <v>64</v>
      </c>
      <c r="B17" s="265" t="s">
        <v>196</v>
      </c>
      <c r="C17" s="144" t="s">
        <v>106</v>
      </c>
      <c r="D17" s="398">
        <v>2562674</v>
      </c>
      <c r="E17" s="390">
        <v>2669636</v>
      </c>
      <c r="F17" s="395">
        <v>2616155</v>
      </c>
      <c r="G17" s="398">
        <v>2562674</v>
      </c>
      <c r="H17" s="372"/>
      <c r="I17" s="372"/>
      <c r="J17" s="372"/>
      <c r="K17" s="372"/>
      <c r="L17" s="372"/>
      <c r="M17" s="372"/>
      <c r="N17" s="372"/>
      <c r="O17" s="378"/>
      <c r="P17" s="372"/>
    </row>
    <row r="18" spans="1:16" x14ac:dyDescent="0.3">
      <c r="A18" s="264">
        <v>65</v>
      </c>
      <c r="B18" s="265" t="s">
        <v>197</v>
      </c>
      <c r="C18" s="144" t="s">
        <v>278</v>
      </c>
      <c r="D18" s="398">
        <v>67180000</v>
      </c>
      <c r="E18" s="390">
        <v>67180000</v>
      </c>
      <c r="F18" s="395">
        <v>67180000</v>
      </c>
      <c r="G18" s="398">
        <v>67180000</v>
      </c>
      <c r="H18" s="372"/>
      <c r="I18" s="372"/>
      <c r="J18" s="372"/>
      <c r="K18" s="372"/>
      <c r="L18" s="372"/>
      <c r="M18" s="372"/>
      <c r="N18" s="372"/>
      <c r="O18" s="378"/>
      <c r="P18" s="372"/>
    </row>
    <row r="19" spans="1:16" x14ac:dyDescent="0.3">
      <c r="A19" s="141"/>
      <c r="B19" s="142"/>
      <c r="C19" s="142"/>
      <c r="D19" s="139"/>
      <c r="E19" s="143">
        <f>SUM(E2:E18)</f>
        <v>843505910</v>
      </c>
      <c r="F19" s="143">
        <f t="shared" ref="F19:P19" si="1">SUM(F2:F18)</f>
        <v>837472388</v>
      </c>
      <c r="G19" s="143">
        <f t="shared" si="1"/>
        <v>831438866</v>
      </c>
      <c r="H19" s="143">
        <f t="shared" si="1"/>
        <v>0</v>
      </c>
      <c r="I19" s="143">
        <f t="shared" si="1"/>
        <v>0</v>
      </c>
      <c r="J19" s="143">
        <f t="shared" si="1"/>
        <v>0</v>
      </c>
      <c r="K19" s="143">
        <f t="shared" si="1"/>
        <v>0</v>
      </c>
      <c r="L19" s="143">
        <f t="shared" si="1"/>
        <v>0</v>
      </c>
      <c r="M19" s="143">
        <f t="shared" si="1"/>
        <v>0</v>
      </c>
      <c r="N19" s="143">
        <f t="shared" si="1"/>
        <v>0</v>
      </c>
      <c r="O19" s="143">
        <f t="shared" si="1"/>
        <v>0</v>
      </c>
      <c r="P19" s="143">
        <f t="shared" si="1"/>
        <v>0</v>
      </c>
    </row>
    <row r="20" spans="1:16" x14ac:dyDescent="0.3">
      <c r="A20" s="141"/>
      <c r="B20" s="142"/>
      <c r="C20" s="142"/>
      <c r="D20" s="139"/>
      <c r="E20" s="143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52"/>
    </row>
    <row r="21" spans="1:16" x14ac:dyDescent="0.3">
      <c r="A21" s="141"/>
      <c r="B21" s="142"/>
      <c r="C21" s="142"/>
      <c r="D21" s="139"/>
      <c r="E21" s="143"/>
      <c r="F21" s="143"/>
      <c r="G21" s="143"/>
      <c r="H21" s="143"/>
      <c r="I21" s="139"/>
      <c r="J21" s="139"/>
      <c r="K21" s="139"/>
      <c r="L21" s="139"/>
      <c r="M21" s="139"/>
      <c r="N21" s="139"/>
      <c r="O21" s="139"/>
      <c r="P21" s="152"/>
    </row>
    <row r="22" spans="1:16" x14ac:dyDescent="0.3">
      <c r="A22" s="149" t="s">
        <v>177</v>
      </c>
      <c r="B22" s="149" t="s">
        <v>178</v>
      </c>
      <c r="C22" s="149" t="s">
        <v>179</v>
      </c>
      <c r="D22" s="149" t="s">
        <v>180</v>
      </c>
      <c r="E22" s="149" t="s">
        <v>294</v>
      </c>
      <c r="F22" s="149" t="s">
        <v>295</v>
      </c>
      <c r="G22" s="149" t="s">
        <v>296</v>
      </c>
      <c r="H22" s="149" t="s">
        <v>297</v>
      </c>
      <c r="I22" s="149" t="s">
        <v>298</v>
      </c>
      <c r="J22" s="149" t="s">
        <v>299</v>
      </c>
      <c r="K22" s="149" t="s">
        <v>300</v>
      </c>
      <c r="L22" s="149" t="s">
        <v>301</v>
      </c>
      <c r="M22" s="149" t="s">
        <v>302</v>
      </c>
      <c r="N22" s="149" t="s">
        <v>303</v>
      </c>
      <c r="O22" s="149" t="s">
        <v>304</v>
      </c>
      <c r="P22" s="150" t="s">
        <v>305</v>
      </c>
    </row>
    <row r="23" spans="1:16" x14ac:dyDescent="0.3">
      <c r="A23" s="266">
        <v>59</v>
      </c>
      <c r="B23" s="267" t="s">
        <v>221</v>
      </c>
      <c r="C23" s="144" t="s">
        <v>237</v>
      </c>
      <c r="D23" s="369">
        <f>SUM(E23:P23)</f>
        <v>8889840</v>
      </c>
      <c r="E23" s="386">
        <v>2963280</v>
      </c>
      <c r="F23" s="396">
        <v>2963280</v>
      </c>
      <c r="G23" s="399">
        <v>2963280</v>
      </c>
      <c r="H23" s="370"/>
      <c r="I23" s="370"/>
      <c r="J23" s="370"/>
      <c r="K23" s="370"/>
      <c r="L23" s="370"/>
      <c r="M23" s="370"/>
      <c r="N23" s="283"/>
      <c r="O23" s="379"/>
      <c r="P23" s="283"/>
    </row>
    <row r="24" spans="1:16" x14ac:dyDescent="0.3">
      <c r="A24" s="266">
        <v>60</v>
      </c>
      <c r="B24" s="267" t="s">
        <v>222</v>
      </c>
      <c r="C24" s="144" t="s">
        <v>228</v>
      </c>
      <c r="D24" s="374">
        <f t="shared" ref="D24:D29" si="2">SUM(E24:P24)</f>
        <v>0</v>
      </c>
      <c r="E24" s="370">
        <v>0</v>
      </c>
      <c r="F24" s="396">
        <v>0</v>
      </c>
      <c r="G24" s="399">
        <v>0</v>
      </c>
      <c r="H24" s="370"/>
      <c r="I24" s="370"/>
      <c r="J24" s="370"/>
      <c r="K24" s="370"/>
      <c r="L24" s="370"/>
      <c r="M24" s="370"/>
      <c r="N24" s="283"/>
      <c r="O24" s="379"/>
      <c r="P24" s="283"/>
    </row>
    <row r="25" spans="1:16" x14ac:dyDescent="0.3">
      <c r="A25" s="266">
        <v>61</v>
      </c>
      <c r="B25" s="267" t="s">
        <v>223</v>
      </c>
      <c r="C25" s="144" t="s">
        <v>229</v>
      </c>
      <c r="D25" s="374">
        <f t="shared" si="2"/>
        <v>5593005</v>
      </c>
      <c r="E25" s="387">
        <v>1864335</v>
      </c>
      <c r="F25" s="396">
        <v>1864335</v>
      </c>
      <c r="G25" s="399">
        <v>1864335</v>
      </c>
      <c r="H25" s="370"/>
      <c r="I25" s="370"/>
      <c r="J25" s="370"/>
      <c r="K25" s="370"/>
      <c r="L25" s="370"/>
      <c r="M25" s="370"/>
      <c r="N25" s="283"/>
      <c r="O25" s="379"/>
      <c r="P25" s="283"/>
    </row>
    <row r="26" spans="1:16" x14ac:dyDescent="0.3">
      <c r="A26" s="266">
        <v>62</v>
      </c>
      <c r="B26" s="267" t="s">
        <v>224</v>
      </c>
      <c r="C26" s="144" t="s">
        <v>231</v>
      </c>
      <c r="D26" s="374">
        <f t="shared" si="2"/>
        <v>3296835</v>
      </c>
      <c r="E26" s="387">
        <v>1098945</v>
      </c>
      <c r="F26" s="396">
        <v>1098945</v>
      </c>
      <c r="G26" s="399">
        <v>1098945</v>
      </c>
      <c r="H26" s="370"/>
      <c r="I26" s="370"/>
      <c r="J26" s="370"/>
      <c r="K26" s="370"/>
      <c r="L26" s="370"/>
      <c r="M26" s="370"/>
      <c r="N26" s="283"/>
      <c r="O26" s="379"/>
      <c r="P26" s="283"/>
    </row>
    <row r="27" spans="1:16" x14ac:dyDescent="0.3">
      <c r="A27" s="266">
        <v>63</v>
      </c>
      <c r="B27" s="267" t="s">
        <v>225</v>
      </c>
      <c r="C27" s="144" t="s">
        <v>238</v>
      </c>
      <c r="D27" s="374">
        <f t="shared" si="2"/>
        <v>160443</v>
      </c>
      <c r="E27" s="387">
        <v>53481</v>
      </c>
      <c r="F27" s="396">
        <v>53481</v>
      </c>
      <c r="G27" s="399">
        <v>53481</v>
      </c>
      <c r="H27" s="370"/>
      <c r="I27" s="370"/>
      <c r="J27" s="370"/>
      <c r="K27" s="370"/>
      <c r="L27" s="370"/>
      <c r="M27" s="370"/>
      <c r="N27" s="283"/>
      <c r="O27" s="379"/>
      <c r="P27" s="283"/>
    </row>
    <row r="28" spans="1:16" x14ac:dyDescent="0.3">
      <c r="A28" s="266">
        <v>64</v>
      </c>
      <c r="B28" s="267" t="s">
        <v>226</v>
      </c>
      <c r="C28" s="144" t="s">
        <v>279</v>
      </c>
      <c r="D28" s="374">
        <f t="shared" si="2"/>
        <v>0</v>
      </c>
      <c r="E28" s="370">
        <v>0</v>
      </c>
      <c r="F28" s="396">
        <v>0</v>
      </c>
      <c r="G28" s="399">
        <v>0</v>
      </c>
      <c r="H28" s="370"/>
      <c r="I28" s="370"/>
      <c r="J28" s="370"/>
      <c r="K28" s="370"/>
      <c r="L28" s="370"/>
      <c r="M28" s="370"/>
      <c r="N28" s="283"/>
      <c r="O28" s="379"/>
      <c r="P28" s="283"/>
    </row>
    <row r="29" spans="1:16" x14ac:dyDescent="0.3">
      <c r="A29" s="266">
        <v>65</v>
      </c>
      <c r="B29" s="267" t="s">
        <v>227</v>
      </c>
      <c r="C29" s="144" t="s">
        <v>234</v>
      </c>
      <c r="D29" s="374">
        <f t="shared" si="2"/>
        <v>160443</v>
      </c>
      <c r="E29" s="388">
        <v>53481</v>
      </c>
      <c r="F29" s="396">
        <v>53481</v>
      </c>
      <c r="G29" s="399">
        <v>53481</v>
      </c>
      <c r="H29" s="370"/>
      <c r="I29" s="370"/>
      <c r="J29" s="370"/>
      <c r="K29" s="370"/>
      <c r="L29" s="370"/>
      <c r="M29" s="370"/>
      <c r="N29" s="283"/>
      <c r="O29" s="379"/>
      <c r="P29" s="283"/>
    </row>
    <row r="32" spans="1:16" x14ac:dyDescent="0.3">
      <c r="H32" s="26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B2:AD69"/>
  <sheetViews>
    <sheetView showGridLines="0" tabSelected="1" topLeftCell="A13" zoomScale="80" zoomScaleNormal="80" zoomScaleSheetLayoutView="80" workbookViewId="0">
      <selection activeCell="N37" sqref="N37"/>
    </sheetView>
  </sheetViews>
  <sheetFormatPr defaultRowHeight="16.5" x14ac:dyDescent="0.3"/>
  <cols>
    <col min="1" max="1" width="3.75" style="71" customWidth="1"/>
    <col min="2" max="2" width="28.25" style="71" customWidth="1"/>
    <col min="3" max="3" width="15.125" style="80" customWidth="1"/>
    <col min="4" max="15" width="14.625" style="71" bestFit="1" customWidth="1"/>
    <col min="16" max="27" width="14.625" style="71" customWidth="1"/>
    <col min="28" max="16384" width="9" style="71"/>
  </cols>
  <sheetData>
    <row r="2" spans="2:18" ht="26.25" x14ac:dyDescent="0.3">
      <c r="B2" s="81" t="s">
        <v>274</v>
      </c>
    </row>
    <row r="4" spans="2:18" ht="20.25" x14ac:dyDescent="0.3">
      <c r="B4" s="72" t="s">
        <v>146</v>
      </c>
      <c r="C4" s="79"/>
    </row>
    <row r="5" spans="2:18" ht="17.25" thickBot="1" x14ac:dyDescent="0.35"/>
    <row r="6" spans="2:18" x14ac:dyDescent="0.3">
      <c r="B6" s="108" t="s">
        <v>147</v>
      </c>
      <c r="C6" s="125" t="s">
        <v>150</v>
      </c>
      <c r="D6" s="241" t="s">
        <v>306</v>
      </c>
      <c r="E6" s="74" t="s">
        <v>307</v>
      </c>
      <c r="F6" s="74" t="s">
        <v>308</v>
      </c>
      <c r="G6" s="74" t="s">
        <v>309</v>
      </c>
      <c r="H6" s="74" t="s">
        <v>310</v>
      </c>
      <c r="I6" s="74" t="s">
        <v>311</v>
      </c>
      <c r="J6" s="74" t="s">
        <v>312</v>
      </c>
      <c r="K6" s="74" t="s">
        <v>313</v>
      </c>
      <c r="L6" s="74" t="s">
        <v>314</v>
      </c>
      <c r="M6" s="74" t="s">
        <v>303</v>
      </c>
      <c r="N6" s="74" t="s">
        <v>304</v>
      </c>
      <c r="O6" s="75" t="s">
        <v>305</v>
      </c>
    </row>
    <row r="7" spans="2:18" x14ac:dyDescent="0.3">
      <c r="B7" s="109" t="s">
        <v>139</v>
      </c>
      <c r="C7" s="119">
        <f>F7</f>
        <v>56123338</v>
      </c>
      <c r="D7" s="258">
        <f>차량!$O$12</f>
        <v>56123338</v>
      </c>
      <c r="E7" s="115">
        <f>차량!$O$12</f>
        <v>56123338</v>
      </c>
      <c r="F7" s="115">
        <f>차량!$O$12</f>
        <v>56123338</v>
      </c>
      <c r="G7" s="115">
        <f>차량!$O$12</f>
        <v>56123338</v>
      </c>
      <c r="H7" s="73"/>
      <c r="I7" s="73"/>
      <c r="J7" s="73"/>
      <c r="K7" s="73"/>
      <c r="L7" s="73"/>
      <c r="M7" s="73"/>
      <c r="N7" s="73"/>
      <c r="O7" s="290"/>
      <c r="R7" s="83"/>
    </row>
    <row r="8" spans="2:18" x14ac:dyDescent="0.3">
      <c r="B8" s="109" t="s">
        <v>140</v>
      </c>
      <c r="C8" s="119">
        <f>F8</f>
        <v>1275548372</v>
      </c>
      <c r="D8" s="258">
        <f>비품!$O$176</f>
        <v>1275548372</v>
      </c>
      <c r="E8" s="115">
        <f>비품!$O$176</f>
        <v>1275548372</v>
      </c>
      <c r="F8" s="115">
        <f>비품!$O$176</f>
        <v>1275548372</v>
      </c>
      <c r="G8" s="115">
        <f>비품!$O$176</f>
        <v>1275548372</v>
      </c>
      <c r="H8" s="73"/>
      <c r="I8" s="73"/>
      <c r="J8" s="73"/>
      <c r="K8" s="73"/>
      <c r="L8" s="73"/>
      <c r="M8" s="73"/>
      <c r="N8" s="73"/>
      <c r="O8" s="290"/>
      <c r="R8" s="83"/>
    </row>
    <row r="9" spans="2:18" ht="17.25" thickBot="1" x14ac:dyDescent="0.35">
      <c r="B9" s="110" t="s">
        <v>141</v>
      </c>
      <c r="C9" s="119">
        <f>F9</f>
        <v>293033329</v>
      </c>
      <c r="D9" s="259">
        <f>시설장치!$O$32</f>
        <v>293033329</v>
      </c>
      <c r="E9" s="116">
        <f>시설장치!$O$32</f>
        <v>293033329</v>
      </c>
      <c r="F9" s="116">
        <f>시설장치!$O$32</f>
        <v>293033329</v>
      </c>
      <c r="G9" s="116">
        <f>시설장치!$O$32</f>
        <v>293033329</v>
      </c>
      <c r="H9" s="76"/>
      <c r="I9" s="76"/>
      <c r="J9" s="76"/>
      <c r="K9" s="76"/>
      <c r="L9" s="76"/>
      <c r="M9" s="76"/>
      <c r="N9" s="76"/>
      <c r="O9" s="291"/>
      <c r="R9" s="83"/>
    </row>
    <row r="10" spans="2:18" ht="17.25" thickBot="1" x14ac:dyDescent="0.35">
      <c r="B10" s="111" t="s">
        <v>151</v>
      </c>
      <c r="C10" s="120">
        <f t="shared" ref="C10" si="0">SUM(C7:C9)</f>
        <v>1624705039</v>
      </c>
      <c r="D10" s="337">
        <f t="shared" ref="D10:I10" si="1">SUM(D7:D9)</f>
        <v>1624705039</v>
      </c>
      <c r="E10" s="117">
        <f t="shared" ref="E10" si="2">SUM(E7:E9)</f>
        <v>1624705039</v>
      </c>
      <c r="F10" s="78">
        <f t="shared" si="1"/>
        <v>1624705039</v>
      </c>
      <c r="G10" s="78">
        <f t="shared" si="1"/>
        <v>1624705039</v>
      </c>
      <c r="H10" s="78">
        <f t="shared" si="1"/>
        <v>0</v>
      </c>
      <c r="I10" s="78">
        <f t="shared" si="1"/>
        <v>0</v>
      </c>
      <c r="J10" s="78">
        <f t="shared" ref="J10:K10" si="3">SUM(J7:J9)</f>
        <v>0</v>
      </c>
      <c r="K10" s="78">
        <f t="shared" si="3"/>
        <v>0</v>
      </c>
      <c r="L10" s="78">
        <f t="shared" ref="L10:M10" si="4">SUM(L7:L9)</f>
        <v>0</v>
      </c>
      <c r="M10" s="78">
        <f t="shared" si="4"/>
        <v>0</v>
      </c>
      <c r="N10" s="78">
        <f t="shared" ref="N10:O10" si="5">SUM(N7:N9)</f>
        <v>0</v>
      </c>
      <c r="O10" s="285">
        <f t="shared" si="5"/>
        <v>0</v>
      </c>
      <c r="R10" s="83"/>
    </row>
    <row r="11" spans="2:18" ht="17.25" thickBot="1" x14ac:dyDescent="0.35">
      <c r="C11" s="121"/>
      <c r="R11" s="83"/>
    </row>
    <row r="12" spans="2:18" x14ac:dyDescent="0.3">
      <c r="B12" s="112" t="s">
        <v>142</v>
      </c>
      <c r="C12" s="122">
        <f>F12</f>
        <v>21000</v>
      </c>
      <c r="D12" s="367">
        <v>21000</v>
      </c>
      <c r="E12" s="118">
        <v>21000</v>
      </c>
      <c r="F12" s="118">
        <v>21000</v>
      </c>
      <c r="G12" s="118">
        <v>21000</v>
      </c>
      <c r="H12" s="77"/>
      <c r="I12" s="77"/>
      <c r="J12" s="77"/>
      <c r="K12" s="77"/>
      <c r="L12" s="77"/>
      <c r="M12" s="77"/>
      <c r="N12" s="77"/>
      <c r="O12" s="289"/>
      <c r="R12" s="83"/>
    </row>
    <row r="13" spans="2:18" x14ac:dyDescent="0.3">
      <c r="B13" s="109" t="s">
        <v>143</v>
      </c>
      <c r="C13" s="119">
        <f>F13</f>
        <v>2562674</v>
      </c>
      <c r="D13" s="258">
        <f>2316997-상표권!U40+상표권!O37+상표권!O38</f>
        <v>2669636</v>
      </c>
      <c r="E13" s="115">
        <f>D13-상표권!V40+상표권!P37+상표권!P38</f>
        <v>2616155</v>
      </c>
      <c r="F13" s="115">
        <f>E13-상표권!W40</f>
        <v>2562674</v>
      </c>
      <c r="G13" s="115">
        <f>F13-상표권!X40</f>
        <v>2509193</v>
      </c>
      <c r="H13" s="73"/>
      <c r="I13" s="73"/>
      <c r="J13" s="73"/>
      <c r="K13" s="73"/>
      <c r="L13" s="73"/>
      <c r="M13" s="73"/>
      <c r="N13" s="73"/>
      <c r="O13" s="290"/>
      <c r="Q13" s="71">
        <v>2676404</v>
      </c>
      <c r="R13" s="83"/>
    </row>
    <row r="14" spans="2:18" ht="17.25" thickBot="1" x14ac:dyDescent="0.35">
      <c r="B14" s="113" t="s">
        <v>144</v>
      </c>
      <c r="C14" s="119">
        <f>F14</f>
        <v>67180000</v>
      </c>
      <c r="D14" s="259">
        <f>기타무형자산!O10</f>
        <v>67180000</v>
      </c>
      <c r="E14" s="116">
        <f>D14</f>
        <v>67180000</v>
      </c>
      <c r="F14" s="116">
        <f>E14</f>
        <v>67180000</v>
      </c>
      <c r="G14" s="116">
        <f>F14</f>
        <v>67180000</v>
      </c>
      <c r="H14" s="76"/>
      <c r="I14" s="76"/>
      <c r="J14" s="76"/>
      <c r="K14" s="76"/>
      <c r="L14" s="76"/>
      <c r="M14" s="76"/>
      <c r="N14" s="76"/>
      <c r="O14" s="291"/>
      <c r="Q14" s="83">
        <f>Q13-D13</f>
        <v>6768</v>
      </c>
      <c r="R14" s="83"/>
    </row>
    <row r="15" spans="2:18" ht="17.25" thickBot="1" x14ac:dyDescent="0.35">
      <c r="B15" s="111" t="s">
        <v>152</v>
      </c>
      <c r="C15" s="120">
        <f t="shared" ref="C15" si="6">SUM(C12:C14)</f>
        <v>69763674</v>
      </c>
      <c r="D15" s="337">
        <f t="shared" ref="D15:I15" si="7">SUM(D12:D14)</f>
        <v>69870636</v>
      </c>
      <c r="E15" s="117">
        <f t="shared" ref="E15" si="8">SUM(E12:E14)</f>
        <v>69817155</v>
      </c>
      <c r="F15" s="78">
        <f t="shared" si="7"/>
        <v>69763674</v>
      </c>
      <c r="G15" s="78">
        <f t="shared" si="7"/>
        <v>69710193</v>
      </c>
      <c r="H15" s="78">
        <f t="shared" si="7"/>
        <v>0</v>
      </c>
      <c r="I15" s="78">
        <f t="shared" si="7"/>
        <v>0</v>
      </c>
      <c r="J15" s="78">
        <f t="shared" ref="J15" si="9">SUM(J12:J14)</f>
        <v>0</v>
      </c>
      <c r="K15" s="78">
        <f t="shared" ref="K15:L15" si="10">SUM(K12:K14)</f>
        <v>0</v>
      </c>
      <c r="L15" s="117">
        <f t="shared" si="10"/>
        <v>0</v>
      </c>
      <c r="M15" s="78">
        <f>SUM(M12:M14)</f>
        <v>0</v>
      </c>
      <c r="N15" s="78">
        <f>SUM(N12:N14)</f>
        <v>0</v>
      </c>
      <c r="O15" s="288">
        <f>SUM(O12:O14)</f>
        <v>0</v>
      </c>
      <c r="R15" s="83"/>
    </row>
    <row r="16" spans="2:18" x14ac:dyDescent="0.3">
      <c r="C16" s="123"/>
      <c r="H16" s="80"/>
      <c r="R16" s="83"/>
    </row>
    <row r="17" spans="2:18" ht="21" thickBot="1" x14ac:dyDescent="0.35">
      <c r="B17" s="72" t="s">
        <v>16</v>
      </c>
      <c r="C17" s="123"/>
      <c r="H17" s="80"/>
      <c r="R17" s="83"/>
    </row>
    <row r="18" spans="2:18" x14ac:dyDescent="0.3">
      <c r="B18" s="108" t="s">
        <v>147</v>
      </c>
      <c r="C18" s="125" t="s">
        <v>342</v>
      </c>
      <c r="D18" s="241" t="s">
        <v>306</v>
      </c>
      <c r="E18" s="74" t="s">
        <v>307</v>
      </c>
      <c r="F18" s="74" t="s">
        <v>308</v>
      </c>
      <c r="G18" s="114" t="s">
        <v>309</v>
      </c>
      <c r="H18" s="74" t="s">
        <v>310</v>
      </c>
      <c r="I18" s="74" t="s">
        <v>311</v>
      </c>
      <c r="J18" s="74" t="s">
        <v>312</v>
      </c>
      <c r="K18" s="74" t="s">
        <v>313</v>
      </c>
      <c r="L18" s="74" t="s">
        <v>314</v>
      </c>
      <c r="M18" s="74" t="s">
        <v>303</v>
      </c>
      <c r="N18" s="74" t="s">
        <v>304</v>
      </c>
      <c r="O18" s="75" t="s">
        <v>305</v>
      </c>
      <c r="R18" s="83"/>
    </row>
    <row r="19" spans="2:18" x14ac:dyDescent="0.3">
      <c r="B19" s="109" t="s">
        <v>162</v>
      </c>
      <c r="C19" s="119">
        <f>차량!P12</f>
        <v>56123328</v>
      </c>
      <c r="D19" s="258">
        <f t="shared" ref="D19:G21" si="11">C19+D26</f>
        <v>56123328</v>
      </c>
      <c r="E19" s="73">
        <f t="shared" si="11"/>
        <v>56123328</v>
      </c>
      <c r="F19" s="73">
        <f t="shared" si="11"/>
        <v>56123328</v>
      </c>
      <c r="G19" s="73">
        <f t="shared" si="11"/>
        <v>56123328</v>
      </c>
      <c r="H19" s="73"/>
      <c r="I19" s="73"/>
      <c r="J19" s="73"/>
      <c r="K19" s="73"/>
      <c r="L19" s="73"/>
      <c r="M19" s="73"/>
      <c r="N19" s="73"/>
      <c r="O19" s="290"/>
      <c r="R19" s="83"/>
    </row>
    <row r="20" spans="2:18" x14ac:dyDescent="0.3">
      <c r="B20" s="109" t="s">
        <v>163</v>
      </c>
      <c r="C20" s="119">
        <f>비품!P176</f>
        <v>1215505797</v>
      </c>
      <c r="D20" s="258">
        <f t="shared" si="11"/>
        <v>1217370132</v>
      </c>
      <c r="E20" s="73">
        <f t="shared" si="11"/>
        <v>1219234467</v>
      </c>
      <c r="F20" s="73">
        <f t="shared" si="11"/>
        <v>1221098802</v>
      </c>
      <c r="G20" s="73">
        <f t="shared" si="11"/>
        <v>1222963137</v>
      </c>
      <c r="H20" s="73"/>
      <c r="I20" s="73"/>
      <c r="J20" s="73"/>
      <c r="K20" s="73"/>
      <c r="L20" s="73"/>
      <c r="M20" s="73"/>
      <c r="N20" s="73"/>
      <c r="O20" s="290"/>
      <c r="R20" s="83"/>
    </row>
    <row r="21" spans="2:18" ht="17.25" thickBot="1" x14ac:dyDescent="0.35">
      <c r="B21" s="110" t="s">
        <v>164</v>
      </c>
      <c r="C21" s="119">
        <f>시설장치!P32</f>
        <v>272050919</v>
      </c>
      <c r="D21" s="366">
        <f t="shared" si="11"/>
        <v>273149864</v>
      </c>
      <c r="E21" s="76">
        <f t="shared" si="11"/>
        <v>274248809</v>
      </c>
      <c r="F21" s="76">
        <f t="shared" si="11"/>
        <v>275347754</v>
      </c>
      <c r="G21" s="76">
        <f t="shared" si="11"/>
        <v>276446699</v>
      </c>
      <c r="H21" s="257"/>
      <c r="I21" s="257"/>
      <c r="J21" s="257"/>
      <c r="K21" s="257"/>
      <c r="L21" s="257"/>
      <c r="M21" s="257"/>
      <c r="N21" s="257"/>
      <c r="O21" s="373"/>
      <c r="R21" s="83"/>
    </row>
    <row r="22" spans="2:18" ht="17.25" thickBot="1" x14ac:dyDescent="0.35">
      <c r="B22" s="111" t="s">
        <v>165</v>
      </c>
      <c r="C22" s="120">
        <f t="shared" ref="C22" si="12">SUM(C19:C21)</f>
        <v>1543680044</v>
      </c>
      <c r="D22" s="337">
        <f t="shared" ref="D22:I22" si="13">SUM(D19:D21)</f>
        <v>1546643324</v>
      </c>
      <c r="E22" s="78">
        <f t="shared" ref="E22" si="14">SUM(E19:E21)</f>
        <v>1549606604</v>
      </c>
      <c r="F22" s="78">
        <f t="shared" si="13"/>
        <v>1552569884</v>
      </c>
      <c r="G22" s="117">
        <f t="shared" si="13"/>
        <v>1555533164</v>
      </c>
      <c r="H22" s="78">
        <f t="shared" si="13"/>
        <v>0</v>
      </c>
      <c r="I22" s="78">
        <f t="shared" si="13"/>
        <v>0</v>
      </c>
      <c r="J22" s="78">
        <f t="shared" ref="J22:K22" si="15">SUM(J19:J21)</f>
        <v>0</v>
      </c>
      <c r="K22" s="78">
        <f t="shared" si="15"/>
        <v>0</v>
      </c>
      <c r="L22" s="78">
        <f t="shared" ref="L22:M22" si="16">SUM(L19:L21)</f>
        <v>0</v>
      </c>
      <c r="M22" s="78">
        <f t="shared" si="16"/>
        <v>0</v>
      </c>
      <c r="N22" s="78">
        <f t="shared" ref="N22:O22" si="17">SUM(N19:N21)</f>
        <v>0</v>
      </c>
      <c r="O22" s="285">
        <f t="shared" si="17"/>
        <v>0</v>
      </c>
      <c r="R22" s="83"/>
    </row>
    <row r="23" spans="2:18" x14ac:dyDescent="0.3">
      <c r="C23" s="123"/>
      <c r="R23" s="83"/>
    </row>
    <row r="24" spans="2:18" ht="21" thickBot="1" x14ac:dyDescent="0.35">
      <c r="B24" s="72" t="s">
        <v>145</v>
      </c>
      <c r="C24" s="124"/>
      <c r="R24" s="83"/>
    </row>
    <row r="25" spans="2:18" x14ac:dyDescent="0.3">
      <c r="B25" s="108" t="s">
        <v>147</v>
      </c>
      <c r="C25" s="125" t="s">
        <v>343</v>
      </c>
      <c r="D25" s="114" t="s">
        <v>306</v>
      </c>
      <c r="E25" s="74" t="s">
        <v>307</v>
      </c>
      <c r="F25" s="74" t="s">
        <v>308</v>
      </c>
      <c r="G25" s="74" t="s">
        <v>309</v>
      </c>
      <c r="H25" s="74" t="s">
        <v>310</v>
      </c>
      <c r="I25" s="74" t="s">
        <v>311</v>
      </c>
      <c r="J25" s="74" t="s">
        <v>312</v>
      </c>
      <c r="K25" s="74" t="s">
        <v>313</v>
      </c>
      <c r="L25" s="74" t="s">
        <v>314</v>
      </c>
      <c r="M25" s="74" t="s">
        <v>303</v>
      </c>
      <c r="N25" s="74" t="s">
        <v>304</v>
      </c>
      <c r="O25" s="75" t="s">
        <v>305</v>
      </c>
      <c r="R25" s="83"/>
    </row>
    <row r="26" spans="2:18" x14ac:dyDescent="0.3">
      <c r="B26" s="109" t="s">
        <v>139</v>
      </c>
      <c r="C26" s="119">
        <f>SUM(D26:O26)</f>
        <v>0</v>
      </c>
      <c r="D26" s="115">
        <f>차량!U12</f>
        <v>0</v>
      </c>
      <c r="E26" s="115">
        <f>차량!V12</f>
        <v>0</v>
      </c>
      <c r="F26" s="115">
        <f>차량!W12</f>
        <v>0</v>
      </c>
      <c r="G26" s="115">
        <f>차량!X12</f>
        <v>0</v>
      </c>
      <c r="H26" s="73"/>
      <c r="I26" s="73"/>
      <c r="J26" s="73"/>
      <c r="K26" s="73"/>
      <c r="L26" s="73"/>
      <c r="M26" s="73"/>
      <c r="N26" s="73"/>
      <c r="O26" s="290"/>
      <c r="R26" s="83"/>
    </row>
    <row r="27" spans="2:18" x14ac:dyDescent="0.3">
      <c r="B27" s="109" t="s">
        <v>140</v>
      </c>
      <c r="C27" s="119">
        <f t="shared" ref="C27:C28" si="18">SUM(D27:O27)</f>
        <v>7457340</v>
      </c>
      <c r="D27" s="115">
        <f>비품!U176</f>
        <v>1864335</v>
      </c>
      <c r="E27" s="115">
        <f>비품!V176</f>
        <v>1864335</v>
      </c>
      <c r="F27" s="115">
        <f>비품!W176</f>
        <v>1864335</v>
      </c>
      <c r="G27" s="115">
        <f>비품!X176</f>
        <v>1864335</v>
      </c>
      <c r="H27" s="73"/>
      <c r="I27" s="73"/>
      <c r="J27" s="73"/>
      <c r="K27" s="73"/>
      <c r="L27" s="73"/>
      <c r="M27" s="73"/>
      <c r="N27" s="73"/>
      <c r="O27" s="290"/>
      <c r="R27" s="83"/>
    </row>
    <row r="28" spans="2:18" ht="17.25" thickBot="1" x14ac:dyDescent="0.35">
      <c r="B28" s="110" t="s">
        <v>141</v>
      </c>
      <c r="C28" s="119">
        <f t="shared" si="18"/>
        <v>4395780</v>
      </c>
      <c r="D28" s="129">
        <f>시설장치!U32</f>
        <v>1098945</v>
      </c>
      <c r="E28" s="129">
        <f>시설장치!V32</f>
        <v>1098945</v>
      </c>
      <c r="F28" s="129">
        <f>시설장치!W32</f>
        <v>1098945</v>
      </c>
      <c r="G28" s="129">
        <f>시설장치!X32</f>
        <v>1098945</v>
      </c>
      <c r="H28" s="76"/>
      <c r="I28" s="76"/>
      <c r="J28" s="76"/>
      <c r="K28" s="76"/>
      <c r="L28" s="76"/>
      <c r="M28" s="76"/>
      <c r="N28" s="76"/>
      <c r="O28" s="291"/>
      <c r="R28" s="83"/>
    </row>
    <row r="29" spans="2:18" ht="17.25" thickBot="1" x14ac:dyDescent="0.35">
      <c r="B29" s="111" t="s">
        <v>148</v>
      </c>
      <c r="C29" s="120">
        <f t="shared" ref="C29:H29" si="19">SUM(C26:C28)</f>
        <v>11853120</v>
      </c>
      <c r="D29" s="117">
        <f t="shared" si="19"/>
        <v>2963280</v>
      </c>
      <c r="E29" s="117">
        <f t="shared" ref="E29" si="20">SUM(E26:E28)</f>
        <v>2963280</v>
      </c>
      <c r="F29" s="117">
        <f t="shared" si="19"/>
        <v>2963280</v>
      </c>
      <c r="G29" s="117">
        <f t="shared" si="19"/>
        <v>2963280</v>
      </c>
      <c r="H29" s="117">
        <f t="shared" si="19"/>
        <v>0</v>
      </c>
      <c r="I29" s="117">
        <f t="shared" ref="I29:J29" si="21">SUM(I26:I28)</f>
        <v>0</v>
      </c>
      <c r="J29" s="117">
        <f t="shared" si="21"/>
        <v>0</v>
      </c>
      <c r="K29" s="117">
        <f t="shared" ref="K29:M29" si="22">SUM(K26:K28)</f>
        <v>0</v>
      </c>
      <c r="L29" s="117">
        <f t="shared" si="22"/>
        <v>0</v>
      </c>
      <c r="M29" s="117">
        <f t="shared" si="22"/>
        <v>0</v>
      </c>
      <c r="N29" s="117">
        <f t="shared" ref="N29:O29" si="23">SUM(N26:N28)</f>
        <v>0</v>
      </c>
      <c r="O29" s="285">
        <f t="shared" si="23"/>
        <v>0</v>
      </c>
      <c r="R29" s="83"/>
    </row>
    <row r="30" spans="2:18" ht="17.25" thickBot="1" x14ac:dyDescent="0.35">
      <c r="C30" s="123"/>
      <c r="R30" s="83"/>
    </row>
    <row r="31" spans="2:18" x14ac:dyDescent="0.3">
      <c r="B31" s="112" t="s">
        <v>142</v>
      </c>
      <c r="C31" s="127">
        <f>SUM(D31:O31)</f>
        <v>0</v>
      </c>
      <c r="D31" s="118">
        <f>소프트웨어!U30</f>
        <v>0</v>
      </c>
      <c r="E31" s="118">
        <f>소프트웨어!V30</f>
        <v>0</v>
      </c>
      <c r="F31" s="118">
        <f>소프트웨어!W30</f>
        <v>0</v>
      </c>
      <c r="G31" s="118">
        <f>소프트웨어!X30</f>
        <v>0</v>
      </c>
      <c r="H31" s="77"/>
      <c r="I31" s="77"/>
      <c r="J31" s="77"/>
      <c r="K31" s="77"/>
      <c r="L31" s="77"/>
      <c r="M31" s="77"/>
      <c r="N31" s="77"/>
      <c r="O31" s="289"/>
      <c r="R31" s="83"/>
    </row>
    <row r="32" spans="2:18" x14ac:dyDescent="0.3">
      <c r="B32" s="109" t="s">
        <v>143</v>
      </c>
      <c r="C32" s="119">
        <f t="shared" ref="C32:C33" si="24">SUM(D32:O32)</f>
        <v>213924</v>
      </c>
      <c r="D32" s="115">
        <f>상표권!U40</f>
        <v>53481</v>
      </c>
      <c r="E32" s="115">
        <f>상표권!V40</f>
        <v>53481</v>
      </c>
      <c r="F32" s="115">
        <f>상표권!W40</f>
        <v>53481</v>
      </c>
      <c r="G32" s="115">
        <f>상표권!X40</f>
        <v>53481</v>
      </c>
      <c r="H32" s="260"/>
      <c r="I32" s="260"/>
      <c r="J32" s="260"/>
      <c r="K32" s="260"/>
      <c r="L32" s="260"/>
      <c r="M32" s="260"/>
      <c r="N32" s="260"/>
      <c r="O32" s="338"/>
      <c r="R32" s="83"/>
    </row>
    <row r="33" spans="2:30" ht="17.25" thickBot="1" x14ac:dyDescent="0.35">
      <c r="B33" s="113" t="s">
        <v>144</v>
      </c>
      <c r="C33" s="128">
        <f t="shared" si="24"/>
        <v>0</v>
      </c>
      <c r="D33" s="116">
        <f>기타무형자산!U10</f>
        <v>0</v>
      </c>
      <c r="E33" s="116">
        <f>기타무형자산!V10</f>
        <v>0</v>
      </c>
      <c r="F33" s="116">
        <f>기타무형자산!W10</f>
        <v>0</v>
      </c>
      <c r="G33" s="116">
        <f>기타무형자산!X10</f>
        <v>0</v>
      </c>
      <c r="H33" s="76"/>
      <c r="I33" s="76"/>
      <c r="J33" s="76"/>
      <c r="K33" s="76"/>
      <c r="L33" s="76"/>
      <c r="M33" s="76"/>
      <c r="N33" s="76"/>
      <c r="O33" s="291"/>
      <c r="R33" s="83"/>
    </row>
    <row r="34" spans="2:30" ht="17.25" thickBot="1" x14ac:dyDescent="0.35">
      <c r="B34" s="111" t="s">
        <v>149</v>
      </c>
      <c r="C34" s="120">
        <f t="shared" ref="C34:H34" si="25">SUM(C31:C33)</f>
        <v>213924</v>
      </c>
      <c r="D34" s="117">
        <f t="shared" si="25"/>
        <v>53481</v>
      </c>
      <c r="E34" s="117">
        <f t="shared" ref="E34" si="26">SUM(E31:E33)</f>
        <v>53481</v>
      </c>
      <c r="F34" s="117">
        <f t="shared" si="25"/>
        <v>53481</v>
      </c>
      <c r="G34" s="117">
        <f t="shared" si="25"/>
        <v>53481</v>
      </c>
      <c r="H34" s="117">
        <f t="shared" si="25"/>
        <v>0</v>
      </c>
      <c r="I34" s="117">
        <f t="shared" ref="I34:J34" si="27">SUM(I31:I33)</f>
        <v>0</v>
      </c>
      <c r="J34" s="117">
        <f t="shared" si="27"/>
        <v>0</v>
      </c>
      <c r="K34" s="117">
        <f t="shared" ref="K34:M34" si="28">SUM(K31:K33)</f>
        <v>0</v>
      </c>
      <c r="L34" s="117">
        <f t="shared" si="28"/>
        <v>0</v>
      </c>
      <c r="M34" s="117">
        <f t="shared" si="28"/>
        <v>0</v>
      </c>
      <c r="N34" s="117">
        <f t="shared" ref="N34:O34" si="29">SUM(N31:N33)</f>
        <v>0</v>
      </c>
      <c r="O34" s="285">
        <f t="shared" si="29"/>
        <v>0</v>
      </c>
      <c r="R34" s="83"/>
    </row>
    <row r="35" spans="2:30" x14ac:dyDescent="0.3">
      <c r="R35" s="83"/>
    </row>
    <row r="36" spans="2:30" x14ac:dyDescent="0.3">
      <c r="C36" s="137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R36" s="83"/>
    </row>
    <row r="37" spans="2:30" ht="17.25" x14ac:dyDescent="0.3">
      <c r="B37" s="138" t="s">
        <v>236</v>
      </c>
      <c r="C37" s="135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D37" s="83"/>
    </row>
    <row r="39" spans="2:30" ht="20.25" x14ac:dyDescent="0.3">
      <c r="B39" s="72" t="s">
        <v>198</v>
      </c>
      <c r="C39" s="79"/>
    </row>
    <row r="40" spans="2:30" ht="17.25" thickBot="1" x14ac:dyDescent="0.35"/>
    <row r="41" spans="2:30" x14ac:dyDescent="0.3">
      <c r="B41" s="108" t="s">
        <v>0</v>
      </c>
      <c r="C41" s="125" t="s">
        <v>199</v>
      </c>
      <c r="D41" s="114" t="s">
        <v>306</v>
      </c>
      <c r="E41" s="74" t="s">
        <v>307</v>
      </c>
      <c r="F41" s="74" t="s">
        <v>308</v>
      </c>
      <c r="G41" s="74" t="s">
        <v>309</v>
      </c>
      <c r="H41" s="74" t="s">
        <v>310</v>
      </c>
      <c r="I41" s="114" t="s">
        <v>311</v>
      </c>
      <c r="J41" s="74" t="s">
        <v>312</v>
      </c>
      <c r="K41" s="74" t="s">
        <v>313</v>
      </c>
      <c r="L41" s="74" t="s">
        <v>314</v>
      </c>
      <c r="M41" s="74" t="s">
        <v>303</v>
      </c>
      <c r="N41" s="114" t="s">
        <v>304</v>
      </c>
      <c r="O41" s="75" t="s">
        <v>305</v>
      </c>
    </row>
    <row r="42" spans="2:30" x14ac:dyDescent="0.3">
      <c r="B42" s="109" t="s">
        <v>200</v>
      </c>
      <c r="C42" s="119" t="b">
        <f>SUMIF(결산전표입력후BSP!$C:$C,요약!$B42,결산전표입력후BSP!$D:$D)=$C7</f>
        <v>1</v>
      </c>
      <c r="D42" s="258" t="b">
        <f>SUMIF(결산전표입력후BSP!$C:$C,요약!$B42,결산전표입력후BSP!E:E)=D7</f>
        <v>1</v>
      </c>
      <c r="E42" s="115" t="b">
        <f>SUMIF(결산전표입력후BSP!C:C,요약!$B42,결산전표입력후BSP!F:F)=E7</f>
        <v>1</v>
      </c>
      <c r="F42" s="73" t="b">
        <f>SUMIF(결산전표입력후BSP!$C:$C,요약!$B42,결산전표입력후BSP!G:G)=F7</f>
        <v>1</v>
      </c>
      <c r="G42" s="73" t="b">
        <f>SUMIF(결산전표입력후BSP!$C:$C,요약!$B42,결산전표입력후BSP!H:H)=G7</f>
        <v>0</v>
      </c>
      <c r="H42" s="73" t="b">
        <f>SUMIF(결산전표입력후BSP!$C:$C,요약!$B42,결산전표입력후BSP!I:I)=H7</f>
        <v>1</v>
      </c>
      <c r="I42" s="73" t="b">
        <f>SUMIF(결산전표입력후BSP!$C:$C,요약!$B42,결산전표입력후BSP!J:J)=I7</f>
        <v>1</v>
      </c>
      <c r="J42" s="73" t="b">
        <f>SUMIF(결산전표입력후BSP!$C:$C,요약!$B42,결산전표입력후BSP!K:K)=J7</f>
        <v>1</v>
      </c>
      <c r="K42" s="73" t="b">
        <f>SUMIF(결산전표입력후BSP!$C:$C,요약!$B42,결산전표입력후BSP!L:L)=K7</f>
        <v>1</v>
      </c>
      <c r="L42" s="73" t="b">
        <f>SUMIF(결산전표입력후BSP!$C:$C,요약!$B42,결산전표입력후BSP!M:M)=L7</f>
        <v>1</v>
      </c>
      <c r="M42" s="73" t="b">
        <f>SUMIF(결산전표입력후BSP!$C:$C,요약!$B42,결산전표입력후BSP!N:N)=M7</f>
        <v>1</v>
      </c>
      <c r="N42" s="73" t="b">
        <f>SUMIF(결산전표입력후BSP!$C:$C,요약!$B42,결산전표입력후BSP!O:O)=N7</f>
        <v>1</v>
      </c>
      <c r="O42" s="284" t="b">
        <f>SUMIF(결산전표입력후BSP!$C:$C,요약!$B42,결산전표입력후BSP!P:P)=O7</f>
        <v>1</v>
      </c>
    </row>
    <row r="43" spans="2:30" x14ac:dyDescent="0.3">
      <c r="B43" s="109" t="s">
        <v>166</v>
      </c>
      <c r="C43" s="119" t="b">
        <f>SUMIF(결산전표입력후BSP!$C:$C,요약!$B43,결산전표입력후BSP!$D:$D)=$C8</f>
        <v>1</v>
      </c>
      <c r="D43" s="258" t="b">
        <f>SUMIF(결산전표입력후BSP!$C:$C,요약!$B43,결산전표입력후BSP!E:E)=D8</f>
        <v>1</v>
      </c>
      <c r="E43" s="115" t="b">
        <f>SUMIF(결산전표입력후BSP!$C:$C,요약!$B43,결산전표입력후BSP!F:F)=E8</f>
        <v>1</v>
      </c>
      <c r="F43" s="73" t="b">
        <f>SUMIF(결산전표입력후BSP!$C:$C,요약!$B43,결산전표입력후BSP!G:G)=F8</f>
        <v>1</v>
      </c>
      <c r="G43" s="73" t="b">
        <f>SUMIF(결산전표입력후BSP!$C:$C,요약!$B43,결산전표입력후BSP!H:H)=G8</f>
        <v>0</v>
      </c>
      <c r="H43" s="73" t="b">
        <f>SUMIF(결산전표입력후BSP!$C:$C,요약!$B43,결산전표입력후BSP!I:I)=H8</f>
        <v>1</v>
      </c>
      <c r="I43" s="73" t="b">
        <f>SUMIF(결산전표입력후BSP!$C:$C,요약!$B43,결산전표입력후BSP!J:J)=I8</f>
        <v>1</v>
      </c>
      <c r="J43" s="73" t="b">
        <f>SUMIF(결산전표입력후BSP!$C:$C,요약!$B43,결산전표입력후BSP!K:K)=J8</f>
        <v>1</v>
      </c>
      <c r="K43" s="73" t="b">
        <f>SUMIF(결산전표입력후BSP!$C:$C,요약!$B43,결산전표입력후BSP!L:L)=K8</f>
        <v>1</v>
      </c>
      <c r="L43" s="73" t="b">
        <f>SUMIF(결산전표입력후BSP!$C:$C,요약!$B43,결산전표입력후BSP!M:M)=L8</f>
        <v>1</v>
      </c>
      <c r="M43" s="73" t="b">
        <f>SUMIF(결산전표입력후BSP!$C:$C,요약!$B43,결산전표입력후BSP!N:N)=M8</f>
        <v>1</v>
      </c>
      <c r="N43" s="73" t="b">
        <f>SUMIF(결산전표입력후BSP!$C:$C,요약!$B43,결산전표입력후BSP!O:O)=N8</f>
        <v>1</v>
      </c>
      <c r="O43" s="284" t="b">
        <f>SUMIF(결산전표입력후BSP!$C:$C,요약!$B43,결산전표입력후BSP!P:P)=O8</f>
        <v>1</v>
      </c>
    </row>
    <row r="44" spans="2:30" ht="17.25" thickBot="1" x14ac:dyDescent="0.35">
      <c r="B44" s="110" t="s">
        <v>201</v>
      </c>
      <c r="C44" s="119" t="b">
        <f>SUMIF(결산전표입력후BSP!$C:$C,요약!$B44,결산전표입력후BSP!$D:$D)=$C9</f>
        <v>1</v>
      </c>
      <c r="D44" s="259" t="b">
        <f>SUMIF(결산전표입력후BSP!$C:$C,요약!$B44,결산전표입력후BSP!E:E)=D9</f>
        <v>1</v>
      </c>
      <c r="E44" s="394" t="b">
        <f>SUMIF(결산전표입력후BSP!$C:$C,요약!$B44,결산전표입력후BSP!F:F)=E9</f>
        <v>1</v>
      </c>
      <c r="F44" s="257" t="b">
        <f>SUMIF(결산전표입력후BSP!$C:$C,요약!$B44,결산전표입력후BSP!G:G)=F9</f>
        <v>1</v>
      </c>
      <c r="G44" s="73" t="b">
        <f>SUMIF(결산전표입력후BSP!$C:$C,요약!$B44,결산전표입력후BSP!H:H)=G9</f>
        <v>0</v>
      </c>
      <c r="H44" s="257" t="b">
        <f>SUMIF(결산전표입력후BSP!$C:$C,요약!$B44,결산전표입력후BSP!I:I)=H9</f>
        <v>1</v>
      </c>
      <c r="I44" s="73" t="b">
        <f>SUMIF(결산전표입력후BSP!$C:$C,요약!$B44,결산전표입력후BSP!J:J)=I9</f>
        <v>1</v>
      </c>
      <c r="J44" s="73" t="b">
        <f>SUMIF(결산전표입력후BSP!$C:$C,요약!$B44,결산전표입력후BSP!K:K)=J9</f>
        <v>1</v>
      </c>
      <c r="K44" s="73" t="b">
        <f>SUMIF(결산전표입력후BSP!$C:$C,요약!$B44,결산전표입력후BSP!L:L)=K9</f>
        <v>1</v>
      </c>
      <c r="L44" s="73" t="b">
        <f>SUMIF(결산전표입력후BSP!$C:$C,요약!$B44,결산전표입력후BSP!M:M)=L9</f>
        <v>1</v>
      </c>
      <c r="M44" s="73" t="b">
        <f>SUMIF(결산전표입력후BSP!$C:$C,요약!$B44,결산전표입력후BSP!N:N)=M9</f>
        <v>1</v>
      </c>
      <c r="N44" s="73" t="b">
        <f>SUMIF(결산전표입력후BSP!$C:$C,요약!$B44,결산전표입력후BSP!O:O)=N9</f>
        <v>1</v>
      </c>
      <c r="O44" s="284" t="b">
        <f>SUMIF(결산전표입력후BSP!$C:$C,요약!$B44,결산전표입력후BSP!P:P)=O9</f>
        <v>1</v>
      </c>
    </row>
    <row r="45" spans="2:30" ht="17.25" thickBot="1" x14ac:dyDescent="0.35">
      <c r="B45" s="111" t="s">
        <v>202</v>
      </c>
      <c r="C45" s="120" t="b">
        <f>결산전표입력후BSP!D3+결산전표입력후BSP!D5+결산전표입력후BSP!D7=요약!C10</f>
        <v>1</v>
      </c>
      <c r="D45" s="117" t="b">
        <f>결산전표입력후BSP!E3+결산전표입력후BSP!E5+결산전표입력후BSP!E7=요약!D10</f>
        <v>1</v>
      </c>
      <c r="E45" s="78" t="b">
        <f>결산전표입력후BSP!F3+결산전표입력후BSP!F5+결산전표입력후BSP!F7=요약!E10</f>
        <v>1</v>
      </c>
      <c r="F45" s="78" t="b">
        <f>결산전표입력후BSP!G3+결산전표입력후BSP!G5+결산전표입력후BSP!G7=요약!F10</f>
        <v>1</v>
      </c>
      <c r="G45" s="78" t="b">
        <f>결산전표입력후BSP!H3+결산전표입력후BSP!H5+결산전표입력후BSP!H7=요약!G10</f>
        <v>0</v>
      </c>
      <c r="H45" s="117" t="b">
        <f>결산전표입력후BSP!I3+결산전표입력후BSP!I5+결산전표입력후BSP!I7=요약!H10</f>
        <v>1</v>
      </c>
      <c r="I45" s="78" t="b">
        <f>결산전표입력후BSP!J3+결산전표입력후BSP!J5+결산전표입력후BSP!J7=요약!I10</f>
        <v>1</v>
      </c>
      <c r="J45" s="78" t="b">
        <f>결산전표입력후BSP!K3+결산전표입력후BSP!K5+결산전표입력후BSP!K7=요약!J10</f>
        <v>1</v>
      </c>
      <c r="K45" s="78" t="b">
        <f>결산전표입력후BSP!L3+결산전표입력후BSP!L5+결산전표입력후BSP!L7=요약!K10</f>
        <v>1</v>
      </c>
      <c r="L45" s="78" t="b">
        <f>결산전표입력후BSP!M3+결산전표입력후BSP!M5+결산전표입력후BSP!M7=요약!L10</f>
        <v>1</v>
      </c>
      <c r="M45" s="78" t="b">
        <f>결산전표입력후BSP!N3+결산전표입력후BSP!N5+결산전표입력후BSP!N7=요약!M10</f>
        <v>1</v>
      </c>
      <c r="N45" s="117" t="b">
        <f>결산전표입력후BSP!O3+결산전표입력후BSP!O5+결산전표입력후BSP!O7=요약!N10</f>
        <v>1</v>
      </c>
      <c r="O45" s="285" t="b">
        <f>결산전표입력후BSP!P3+결산전표입력후BSP!P5+결산전표입력후BSP!P7=요약!O10</f>
        <v>1</v>
      </c>
    </row>
    <row r="46" spans="2:30" ht="17.25" thickBot="1" x14ac:dyDescent="0.35">
      <c r="C46" s="121"/>
      <c r="H46" s="83"/>
      <c r="I46" s="83"/>
      <c r="J46" s="83"/>
      <c r="K46" s="83"/>
      <c r="L46" s="83"/>
      <c r="M46" s="83"/>
      <c r="N46" s="83"/>
      <c r="O46" s="83"/>
    </row>
    <row r="47" spans="2:30" x14ac:dyDescent="0.3">
      <c r="B47" s="112" t="s">
        <v>27</v>
      </c>
      <c r="C47" s="127" t="b">
        <f>SUMIF(결산전표입력후BSP!$C:$C,요약!$B47,결산전표입력후BSP!$D:$D)=ROUND($C12,0)</f>
        <v>1</v>
      </c>
      <c r="D47" s="118" t="b">
        <f>SUMIF(결산전표입력후BSP!$C:$C,요약!$B47,결산전표입력후BSP!E:E)=ROUND(D12,0)</f>
        <v>1</v>
      </c>
      <c r="E47" s="118" t="b">
        <f>SUMIF(결산전표입력후BSP!$C:$C,요약!$B47,결산전표입력후BSP!F:F)=ROUND(E12,0)</f>
        <v>1</v>
      </c>
      <c r="F47" s="118" t="b">
        <f>SUMIF(결산전표입력후BSP!$C:$C,요약!$B47,결산전표입력후BSP!G:G)=ROUND(F12,0)</f>
        <v>1</v>
      </c>
      <c r="G47" s="118" t="b">
        <f>SUMIF(결산전표입력후BSP!$C:$C,요약!$B47,결산전표입력후BSP!H:H)=ROUND(G12,0)</f>
        <v>0</v>
      </c>
      <c r="H47" s="118" t="b">
        <f>SUMIF(결산전표입력후BSP!$C:$C,요약!$B47,결산전표입력후BSP!I:I)=ROUND(H12,0)</f>
        <v>1</v>
      </c>
      <c r="I47" s="118" t="b">
        <f>SUMIF(결산전표입력후BSP!$C:$C,요약!$B47,결산전표입력후BSP!J:J)=ROUND(I12,0)</f>
        <v>1</v>
      </c>
      <c r="J47" s="118" t="b">
        <f>SUMIF(결산전표입력후BSP!$C:$C,요약!$B47,결산전표입력후BSP!K:K)=ROUND(J12,0)</f>
        <v>1</v>
      </c>
      <c r="K47" s="118" t="b">
        <f>SUMIF(결산전표입력후BSP!$C:$C,요약!$B47,결산전표입력후BSP!L:L)=ROUND(K12,0)</f>
        <v>1</v>
      </c>
      <c r="L47" s="118" t="b">
        <f>SUMIF(결산전표입력후BSP!$C:$C,요약!$B47,결산전표입력후BSP!M:M)=ROUND(L12,0)</f>
        <v>1</v>
      </c>
      <c r="M47" s="118" t="b">
        <f>SUMIF(결산전표입력후BSP!$C:$C,요약!$B47,결산전표입력후BSP!N:N)=ROUND(M12,0)</f>
        <v>1</v>
      </c>
      <c r="N47" s="118" t="b">
        <f>SUMIF(결산전표입력후BSP!$C:$C,요약!$B47,결산전표입력후BSP!O:O)=ROUND(N12,0)</f>
        <v>1</v>
      </c>
      <c r="O47" s="286" t="b">
        <f>SUMIF(결산전표입력후BSP!$C:$C,요약!$B47,결산전표입력후BSP!P:P)=ROUND(O12,0)</f>
        <v>1</v>
      </c>
    </row>
    <row r="48" spans="2:30" x14ac:dyDescent="0.3">
      <c r="B48" s="109" t="s">
        <v>106</v>
      </c>
      <c r="C48" s="119" t="b">
        <f>SUMIF(결산전표입력후BSP!$C:$C,요약!$B48,결산전표입력후BSP!$D:$D)=ROUND($C13,0)</f>
        <v>1</v>
      </c>
      <c r="D48" s="115" t="b">
        <f>SUMIF(결산전표입력후BSP!$C:$C,요약!$B48,결산전표입력후BSP!E:E)=ROUND(D13,0)</f>
        <v>1</v>
      </c>
      <c r="E48" s="115" t="b">
        <f>SUMIF(결산전표입력후BSP!$C:$C,요약!$B48,결산전표입력후BSP!F:F)=ROUND(E13,0)</f>
        <v>1</v>
      </c>
      <c r="F48" s="115" t="b">
        <f>SUMIF(결산전표입력후BSP!$C:$C,요약!$B48,결산전표입력후BSP!G:G)=ROUND(F13,0)</f>
        <v>1</v>
      </c>
      <c r="G48" s="115" t="b">
        <f>SUMIF(결산전표입력후BSP!$C:$C,요약!$B48,결산전표입력후BSP!H:H)=ROUND(G13,0)</f>
        <v>0</v>
      </c>
      <c r="H48" s="115" t="b">
        <f>SUMIF(결산전표입력후BSP!$C:$C,요약!$B48,결산전표입력후BSP!I:I)=ROUND(H13,0)</f>
        <v>1</v>
      </c>
      <c r="I48" s="115" t="b">
        <f>SUMIF(결산전표입력후BSP!$C:$C,요약!$B48,결산전표입력후BSP!J:J)=ROUND(I13,0)</f>
        <v>1</v>
      </c>
      <c r="J48" s="115" t="b">
        <f>SUMIF(결산전표입력후BSP!$C:$C,요약!$B48,결산전표입력후BSP!K:K)=ROUND(J13,0)</f>
        <v>1</v>
      </c>
      <c r="K48" s="115" t="b">
        <f>SUMIF(결산전표입력후BSP!$C:$C,요약!$B48,결산전표입력후BSP!L:L)=ROUND(K13,0)</f>
        <v>1</v>
      </c>
      <c r="L48" s="115" t="b">
        <f>SUMIF(결산전표입력후BSP!$C:$C,요약!$B48,결산전표입력후BSP!M:M)=ROUND(L13,0)</f>
        <v>1</v>
      </c>
      <c r="M48" s="115" t="b">
        <f>SUMIF(결산전표입력후BSP!$C:$C,요약!$B48,결산전표입력후BSP!N:N)=ROUND(M13,0)</f>
        <v>1</v>
      </c>
      <c r="N48" s="115" t="b">
        <f>SUMIF(결산전표입력후BSP!$C:$C,요약!$B48,결산전표입력후BSP!O:O)=ROUND(N13,0)</f>
        <v>1</v>
      </c>
      <c r="O48" s="284" t="b">
        <f>SUMIF(결산전표입력후BSP!$C:$C,요약!$B48,결산전표입력후BSP!P:P)=ROUND(O13,0)</f>
        <v>1</v>
      </c>
    </row>
    <row r="49" spans="2:15" ht="17.25" thickBot="1" x14ac:dyDescent="0.35">
      <c r="B49" s="113" t="s">
        <v>203</v>
      </c>
      <c r="C49" s="128" t="b">
        <f>SUMIF(결산전표입력후BSP!$C:$C,요약!$B49,결산전표입력후BSP!$D:$D)=ROUND($C14,0)</f>
        <v>1</v>
      </c>
      <c r="D49" s="116" t="b">
        <f>SUMIF(결산전표입력후BSP!$C:$C,요약!$B49,결산전표입력후BSP!E:E)=ROUND(D14,0)</f>
        <v>1</v>
      </c>
      <c r="E49" s="116" t="b">
        <f>SUMIF(결산전표입력후BSP!$C:$C,요약!$B49,결산전표입력후BSP!F:F)=ROUND(E14,0)</f>
        <v>1</v>
      </c>
      <c r="F49" s="116" t="b">
        <f>SUMIF(결산전표입력후BSP!$C:$C,요약!$B49,결산전표입력후BSP!G:G)=ROUND(F14,0)</f>
        <v>1</v>
      </c>
      <c r="G49" s="116" t="b">
        <f>SUMIF(결산전표입력후BSP!$C:$C,요약!$B49,결산전표입력후BSP!H:H)=ROUND(G14,0)</f>
        <v>0</v>
      </c>
      <c r="H49" s="116" t="b">
        <f>SUMIF(결산전표입력후BSP!$C:$C,요약!$B49,결산전표입력후BSP!I:I)=ROUND(H14,0)</f>
        <v>1</v>
      </c>
      <c r="I49" s="116" t="b">
        <f>SUMIF(결산전표입력후BSP!$C:$C,요약!$B49,결산전표입력후BSP!J:J)=ROUND(I14,0)</f>
        <v>1</v>
      </c>
      <c r="J49" s="116" t="b">
        <f>SUMIF(결산전표입력후BSP!$C:$C,요약!$B49,결산전표입력후BSP!K:K)=ROUND(J14,0)</f>
        <v>1</v>
      </c>
      <c r="K49" s="116" t="b">
        <f>SUMIF(결산전표입력후BSP!$C:$C,요약!$B49,결산전표입력후BSP!L:L)=ROUND(K14,0)</f>
        <v>1</v>
      </c>
      <c r="L49" s="116" t="b">
        <f>SUMIF(결산전표입력후BSP!$C:$C,요약!$B49,결산전표입력후BSP!M:M)=ROUND(L14,0)</f>
        <v>1</v>
      </c>
      <c r="M49" s="116" t="b">
        <f>SUMIF(결산전표입력후BSP!$C:$C,요약!$B49,결산전표입력후BSP!N:N)=ROUND(M14,0)</f>
        <v>1</v>
      </c>
      <c r="N49" s="116" t="b">
        <f>SUMIF(결산전표입력후BSP!$C:$C,요약!$B49,결산전표입력후BSP!O:O)=ROUND(N14,0)</f>
        <v>1</v>
      </c>
      <c r="O49" s="287" t="b">
        <f>SUMIF(결산전표입력후BSP!$C:$C,요약!$B49,결산전표입력후BSP!P:P)=ROUND(O14,0)</f>
        <v>1</v>
      </c>
    </row>
    <row r="50" spans="2:15" ht="17.25" thickBot="1" x14ac:dyDescent="0.35">
      <c r="B50" s="111" t="s">
        <v>204</v>
      </c>
      <c r="C50" s="120" t="b">
        <f>SUM(결산전표입력후BSP!D16:D18)=ROUND(요약!C15,0)</f>
        <v>1</v>
      </c>
      <c r="D50" s="117" t="b">
        <f>SUM(결산전표입력후BSP!E16:E18)=ROUND(요약!D15,0)</f>
        <v>1</v>
      </c>
      <c r="E50" s="78" t="b">
        <f>SUM(결산전표입력후BSP!F16:F18)=ROUND(요약!E15,0)</f>
        <v>1</v>
      </c>
      <c r="F50" s="78" t="b">
        <f>SUM(결산전표입력후BSP!G16:G18)=ROUND(요약!F15,0)</f>
        <v>1</v>
      </c>
      <c r="G50" s="78" t="b">
        <f>SUM(결산전표입력후BSP!H16:H18)=ROUND(요약!G15,0)</f>
        <v>0</v>
      </c>
      <c r="H50" s="78" t="b">
        <f>SUM(결산전표입력후BSP!I16:I18)=ROUND(요약!H15,0)</f>
        <v>1</v>
      </c>
      <c r="I50" s="78" t="b">
        <f>SUM(결산전표입력후BSP!J16:J18)=ROUND(요약!I15,0)</f>
        <v>1</v>
      </c>
      <c r="J50" s="78" t="b">
        <f>SUM(결산전표입력후BSP!K16:K18)=ROUND(요약!J15,0)</f>
        <v>1</v>
      </c>
      <c r="K50" s="78" t="b">
        <f>SUM(결산전표입력후BSP!L16:L18)=ROUND(요약!K15,0)</f>
        <v>1</v>
      </c>
      <c r="L50" s="78" t="b">
        <f>SUM(결산전표입력후BSP!M16:M18)=ROUND(요약!L15,0)</f>
        <v>1</v>
      </c>
      <c r="M50" s="78" t="b">
        <f>SUM(결산전표입력후BSP!N16:N18)=ROUND(요약!M15,0)</f>
        <v>1</v>
      </c>
      <c r="N50" s="78" t="b">
        <f>SUM(결산전표입력후BSP!O16:O18)=ROUND(요약!N15,0)</f>
        <v>1</v>
      </c>
      <c r="O50" s="288" t="b">
        <f>SUM(결산전표입력후BSP!P16:P18)=ROUND(요약!O15,0)</f>
        <v>1</v>
      </c>
    </row>
    <row r="51" spans="2:15" x14ac:dyDescent="0.3">
      <c r="C51" s="123"/>
      <c r="H51" s="80"/>
    </row>
    <row r="52" spans="2:15" ht="21" thickBot="1" x14ac:dyDescent="0.35">
      <c r="B52" s="72" t="s">
        <v>205</v>
      </c>
      <c r="C52" s="123"/>
      <c r="H52" s="80"/>
    </row>
    <row r="53" spans="2:15" x14ac:dyDescent="0.3">
      <c r="B53" s="108" t="s">
        <v>0</v>
      </c>
      <c r="C53" s="125" t="str">
        <f>C18</f>
        <v>2026년 기초</v>
      </c>
      <c r="D53" s="114" t="s">
        <v>306</v>
      </c>
      <c r="E53" s="74" t="s">
        <v>307</v>
      </c>
      <c r="F53" s="74" t="s">
        <v>308</v>
      </c>
      <c r="G53" s="74" t="s">
        <v>309</v>
      </c>
      <c r="H53" s="74" t="s">
        <v>310</v>
      </c>
      <c r="I53" s="74" t="s">
        <v>311</v>
      </c>
      <c r="J53" s="74" t="s">
        <v>312</v>
      </c>
      <c r="K53" s="74" t="s">
        <v>313</v>
      </c>
      <c r="L53" s="74" t="s">
        <v>314</v>
      </c>
      <c r="M53" s="74" t="s">
        <v>303</v>
      </c>
      <c r="N53" s="74" t="s">
        <v>304</v>
      </c>
      <c r="O53" s="75" t="s">
        <v>305</v>
      </c>
    </row>
    <row r="54" spans="2:15" x14ac:dyDescent="0.3">
      <c r="B54" s="109" t="s">
        <v>206</v>
      </c>
      <c r="C54" s="133"/>
      <c r="D54" s="115" t="b">
        <f>SUMIF(결산전표입력후BSP!$C:$C,요약!$B54,결산전표입력후BSP!E:E)=-ROUND(D19,0)</f>
        <v>1</v>
      </c>
      <c r="E54" s="115" t="b">
        <f>SUMIF(결산전표입력후BSP!$C:$C,요약!$B54,결산전표입력후BSP!F:F)=-ROUND(E19,0)</f>
        <v>1</v>
      </c>
      <c r="F54" s="115" t="b">
        <f>SUMIF(결산전표입력후BSP!$C:$C,요약!$B54,결산전표입력후BSP!G:G)=-ROUND(F19,0)</f>
        <v>1</v>
      </c>
      <c r="G54" s="115" t="b">
        <f>SUMIF(결산전표입력후BSP!$C:$C,요약!$B54,결산전표입력후BSP!H:H)=-ROUND(G19,0)</f>
        <v>0</v>
      </c>
      <c r="H54" s="115" t="b">
        <f>SUMIF(결산전표입력후BSP!$C:$C,요약!$B54,결산전표입력후BSP!I:I)=-ROUND(H19,0)</f>
        <v>1</v>
      </c>
      <c r="I54" s="115" t="b">
        <f>SUMIF(결산전표입력후BSP!$C:$C,요약!$B54,결산전표입력후BSP!J:J)=-ROUND(I19,0)</f>
        <v>1</v>
      </c>
      <c r="J54" s="115" t="b">
        <f>SUMIF(결산전표입력후BSP!$C:$C,요약!$B54,결산전표입력후BSP!K:K)=-ROUND(J19,0)</f>
        <v>1</v>
      </c>
      <c r="K54" s="115" t="b">
        <f>SUMIF(결산전표입력후BSP!$C:$C,요약!$B54,결산전표입력후BSP!L:L)=-ROUND(K19,0)</f>
        <v>1</v>
      </c>
      <c r="L54" s="115" t="b">
        <f>SUMIF(결산전표입력후BSP!$C:$C,요약!$B54,결산전표입력후BSP!M:M)=-ROUND(L19,0)</f>
        <v>1</v>
      </c>
      <c r="M54" s="115" t="b">
        <f>SUMIF(결산전표입력후BSP!$C:$C,요약!$B54,결산전표입력후BSP!N:N)=-ROUND(M19,0)</f>
        <v>1</v>
      </c>
      <c r="N54" s="115" t="b">
        <f>SUMIF(결산전표입력후BSP!$C:$C,요약!$B54,결산전표입력후BSP!O:O)=-ROUND(N19,0)</f>
        <v>1</v>
      </c>
      <c r="O54" s="284" t="b">
        <f>SUMIF(결산전표입력후BSP!$C:$C,요약!$B54,결산전표입력후BSP!P:P)=ROUND(O19,0)</f>
        <v>1</v>
      </c>
    </row>
    <row r="55" spans="2:15" x14ac:dyDescent="0.3">
      <c r="B55" s="109" t="s">
        <v>207</v>
      </c>
      <c r="C55" s="133"/>
      <c r="D55" s="115" t="b">
        <f>SUMIF(결산전표입력후BSP!$C:$C,요약!$B55,결산전표입력후BSP!E:E)=-ROUND(D20,0)</f>
        <v>1</v>
      </c>
      <c r="E55" s="115" t="b">
        <f>SUMIF(결산전표입력후BSP!$C:$C,요약!$B55,결산전표입력후BSP!F:F)=-ROUND(E20,0)</f>
        <v>1</v>
      </c>
      <c r="F55" s="115" t="b">
        <f>SUMIF(결산전표입력후BSP!$C:$C,요약!$B55,결산전표입력후BSP!G:G)=-ROUND(F20,0)</f>
        <v>1</v>
      </c>
      <c r="G55" s="115" t="b">
        <f>SUMIF(결산전표입력후BSP!$C:$C,요약!$B55,결산전표입력후BSP!H:H)=-ROUND(G20,0)</f>
        <v>0</v>
      </c>
      <c r="H55" s="115" t="b">
        <f>SUMIF(결산전표입력후BSP!$C:$C,요약!$B55,결산전표입력후BSP!I:I)=-ROUND(H20,0)</f>
        <v>1</v>
      </c>
      <c r="I55" s="115" t="b">
        <f>SUMIF(결산전표입력후BSP!$C:$C,요약!$B55,결산전표입력후BSP!J:J)=-ROUND(I20,0)</f>
        <v>1</v>
      </c>
      <c r="J55" s="115" t="b">
        <f>SUMIF(결산전표입력후BSP!$C:$C,요약!$B55,결산전표입력후BSP!K:K)=-ROUND(J20,0)</f>
        <v>1</v>
      </c>
      <c r="K55" s="115" t="b">
        <f>SUMIF(결산전표입력후BSP!$C:$C,요약!$B55,결산전표입력후BSP!L:L)=-ROUND(K20,0)</f>
        <v>1</v>
      </c>
      <c r="L55" s="115" t="b">
        <f>SUMIF(결산전표입력후BSP!$C:$C,요약!$B55,결산전표입력후BSP!M:M)=-ROUND(L20,0)</f>
        <v>1</v>
      </c>
      <c r="M55" s="115" t="b">
        <f>SUMIF(결산전표입력후BSP!$C:$C,요약!$B55,결산전표입력후BSP!N:N)=-ROUND(M20,0)</f>
        <v>1</v>
      </c>
      <c r="N55" s="115" t="b">
        <f>SUMIF(결산전표입력후BSP!$C:$C,요약!$B55,결산전표입력후BSP!O:O)=-ROUND(N20,0)</f>
        <v>1</v>
      </c>
      <c r="O55" s="284" t="b">
        <f>SUMIF(결산전표입력후BSP!$C:$C,요약!$B55,결산전표입력후BSP!P:P)=ROUND(O20,0)</f>
        <v>1</v>
      </c>
    </row>
    <row r="56" spans="2:15" ht="17.25" thickBot="1" x14ac:dyDescent="0.35">
      <c r="B56" s="110" t="s">
        <v>208</v>
      </c>
      <c r="C56" s="133"/>
      <c r="D56" s="116" t="b">
        <f>SUMIF(결산전표입력후BSP!$C:$C,요약!$B56,결산전표입력후BSP!E:E)=-ROUND(D21,0)</f>
        <v>1</v>
      </c>
      <c r="E56" s="116" t="b">
        <f>SUMIF(결산전표입력후BSP!$C:$C,요약!$B56,결산전표입력후BSP!F:F)=-ROUND(E21,0)</f>
        <v>1</v>
      </c>
      <c r="F56" s="116" t="b">
        <f>SUMIF(결산전표입력후BSP!$C:$C,요약!$B56,결산전표입력후BSP!G:G)=-ROUND(F21,0)</f>
        <v>1</v>
      </c>
      <c r="G56" s="116" t="b">
        <f>SUMIF(결산전표입력후BSP!$C:$C,요약!$B56,결산전표입력후BSP!H:H)=-ROUND(G21,0)</f>
        <v>0</v>
      </c>
      <c r="H56" s="116" t="b">
        <f>SUMIF(결산전표입력후BSP!$C:$C,요약!$B56,결산전표입력후BSP!I:I)=-ROUND(H21,0)</f>
        <v>1</v>
      </c>
      <c r="I56" s="116" t="b">
        <f>SUMIF(결산전표입력후BSP!$C:$C,요약!$B56,결산전표입력후BSP!J:J)=-ROUND(I21,0)</f>
        <v>1</v>
      </c>
      <c r="J56" s="116" t="b">
        <f>SUMIF(결산전표입력후BSP!$C:$C,요약!$B56,결산전표입력후BSP!K:K)=-ROUND(J21,0)</f>
        <v>1</v>
      </c>
      <c r="K56" s="116" t="b">
        <f>SUMIF(결산전표입력후BSP!$C:$C,요약!$B56,결산전표입력후BSP!L:L)=-ROUND(K21,0)</f>
        <v>1</v>
      </c>
      <c r="L56" s="116" t="b">
        <f>SUMIF(결산전표입력후BSP!$C:$C,요약!$B56,결산전표입력후BSP!M:M)=-ROUND(L21,0)</f>
        <v>1</v>
      </c>
      <c r="M56" s="116" t="b">
        <f>SUMIF(결산전표입력후BSP!$C:$C,요약!$B56,결산전표입력후BSP!N:N)=-ROUND(M21,0)</f>
        <v>1</v>
      </c>
      <c r="N56" s="116" t="b">
        <f>SUMIF(결산전표입력후BSP!$C:$C,요약!$B56,결산전표입력후BSP!O:O)=-ROUND(N21,0)</f>
        <v>1</v>
      </c>
      <c r="O56" s="287" t="b">
        <f>SUMIF(결산전표입력후BSP!$C:$C,요약!$B56,결산전표입력후BSP!P:P)=ROUND(O21,0)</f>
        <v>1</v>
      </c>
    </row>
    <row r="57" spans="2:15" ht="17.25" thickBot="1" x14ac:dyDescent="0.35">
      <c r="B57" s="111" t="s">
        <v>209</v>
      </c>
      <c r="C57" s="134"/>
      <c r="D57" s="117" t="b">
        <f>-SUM(결산전표입력후BSP!E4+결산전표입력후BSP!E6+결산전표입력후BSP!E8)=요약!D22</f>
        <v>1</v>
      </c>
      <c r="E57" s="117" t="b">
        <f>-SUM(결산전표입력후BSP!F4+결산전표입력후BSP!F6+결산전표입력후BSP!F8)=요약!E22</f>
        <v>1</v>
      </c>
      <c r="F57" s="117" t="b">
        <f>-SUM(결산전표입력후BSP!G4+결산전표입력후BSP!G6+결산전표입력후BSP!G8)=요약!F22</f>
        <v>1</v>
      </c>
      <c r="G57" s="117" t="b">
        <f>-SUM(결산전표입력후BSP!H4+결산전표입력후BSP!H6+결산전표입력후BSP!H8)=요약!G22</f>
        <v>0</v>
      </c>
      <c r="H57" s="117" t="b">
        <f>-SUM(결산전표입력후BSP!I4+결산전표입력후BSP!I6+결산전표입력후BSP!I8)=요약!H22</f>
        <v>1</v>
      </c>
      <c r="I57" s="117" t="b">
        <f>-SUM(결산전표입력후BSP!J4+결산전표입력후BSP!J6+결산전표입력후BSP!J8)=요약!I22</f>
        <v>1</v>
      </c>
      <c r="J57" s="117" t="b">
        <f>-SUM(결산전표입력후BSP!K4+결산전표입력후BSP!K6+결산전표입력후BSP!K8)=요약!J22</f>
        <v>1</v>
      </c>
      <c r="K57" s="117" t="b">
        <f>-SUM(결산전표입력후BSP!L4+결산전표입력후BSP!L6+결산전표입력후BSP!L8)=요약!K22</f>
        <v>1</v>
      </c>
      <c r="L57" s="117" t="b">
        <f>-SUM(결산전표입력후BSP!M4+결산전표입력후BSP!M6+결산전표입력후BSP!M8)=요약!L22</f>
        <v>1</v>
      </c>
      <c r="M57" s="117" t="b">
        <f>-SUM(결산전표입력후BSP!N4+결산전표입력후BSP!N6+결산전표입력후BSP!N8)=요약!M22</f>
        <v>1</v>
      </c>
      <c r="N57" s="117" t="b">
        <f>-SUM(결산전표입력후BSP!O4+결산전표입력후BSP!O6+결산전표입력후BSP!O8)=요약!N22</f>
        <v>1</v>
      </c>
      <c r="O57" s="117" t="b">
        <f>-SUM(결산전표입력후BSP!P4+결산전표입력후BSP!P6+결산전표입력후BSP!P8)=요약!O22</f>
        <v>1</v>
      </c>
    </row>
    <row r="58" spans="2:15" x14ac:dyDescent="0.3">
      <c r="C58" s="123"/>
    </row>
    <row r="59" spans="2:15" ht="21" thickBot="1" x14ac:dyDescent="0.35">
      <c r="B59" s="72" t="s">
        <v>210</v>
      </c>
      <c r="C59" s="124"/>
    </row>
    <row r="60" spans="2:15" x14ac:dyDescent="0.3">
      <c r="B60" s="108" t="s">
        <v>0</v>
      </c>
      <c r="C60" s="125" t="str">
        <f>C25</f>
        <v>2026년 합계</v>
      </c>
      <c r="D60" s="114" t="s">
        <v>306</v>
      </c>
      <c r="E60" s="74" t="s">
        <v>307</v>
      </c>
      <c r="F60" s="74" t="s">
        <v>308</v>
      </c>
      <c r="G60" s="74" t="s">
        <v>309</v>
      </c>
      <c r="H60" s="74" t="s">
        <v>310</v>
      </c>
      <c r="I60" s="74" t="s">
        <v>311</v>
      </c>
      <c r="J60" s="74" t="s">
        <v>312</v>
      </c>
      <c r="K60" s="74" t="s">
        <v>313</v>
      </c>
      <c r="L60" s="74" t="s">
        <v>314</v>
      </c>
      <c r="M60" s="74" t="s">
        <v>303</v>
      </c>
      <c r="N60" s="74" t="s">
        <v>304</v>
      </c>
      <c r="O60" s="75" t="s">
        <v>305</v>
      </c>
    </row>
    <row r="61" spans="2:15" x14ac:dyDescent="0.3">
      <c r="B61" s="109" t="s">
        <v>228</v>
      </c>
      <c r="C61" s="132" t="b">
        <f>SUMIF(결산전표입력후BSP!$C:$C,요약!B61,결산전표입력후BSP!$D:$D)=C26</f>
        <v>1</v>
      </c>
      <c r="D61" s="115" t="b">
        <f>SUMIF(결산전표입력후BSP!$C:$C,요약!$B61,결산전표입력후BSP!E:E)=ROUND(D26,0)</f>
        <v>1</v>
      </c>
      <c r="E61" s="115" t="b">
        <f>SUMIF(결산전표입력후BSP!$C:$C,요약!$B61,결산전표입력후BSP!F:F)=ROUND(E26,0)</f>
        <v>1</v>
      </c>
      <c r="F61" s="115" t="b">
        <f>SUMIF(결산전표입력후BSP!$C:$C,요약!$B61,결산전표입력후BSP!G:G)=ROUND(F26,0)</f>
        <v>1</v>
      </c>
      <c r="G61" s="115" t="b">
        <f>SUMIF(결산전표입력후BSP!$C:$C,요약!$B61,결산전표입력후BSP!H:H)=ROUND(G26,0)</f>
        <v>1</v>
      </c>
      <c r="H61" s="115" t="b">
        <f>SUMIF(결산전표입력후BSP!$C:$C,요약!$B61,결산전표입력후BSP!I:I)=ROUND(H26,0)</f>
        <v>1</v>
      </c>
      <c r="I61" s="115" t="b">
        <f>SUMIF(결산전표입력후BSP!$C:$C,요약!$B61,결산전표입력후BSP!J:J)=ROUND(I26,0)</f>
        <v>1</v>
      </c>
      <c r="J61" s="115" t="b">
        <f>SUMIF(결산전표입력후BSP!$C:$C,요약!$B61,결산전표입력후BSP!K:K)=ROUND(J26,0)</f>
        <v>1</v>
      </c>
      <c r="K61" s="115" t="b">
        <f>SUMIF(결산전표입력후BSP!$C:$C,요약!$B61,결산전표입력후BSP!L:L)=ROUND(K26,0)</f>
        <v>1</v>
      </c>
      <c r="L61" s="115" t="b">
        <f>SUMIF(결산전표입력후BSP!$C:$C,요약!$B61,결산전표입력후BSP!M:M)=ROUND(L26,0)</f>
        <v>1</v>
      </c>
      <c r="M61" s="115" t="b">
        <f>SUMIF(결산전표입력후BSP!$C:$C,요약!$B61,결산전표입력후BSP!N:N)=ROUND(M26,0)</f>
        <v>1</v>
      </c>
      <c r="N61" s="115" t="b">
        <f>SUMIF(결산전표입력후BSP!$C:$C,요약!$B61,결산전표입력후BSP!O:O)=ROUND(N26,0)</f>
        <v>1</v>
      </c>
      <c r="O61" s="284" t="b">
        <f>SUMIF(결산전표입력후BSP!$C:$C,요약!$B61,결산전표입력후BSP!P:P)=ROUND(O26,0)</f>
        <v>1</v>
      </c>
    </row>
    <row r="62" spans="2:15" x14ac:dyDescent="0.3">
      <c r="B62" s="109" t="s">
        <v>230</v>
      </c>
      <c r="C62" s="132" t="b">
        <f>결산전표입력후BSP!D25=요약!C27</f>
        <v>0</v>
      </c>
      <c r="D62" s="115" t="b">
        <f>SUMIF(결산전표입력후BSP!$C:$C,요약!$B62,결산전표입력후BSP!E:E)=ROUND(D27,0)</f>
        <v>1</v>
      </c>
      <c r="E62" s="115" t="b">
        <f>SUMIF(결산전표입력후BSP!$C:$C,요약!$B62,결산전표입력후BSP!F:F)=ROUND(E27,0)</f>
        <v>1</v>
      </c>
      <c r="F62" s="115" t="b">
        <f>SUMIF(결산전표입력후BSP!$C:$C,요약!$B62,결산전표입력후BSP!G:G)=ROUND(F27,0)</f>
        <v>1</v>
      </c>
      <c r="G62" s="115" t="b">
        <f>SUMIF(결산전표입력후BSP!$C:$C,요약!$B62,결산전표입력후BSP!H:H)=ROUND(G27,0)</f>
        <v>0</v>
      </c>
      <c r="H62" s="115" t="b">
        <f>SUMIF(결산전표입력후BSP!$C:$C,요약!$B62,결산전표입력후BSP!I:I)=ROUND(H27,0)</f>
        <v>1</v>
      </c>
      <c r="I62" s="115" t="b">
        <f>SUMIF(결산전표입력후BSP!$C:$C,요약!$B62,결산전표입력후BSP!J:J)=ROUND(I27,0)</f>
        <v>1</v>
      </c>
      <c r="J62" s="115" t="b">
        <f>SUMIF(결산전표입력후BSP!$C:$C,요약!$B62,결산전표입력후BSP!K:K)=ROUND(J27,0)</f>
        <v>1</v>
      </c>
      <c r="K62" s="115" t="b">
        <f>SUMIF(결산전표입력후BSP!$C:$C,요약!$B62,결산전표입력후BSP!L:L)=ROUND(K27,0)</f>
        <v>1</v>
      </c>
      <c r="L62" s="115" t="b">
        <f>SUMIF(결산전표입력후BSP!$C:$C,요약!$B62,결산전표입력후BSP!M:M)=ROUND(L27,0)</f>
        <v>1</v>
      </c>
      <c r="M62" s="115" t="b">
        <f>SUMIF(결산전표입력후BSP!$C:$C,요약!$B62,결산전표입력후BSP!N:N)=ROUND(M27,0)</f>
        <v>1</v>
      </c>
      <c r="N62" s="115" t="b">
        <f>SUMIF(결산전표입력후BSP!$C:$C,요약!$B62,결산전표입력후BSP!O:O)=ROUND(N27,0)</f>
        <v>1</v>
      </c>
      <c r="O62" s="284" t="b">
        <f>SUMIF(결산전표입력후BSP!$C:$C,요약!$B62,결산전표입력후BSP!P:P)=ROUND(O27,0)</f>
        <v>1</v>
      </c>
    </row>
    <row r="63" spans="2:15" ht="17.25" thickBot="1" x14ac:dyDescent="0.35">
      <c r="B63" s="110" t="s">
        <v>232</v>
      </c>
      <c r="C63" s="132" t="b">
        <f>결산전표입력후BSP!D26=요약!C28</f>
        <v>0</v>
      </c>
      <c r="D63" s="115" t="b">
        <f>SUMIF(결산전표입력후BSP!$C:$C,요약!$B63,결산전표입력후BSP!E:E)=ROUND(D28,0)</f>
        <v>1</v>
      </c>
      <c r="E63" s="115" t="b">
        <f>SUMIF(결산전표입력후BSP!$C:$C,요약!$B63,결산전표입력후BSP!F:F)=ROUND(E28,0)</f>
        <v>1</v>
      </c>
      <c r="F63" s="115" t="b">
        <f>SUMIF(결산전표입력후BSP!$C:$C,요약!$B63,결산전표입력후BSP!G:G)=ROUND(F28,0)</f>
        <v>1</v>
      </c>
      <c r="G63" s="115" t="b">
        <f>SUMIF(결산전표입력후BSP!$C:$C,요약!$B63,결산전표입력후BSP!H:H)=ROUND(G28,0)</f>
        <v>0</v>
      </c>
      <c r="H63" s="115" t="b">
        <f>SUMIF(결산전표입력후BSP!$C:$C,요약!$B63,결산전표입력후BSP!I:I)=ROUND(H28,0)</f>
        <v>1</v>
      </c>
      <c r="I63" s="115" t="b">
        <f>SUMIF(결산전표입력후BSP!$C:$C,요약!$B63,결산전표입력후BSP!J:J)=ROUND(I28,0)</f>
        <v>1</v>
      </c>
      <c r="J63" s="115" t="b">
        <f>SUMIF(결산전표입력후BSP!$C:$C,요약!$B63,결산전표입력후BSP!K:K)=ROUND(J28,0)</f>
        <v>1</v>
      </c>
      <c r="K63" s="115" t="b">
        <f>SUMIF(결산전표입력후BSP!$C:$C,요약!$B63,결산전표입력후BSP!L:L)=ROUND(K28,0)</f>
        <v>1</v>
      </c>
      <c r="L63" s="115" t="b">
        <f>SUMIF(결산전표입력후BSP!$C:$C,요약!$B63,결산전표입력후BSP!M:M)=ROUND(L28,0)</f>
        <v>1</v>
      </c>
      <c r="M63" s="115" t="b">
        <f>SUMIF(결산전표입력후BSP!$C:$C,요약!$B63,결산전표입력후BSP!N:N)=ROUND(M28,0)</f>
        <v>1</v>
      </c>
      <c r="N63" s="115" t="b">
        <f>SUMIF(결산전표입력후BSP!$C:$C,요약!$B63,결산전표입력후BSP!O:O)=ROUND(N28,0)</f>
        <v>1</v>
      </c>
      <c r="O63" s="284" t="b">
        <f>SUMIF(결산전표입력후BSP!$C:$C,요약!$B63,결산전표입력후BSP!P:P)=ROUND(O28,0)</f>
        <v>1</v>
      </c>
    </row>
    <row r="64" spans="2:15" ht="17.25" thickBot="1" x14ac:dyDescent="0.35">
      <c r="B64" s="111" t="s">
        <v>211</v>
      </c>
      <c r="C64" s="120" t="b">
        <f>요약!C29=결산전표입력후BSP!D23</f>
        <v>0</v>
      </c>
      <c r="D64" s="117" t="b">
        <f>요약!D29=결산전표입력후BSP!E23</f>
        <v>1</v>
      </c>
      <c r="E64" s="78" t="b">
        <f>요약!E29=결산전표입력후BSP!F23</f>
        <v>1</v>
      </c>
      <c r="F64" s="78" t="b">
        <f>요약!F29=결산전표입력후BSP!G23</f>
        <v>1</v>
      </c>
      <c r="G64" s="78" t="b">
        <f>요약!G29=결산전표입력후BSP!H23</f>
        <v>0</v>
      </c>
      <c r="H64" s="78" t="b">
        <f>요약!H29=결산전표입력후BSP!I23</f>
        <v>1</v>
      </c>
      <c r="I64" s="78" t="b">
        <f>요약!I29=결산전표입력후BSP!J23</f>
        <v>1</v>
      </c>
      <c r="J64" s="78" t="b">
        <f>요약!J29=결산전표입력후BSP!K23</f>
        <v>1</v>
      </c>
      <c r="K64" s="78" t="b">
        <f>요약!K29=결산전표입력후BSP!L23</f>
        <v>1</v>
      </c>
      <c r="L64" s="78" t="b">
        <f>요약!L29=결산전표입력후BSP!M23</f>
        <v>1</v>
      </c>
      <c r="M64" s="78" t="b">
        <f>요약!M29=결산전표입력후BSP!N23</f>
        <v>1</v>
      </c>
      <c r="N64" s="78" t="b">
        <f>요약!N29=결산전표입력후BSP!O23</f>
        <v>1</v>
      </c>
      <c r="O64" s="288" t="b">
        <f>요약!O29=결산전표입력후BSP!P23</f>
        <v>1</v>
      </c>
    </row>
    <row r="65" spans="2:15" ht="17.25" thickBot="1" x14ac:dyDescent="0.35">
      <c r="C65" s="123"/>
    </row>
    <row r="66" spans="2:15" x14ac:dyDescent="0.3">
      <c r="B66" s="112" t="s">
        <v>233</v>
      </c>
      <c r="C66" s="122" t="b">
        <f>SUMIF(결산전표입력후BSP!$C:$C,요약!$B66,결산전표입력후BSP!$D:$D)=ROUND($C31,0)</f>
        <v>1</v>
      </c>
      <c r="D66" s="77" t="b">
        <f>SUMIF(결산전표입력후BSP!$C:$C,요약!$B66,결산전표입력후BSP!E:E)=ROUND(D31,0)</f>
        <v>1</v>
      </c>
      <c r="E66" s="77" t="b">
        <f>SUMIF(결산전표입력후BSP!$C:$C,요약!$B66,결산전표입력후BSP!F:F)=ROUND(E31,0)</f>
        <v>1</v>
      </c>
      <c r="F66" s="77" t="b">
        <f>SUMIF(결산전표입력후BSP!$C:$C,요약!$B66,결산전표입력후BSP!G:G)=ROUND(F31,0)</f>
        <v>1</v>
      </c>
      <c r="G66" s="77" t="b">
        <f>SUMIF(결산전표입력후BSP!$C:$C,요약!$B66,결산전표입력후BSP!H:H)=ROUND(G31,0)</f>
        <v>1</v>
      </c>
      <c r="H66" s="77" t="b">
        <f>SUMIF(결산전표입력후BSP!$C:$C,요약!$B66,결산전표입력후BSP!I:I)=ROUND(H31,0)</f>
        <v>1</v>
      </c>
      <c r="I66" s="77" t="b">
        <f>SUMIF(결산전표입력후BSP!$C:$C,요약!$B66,결산전표입력후BSP!J:J)=ROUND(I31,0)</f>
        <v>1</v>
      </c>
      <c r="J66" s="77" t="b">
        <f>SUMIF(결산전표입력후BSP!$C:$C,요약!$B66,결산전표입력후BSP!K:K)=ROUND(J31,0)</f>
        <v>1</v>
      </c>
      <c r="K66" s="77" t="b">
        <f>SUMIF(결산전표입력후BSP!$C:$C,요약!$B66,결산전표입력후BSP!L:L)=ROUND(K31,0)</f>
        <v>1</v>
      </c>
      <c r="L66" s="77" t="b">
        <f>SUMIF(결산전표입력후BSP!$C:$C,요약!$B66,결산전표입력후BSP!M:M)=ROUND(L31,0)</f>
        <v>1</v>
      </c>
      <c r="M66" s="77" t="b">
        <f>SUMIF(결산전표입력후BSP!$C:$C,요약!$B66,결산전표입력후BSP!N:N)=ROUND(M31,0)</f>
        <v>1</v>
      </c>
      <c r="N66" s="77" t="b">
        <f>SUMIF(결산전표입력후BSP!$C:$C,요약!$B66,결산전표입력후BSP!O:O)=ROUND(N31,0)</f>
        <v>1</v>
      </c>
      <c r="O66" s="289" t="b">
        <f>SUMIF(결산전표입력후BSP!$C:$C,요약!$B66,결산전표입력후BSP!P:P)=ROUND(O31,0)</f>
        <v>1</v>
      </c>
    </row>
    <row r="67" spans="2:15" x14ac:dyDescent="0.3">
      <c r="B67" s="109" t="s">
        <v>234</v>
      </c>
      <c r="C67" s="119" t="b">
        <f>SUMIF(결산전표입력후BSP!$C:$C,요약!$B67,결산전표입력후BSP!$D:$D)=ROUND($C32,0)</f>
        <v>0</v>
      </c>
      <c r="D67" s="73" t="b">
        <f>SUMIF(결산전표입력후BSP!$C:$C,요약!$B67,결산전표입력후BSP!E:E)=ROUND(D32,0)</f>
        <v>1</v>
      </c>
      <c r="E67" s="73" t="b">
        <f>SUMIF(결산전표입력후BSP!$C:$C,요약!$B67,결산전표입력후BSP!F:F)=ROUND(E32,0)</f>
        <v>1</v>
      </c>
      <c r="F67" s="73" t="b">
        <f>SUMIF(결산전표입력후BSP!$C:$C,요약!$B67,결산전표입력후BSP!G:G)=ROUND(F32,0)</f>
        <v>1</v>
      </c>
      <c r="G67" s="73" t="b">
        <f>SUMIF(결산전표입력후BSP!$C:$C,요약!$B67,결산전표입력후BSP!H:H)=ROUND(G32,0)</f>
        <v>0</v>
      </c>
      <c r="H67" s="73" t="b">
        <f>SUMIF(결산전표입력후BSP!$C:$C,요약!$B67,결산전표입력후BSP!I:I)=ROUND(H32,0)</f>
        <v>1</v>
      </c>
      <c r="I67" s="73" t="b">
        <f>SUMIF(결산전표입력후BSP!$C:$C,요약!$B67,결산전표입력후BSP!J:J)=ROUND(I32,0)</f>
        <v>1</v>
      </c>
      <c r="J67" s="73" t="b">
        <f>SUMIF(결산전표입력후BSP!$C:$C,요약!$B67,결산전표입력후BSP!K:K)=ROUND(J32,0)</f>
        <v>1</v>
      </c>
      <c r="K67" s="73" t="b">
        <f>SUMIF(결산전표입력후BSP!$C:$C,요약!$B67,결산전표입력후BSP!L:L)=ROUND(K32,0)</f>
        <v>1</v>
      </c>
      <c r="L67" s="73" t="b">
        <f>SUMIF(결산전표입력후BSP!$C:$C,요약!$B67,결산전표입력후BSP!M:M)=ROUND(L32,0)</f>
        <v>1</v>
      </c>
      <c r="M67" s="73" t="b">
        <f>SUMIF(결산전표입력후BSP!$C:$C,요약!$B67,결산전표입력후BSP!N:N)=ROUND(M32,0)</f>
        <v>1</v>
      </c>
      <c r="N67" s="73" t="b">
        <f>SUMIF(결산전표입력후BSP!$C:$C,요약!$B67,결산전표입력후BSP!O:O)=ROUND(N32,0)</f>
        <v>1</v>
      </c>
      <c r="O67" s="290" t="b">
        <f>SUMIF(결산전표입력후BSP!$C:$C,요약!$B67,결산전표입력후BSP!P:P)=ROUND(O32,0)</f>
        <v>1</v>
      </c>
    </row>
    <row r="68" spans="2:15" ht="17.25" thickBot="1" x14ac:dyDescent="0.35">
      <c r="B68" s="113" t="s">
        <v>235</v>
      </c>
      <c r="C68" s="119" t="b">
        <f>SUMIF(결산전표입력후BSP!$C:$C,요약!$B68,결산전표입력후BSP!$D:$D)=ROUND($C33,0)</f>
        <v>1</v>
      </c>
      <c r="D68" s="76" t="b">
        <f>SUMIF(결산전표입력후BSP!$C:$C,요약!$B68,결산전표입력후BSP!E:E)=ROUND(D33,0)</f>
        <v>1</v>
      </c>
      <c r="E68" s="76" t="b">
        <f>SUMIF(결산전표입력후BSP!$C:$C,요약!$B68,결산전표입력후BSP!F:F)=ROUND(E33,0)</f>
        <v>1</v>
      </c>
      <c r="F68" s="76" t="b">
        <f>SUMIF(결산전표입력후BSP!$C:$C,요약!$B68,결산전표입력후BSP!G:G)=ROUND(F33,0)</f>
        <v>1</v>
      </c>
      <c r="G68" s="76" t="b">
        <f>SUMIF(결산전표입력후BSP!$C:$C,요약!$B68,결산전표입력후BSP!H:H)=ROUND(G33,0)</f>
        <v>1</v>
      </c>
      <c r="H68" s="76" t="b">
        <f>SUMIF(결산전표입력후BSP!$C:$C,요약!$B68,결산전표입력후BSP!I:I)=ROUND(H33,0)</f>
        <v>1</v>
      </c>
      <c r="I68" s="76" t="b">
        <f>SUMIF(결산전표입력후BSP!$C:$C,요약!$B68,결산전표입력후BSP!J:J)=ROUND(I33,0)</f>
        <v>1</v>
      </c>
      <c r="J68" s="76" t="b">
        <f>SUMIF(결산전표입력후BSP!$C:$C,요약!$B68,결산전표입력후BSP!K:K)=ROUND(J33,0)</f>
        <v>1</v>
      </c>
      <c r="K68" s="76" t="b">
        <f>SUMIF(결산전표입력후BSP!$C:$C,요약!$B68,결산전표입력후BSP!L:L)=ROUND(K33,0)</f>
        <v>1</v>
      </c>
      <c r="L68" s="76" t="b">
        <f>SUMIF(결산전표입력후BSP!$C:$C,요약!$B68,결산전표입력후BSP!M:M)=ROUND(L33,0)</f>
        <v>1</v>
      </c>
      <c r="M68" s="76" t="b">
        <f>SUMIF(결산전표입력후BSP!$C:$C,요약!$B68,결산전표입력후BSP!N:N)=ROUND(M33,0)</f>
        <v>1</v>
      </c>
      <c r="N68" s="76" t="b">
        <f>SUMIF(결산전표입력후BSP!$C:$C,요약!$B68,결산전표입력후BSP!O:O)=ROUND(N33,0)</f>
        <v>1</v>
      </c>
      <c r="O68" s="291" t="b">
        <f>SUMIF(결산전표입력후BSP!$C:$C,요약!$B68,결산전표입력후BSP!P:P)=ROUND(O33,0)</f>
        <v>1</v>
      </c>
    </row>
    <row r="69" spans="2:15" ht="17.25" thickBot="1" x14ac:dyDescent="0.35">
      <c r="B69" s="111" t="s">
        <v>212</v>
      </c>
      <c r="C69" s="120" t="b">
        <f>C34=결산전표입력후BSP!D27</f>
        <v>0</v>
      </c>
      <c r="D69" s="117" t="b">
        <f>D34=결산전표입력후BSP!E27</f>
        <v>1</v>
      </c>
      <c r="E69" s="78" t="b">
        <f>E34=결산전표입력후BSP!F27</f>
        <v>1</v>
      </c>
      <c r="F69" s="78" t="b">
        <f>F34=결산전표입력후BSP!G27</f>
        <v>1</v>
      </c>
      <c r="G69" s="78" t="b">
        <f>G34=결산전표입력후BSP!H27</f>
        <v>0</v>
      </c>
      <c r="H69" s="78" t="b">
        <f>H34=결산전표입력후BSP!I27</f>
        <v>1</v>
      </c>
      <c r="I69" s="78" t="b">
        <f>I34=결산전표입력후BSP!J27</f>
        <v>1</v>
      </c>
      <c r="J69" s="78" t="b">
        <f>J34=결산전표입력후BSP!K27</f>
        <v>1</v>
      </c>
      <c r="K69" s="78" t="b">
        <f>K34=결산전표입력후BSP!L27</f>
        <v>1</v>
      </c>
      <c r="L69" s="78" t="b">
        <f>L34=결산전표입력후BSP!M27</f>
        <v>1</v>
      </c>
      <c r="M69" s="78" t="b">
        <f>M34=결산전표입력후BSP!N27</f>
        <v>1</v>
      </c>
      <c r="N69" s="78" t="b">
        <f>N34=결산전표입력후BSP!O27</f>
        <v>1</v>
      </c>
      <c r="O69" s="288" t="b">
        <f>O34=결산전표입력후BSP!P27</f>
        <v>1</v>
      </c>
    </row>
  </sheetData>
  <phoneticPr fontId="2" type="noConversion"/>
  <pageMargins left="0.7" right="0.7" top="0.75" bottom="0.75" header="0.3" footer="0.3"/>
  <pageSetup paperSize="9" scale="55" orientation="landscape" r:id="rId1"/>
  <ignoredErrors>
    <ignoredError sqref="C50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XEJ83"/>
  <sheetViews>
    <sheetView showGridLines="0" zoomScale="90" zoomScaleNormal="90" workbookViewId="0">
      <selection activeCell="AE45" sqref="AE45"/>
    </sheetView>
  </sheetViews>
  <sheetFormatPr defaultRowHeight="16.5" x14ac:dyDescent="0.3"/>
  <cols>
    <col min="1" max="1" width="3.75" style="384" customWidth="1"/>
    <col min="2" max="2" width="19.25" style="384" bestFit="1" customWidth="1"/>
    <col min="3" max="26" width="14.625" style="384" hidden="1" customWidth="1"/>
    <col min="27" max="39" width="14.625" style="384" customWidth="1"/>
  </cols>
  <sheetData>
    <row r="1" spans="1:16364" s="71" customFormat="1" x14ac:dyDescent="0.3">
      <c r="C1" s="80"/>
      <c r="D1" s="80"/>
    </row>
    <row r="2" spans="1:16364" s="153" customFormat="1" ht="26.25" x14ac:dyDescent="0.3">
      <c r="A2" s="384"/>
      <c r="B2" s="81" t="s">
        <v>275</v>
      </c>
      <c r="C2" s="384"/>
      <c r="D2" s="384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384"/>
      <c r="X2" s="384"/>
      <c r="Y2" s="384"/>
      <c r="Z2" s="384"/>
      <c r="AA2" s="384"/>
      <c r="AB2" s="384"/>
      <c r="AC2" s="384"/>
      <c r="AD2" s="384"/>
      <c r="AE2" s="384"/>
      <c r="AF2" s="384"/>
      <c r="AG2" s="384"/>
      <c r="AH2" s="384"/>
      <c r="AI2" s="384"/>
      <c r="AJ2" s="384"/>
      <c r="AK2" s="384"/>
      <c r="AL2" s="384"/>
      <c r="AM2" s="384"/>
    </row>
    <row r="3" spans="1:16364" s="153" customFormat="1" ht="14.25" customHeight="1" x14ac:dyDescent="0.3">
      <c r="A3" s="384"/>
      <c r="B3" s="71"/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  <c r="R3" s="384"/>
      <c r="S3" s="384"/>
      <c r="T3" s="384"/>
      <c r="U3" s="384"/>
      <c r="V3" s="384"/>
      <c r="W3" s="384"/>
      <c r="X3" s="384"/>
      <c r="Y3" s="384"/>
      <c r="Z3" s="384"/>
      <c r="AA3" s="384"/>
      <c r="AB3" s="384"/>
      <c r="AC3" s="384"/>
      <c r="AD3" s="384"/>
      <c r="AE3" s="384"/>
      <c r="AF3" s="384"/>
      <c r="AG3" s="384"/>
      <c r="AH3" s="384"/>
      <c r="AI3" s="384"/>
      <c r="AJ3" s="384"/>
      <c r="AK3" s="384"/>
      <c r="AL3" s="384"/>
      <c r="AM3" s="384"/>
    </row>
    <row r="4" spans="1:16364" s="153" customFormat="1" x14ac:dyDescent="0.3">
      <c r="A4" s="384"/>
      <c r="B4" s="71"/>
      <c r="C4" s="384"/>
      <c r="D4" s="384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  <c r="R4" s="384"/>
      <c r="S4" s="384"/>
      <c r="T4" s="384"/>
      <c r="U4" s="384"/>
      <c r="V4" s="384"/>
      <c r="W4" s="384"/>
      <c r="X4" s="384"/>
      <c r="Y4" s="384"/>
      <c r="Z4" s="384"/>
      <c r="AA4" s="384"/>
      <c r="AB4" s="384"/>
      <c r="AC4" s="384"/>
      <c r="AD4" s="384"/>
      <c r="AE4" s="384"/>
      <c r="AF4" s="384"/>
      <c r="AG4" s="384"/>
      <c r="AH4" s="384"/>
      <c r="AI4" s="384"/>
      <c r="AJ4" s="384"/>
      <c r="AK4" s="384"/>
      <c r="AL4" s="384"/>
      <c r="AM4" s="384"/>
    </row>
    <row r="5" spans="1:16364" s="98" customFormat="1" ht="17.25" thickBot="1" x14ac:dyDescent="0.35">
      <c r="A5" s="384"/>
      <c r="B5" s="154" t="s">
        <v>320</v>
      </c>
      <c r="C5" s="384"/>
      <c r="D5" s="384"/>
      <c r="E5" s="384"/>
      <c r="F5" s="384"/>
      <c r="G5" s="384"/>
      <c r="H5" s="384"/>
      <c r="I5" s="384"/>
      <c r="J5" s="384"/>
      <c r="K5" s="384"/>
      <c r="L5" s="384"/>
      <c r="M5" s="384"/>
      <c r="N5" s="384"/>
      <c r="O5" s="384"/>
      <c r="P5" s="384"/>
      <c r="Q5" s="384"/>
      <c r="R5" s="384"/>
      <c r="S5" s="384"/>
      <c r="T5" s="384"/>
      <c r="U5" s="384"/>
      <c r="V5" s="384"/>
      <c r="W5" s="384"/>
      <c r="X5" s="384"/>
      <c r="Y5" s="384"/>
      <c r="Z5" s="384"/>
      <c r="AA5" s="384"/>
      <c r="AB5" s="384">
        <v>1</v>
      </c>
      <c r="AC5" s="384">
        <v>2</v>
      </c>
      <c r="AD5" s="384">
        <v>3</v>
      </c>
      <c r="AE5" s="384">
        <v>4</v>
      </c>
      <c r="AF5" s="384">
        <v>5</v>
      </c>
      <c r="AG5" s="384">
        <v>6</v>
      </c>
      <c r="AH5" s="384">
        <v>7</v>
      </c>
      <c r="AI5" s="384">
        <v>8</v>
      </c>
      <c r="AJ5" s="384">
        <v>9</v>
      </c>
      <c r="AK5" s="384">
        <v>10</v>
      </c>
      <c r="AL5" s="384">
        <v>11</v>
      </c>
      <c r="AM5" s="384">
        <v>12</v>
      </c>
    </row>
    <row r="6" spans="1:16364" ht="17.25" thickBot="1" x14ac:dyDescent="0.35">
      <c r="B6" s="244"/>
      <c r="C6" s="245">
        <v>45291</v>
      </c>
      <c r="D6" s="245">
        <v>45322</v>
      </c>
      <c r="E6" s="245">
        <v>45351</v>
      </c>
      <c r="F6" s="245">
        <v>45382</v>
      </c>
      <c r="G6" s="245">
        <v>45412</v>
      </c>
      <c r="H6" s="245">
        <v>45443</v>
      </c>
      <c r="I6" s="245">
        <v>45473</v>
      </c>
      <c r="J6" s="245">
        <v>45504</v>
      </c>
      <c r="K6" s="245">
        <v>45535</v>
      </c>
      <c r="L6" s="245">
        <v>45565</v>
      </c>
      <c r="M6" s="245">
        <v>45596</v>
      </c>
      <c r="N6" s="245">
        <v>45626</v>
      </c>
      <c r="O6" s="246">
        <v>45657</v>
      </c>
      <c r="P6" s="346">
        <f>EOMONTH(O6,1)</f>
        <v>45688</v>
      </c>
      <c r="Q6" s="245">
        <f t="shared" ref="Q6:AA6" si="0">EOMONTH(P6,1)</f>
        <v>45716</v>
      </c>
      <c r="R6" s="245">
        <f t="shared" si="0"/>
        <v>45747</v>
      </c>
      <c r="S6" s="245">
        <f t="shared" si="0"/>
        <v>45777</v>
      </c>
      <c r="T6" s="245">
        <f t="shared" si="0"/>
        <v>45808</v>
      </c>
      <c r="U6" s="245">
        <f t="shared" si="0"/>
        <v>45838</v>
      </c>
      <c r="V6" s="245">
        <f t="shared" si="0"/>
        <v>45869</v>
      </c>
      <c r="W6" s="245">
        <f t="shared" si="0"/>
        <v>45900</v>
      </c>
      <c r="X6" s="245">
        <f t="shared" si="0"/>
        <v>45930</v>
      </c>
      <c r="Y6" s="245">
        <f t="shared" si="0"/>
        <v>45961</v>
      </c>
      <c r="Z6" s="245">
        <f t="shared" si="0"/>
        <v>45991</v>
      </c>
      <c r="AA6" s="246">
        <f t="shared" si="0"/>
        <v>46022</v>
      </c>
      <c r="AB6" s="346">
        <f>EOMONTH(AA6,1)</f>
        <v>46053</v>
      </c>
      <c r="AC6" s="245">
        <f t="shared" ref="AC6" si="1">EOMONTH(AB6,1)</f>
        <v>46081</v>
      </c>
      <c r="AD6" s="245">
        <f t="shared" ref="AD6" si="2">EOMONTH(AC6,1)</f>
        <v>46112</v>
      </c>
      <c r="AE6" s="245">
        <f t="shared" ref="AE6" si="3">EOMONTH(AD6,1)</f>
        <v>46142</v>
      </c>
      <c r="AF6" s="245">
        <f t="shared" ref="AF6" si="4">EOMONTH(AE6,1)</f>
        <v>46173</v>
      </c>
      <c r="AG6" s="245">
        <f t="shared" ref="AG6" si="5">EOMONTH(AF6,1)</f>
        <v>46203</v>
      </c>
      <c r="AH6" s="245">
        <f t="shared" ref="AH6" si="6">EOMONTH(AG6,1)</f>
        <v>46234</v>
      </c>
      <c r="AI6" s="245">
        <f t="shared" ref="AI6" si="7">EOMONTH(AH6,1)</f>
        <v>46265</v>
      </c>
      <c r="AJ6" s="245">
        <f t="shared" ref="AJ6" si="8">EOMONTH(AI6,1)</f>
        <v>46295</v>
      </c>
      <c r="AK6" s="245">
        <f t="shared" ref="AK6" si="9">EOMONTH(AJ6,1)</f>
        <v>46326</v>
      </c>
      <c r="AL6" s="245">
        <f t="shared" ref="AL6" si="10">EOMONTH(AK6,1)</f>
        <v>46356</v>
      </c>
      <c r="AM6" s="246">
        <f t="shared" ref="AM6" si="11">EOMONTH(AL6,1)</f>
        <v>46387</v>
      </c>
    </row>
    <row r="7" spans="1:16364" x14ac:dyDescent="0.3">
      <c r="B7" s="242" t="s">
        <v>241</v>
      </c>
      <c r="C7" s="243">
        <v>28061674</v>
      </c>
      <c r="D7" s="243">
        <f t="shared" ref="D7:O7" si="12">C13+C14</f>
        <v>26892438</v>
      </c>
      <c r="E7" s="251">
        <f t="shared" si="12"/>
        <v>25723202</v>
      </c>
      <c r="F7" s="251">
        <f t="shared" si="12"/>
        <v>24553966</v>
      </c>
      <c r="G7" s="251">
        <f t="shared" si="12"/>
        <v>23384730</v>
      </c>
      <c r="H7" s="251">
        <f t="shared" si="12"/>
        <v>22215494</v>
      </c>
      <c r="I7" s="251">
        <f t="shared" si="12"/>
        <v>21046258</v>
      </c>
      <c r="J7" s="251">
        <f t="shared" si="12"/>
        <v>19877022</v>
      </c>
      <c r="K7" s="251">
        <f t="shared" si="12"/>
        <v>18707786</v>
      </c>
      <c r="L7" s="251">
        <f t="shared" si="12"/>
        <v>17538550</v>
      </c>
      <c r="M7" s="251">
        <f t="shared" si="12"/>
        <v>16369314</v>
      </c>
      <c r="N7" s="251">
        <f t="shared" si="12"/>
        <v>15200078</v>
      </c>
      <c r="O7" s="281">
        <f t="shared" si="12"/>
        <v>14030842</v>
      </c>
      <c r="P7" s="365">
        <v>12861606</v>
      </c>
      <c r="Q7" s="340">
        <v>11692370</v>
      </c>
      <c r="R7" s="340">
        <v>10523134</v>
      </c>
      <c r="S7" s="340">
        <v>9353898</v>
      </c>
      <c r="T7" s="251">
        <v>8184662</v>
      </c>
      <c r="U7" s="251">
        <v>7015426</v>
      </c>
      <c r="V7" s="251">
        <v>5846190</v>
      </c>
      <c r="W7" s="251">
        <v>4676954</v>
      </c>
      <c r="X7" s="251">
        <v>3507718</v>
      </c>
      <c r="Y7" s="251">
        <v>2338482</v>
      </c>
      <c r="Z7" s="251">
        <v>1169246</v>
      </c>
      <c r="AA7" s="281">
        <v>10</v>
      </c>
      <c r="AB7" s="365">
        <f t="shared" ref="AB7:AE7" si="13">AA13+AA14</f>
        <v>10</v>
      </c>
      <c r="AC7" s="365">
        <f t="shared" si="13"/>
        <v>10</v>
      </c>
      <c r="AD7" s="365">
        <f t="shared" si="13"/>
        <v>10</v>
      </c>
      <c r="AE7" s="365">
        <f t="shared" si="13"/>
        <v>10</v>
      </c>
      <c r="AF7" s="251"/>
      <c r="AG7" s="251"/>
      <c r="AH7" s="251"/>
      <c r="AI7" s="251"/>
      <c r="AJ7" s="251"/>
      <c r="AK7" s="251"/>
      <c r="AL7" s="251"/>
      <c r="AM7" s="281"/>
    </row>
    <row r="8" spans="1:16364" s="98" customFormat="1" x14ac:dyDescent="0.3">
      <c r="A8" s="384"/>
      <c r="B8" s="155" t="s">
        <v>242</v>
      </c>
      <c r="C8" s="212"/>
      <c r="D8" s="212">
        <v>0</v>
      </c>
      <c r="E8" s="215">
        <v>0</v>
      </c>
      <c r="F8" s="215">
        <v>0</v>
      </c>
      <c r="G8" s="215">
        <v>0</v>
      </c>
      <c r="H8" s="215">
        <v>0</v>
      </c>
      <c r="I8" s="215">
        <v>0</v>
      </c>
      <c r="J8" s="215">
        <v>0</v>
      </c>
      <c r="K8" s="215">
        <v>0</v>
      </c>
      <c r="L8" s="215">
        <v>0</v>
      </c>
      <c r="M8" s="215">
        <v>0</v>
      </c>
      <c r="N8" s="215">
        <v>0</v>
      </c>
      <c r="O8" s="254"/>
      <c r="P8" s="347"/>
      <c r="Q8" s="341"/>
      <c r="R8" s="341"/>
      <c r="S8" s="341"/>
      <c r="T8" s="215"/>
      <c r="U8" s="215"/>
      <c r="V8" s="215"/>
      <c r="W8" s="215"/>
      <c r="X8" s="215"/>
      <c r="Y8" s="215"/>
      <c r="Z8" s="215"/>
      <c r="AA8" s="254"/>
      <c r="AB8" s="347"/>
      <c r="AC8" s="347"/>
      <c r="AD8" s="347"/>
      <c r="AE8" s="347"/>
      <c r="AF8" s="215"/>
      <c r="AG8" s="215"/>
      <c r="AH8" s="215"/>
      <c r="AI8" s="215"/>
      <c r="AJ8" s="215"/>
      <c r="AK8" s="215"/>
      <c r="AL8" s="215"/>
      <c r="AM8" s="254"/>
    </row>
    <row r="9" spans="1:16364" s="98" customFormat="1" x14ac:dyDescent="0.3">
      <c r="A9" s="384"/>
      <c r="B9" s="213" t="s">
        <v>269</v>
      </c>
      <c r="C9" s="214"/>
      <c r="D9" s="214">
        <v>0</v>
      </c>
      <c r="E9" s="215">
        <v>0</v>
      </c>
      <c r="F9" s="215">
        <v>0</v>
      </c>
      <c r="G9" s="215">
        <v>0</v>
      </c>
      <c r="H9" s="215">
        <v>0</v>
      </c>
      <c r="I9" s="215">
        <v>0</v>
      </c>
      <c r="J9" s="215">
        <v>0</v>
      </c>
      <c r="K9" s="215">
        <v>0</v>
      </c>
      <c r="L9" s="215">
        <v>0</v>
      </c>
      <c r="M9" s="215">
        <v>0</v>
      </c>
      <c r="N9" s="215">
        <v>0</v>
      </c>
      <c r="O9" s="254"/>
      <c r="P9" s="347"/>
      <c r="Q9" s="341"/>
      <c r="R9" s="341"/>
      <c r="S9" s="341"/>
      <c r="T9" s="215"/>
      <c r="U9" s="215"/>
      <c r="V9" s="215"/>
      <c r="W9" s="215"/>
      <c r="X9" s="215"/>
      <c r="Y9" s="215"/>
      <c r="Z9" s="215"/>
      <c r="AA9" s="254"/>
      <c r="AB9" s="347"/>
      <c r="AC9" s="347"/>
      <c r="AD9" s="347"/>
      <c r="AE9" s="347"/>
      <c r="AF9" s="215"/>
      <c r="AG9" s="215"/>
      <c r="AH9" s="215"/>
      <c r="AI9" s="215"/>
      <c r="AJ9" s="215"/>
      <c r="AK9" s="215"/>
      <c r="AL9" s="215"/>
      <c r="AM9" s="254"/>
    </row>
    <row r="10" spans="1:16364" s="153" customFormat="1" x14ac:dyDescent="0.3">
      <c r="A10" s="384"/>
      <c r="B10" s="213" t="s">
        <v>273</v>
      </c>
      <c r="C10" s="214"/>
      <c r="D10" s="214">
        <v>0</v>
      </c>
      <c r="E10" s="215">
        <v>0</v>
      </c>
      <c r="F10" s="215">
        <v>0</v>
      </c>
      <c r="G10" s="215">
        <v>0</v>
      </c>
      <c r="H10" s="215">
        <v>0</v>
      </c>
      <c r="I10" s="215">
        <v>0</v>
      </c>
      <c r="J10" s="215">
        <v>0</v>
      </c>
      <c r="K10" s="215">
        <v>0</v>
      </c>
      <c r="L10" s="215">
        <v>0</v>
      </c>
      <c r="M10" s="215">
        <v>0</v>
      </c>
      <c r="N10" s="215">
        <v>0</v>
      </c>
      <c r="O10" s="254"/>
      <c r="P10" s="347"/>
      <c r="Q10" s="341"/>
      <c r="R10" s="341"/>
      <c r="S10" s="341"/>
      <c r="T10" s="215"/>
      <c r="U10" s="215"/>
      <c r="V10" s="215"/>
      <c r="W10" s="215"/>
      <c r="X10" s="215"/>
      <c r="Y10" s="215"/>
      <c r="Z10" s="215"/>
      <c r="AA10" s="254"/>
      <c r="AB10" s="347"/>
      <c r="AC10" s="347"/>
      <c r="AD10" s="347"/>
      <c r="AE10" s="347"/>
      <c r="AF10" s="215"/>
      <c r="AG10" s="215"/>
      <c r="AH10" s="215"/>
      <c r="AI10" s="215"/>
      <c r="AJ10" s="215"/>
      <c r="AK10" s="215"/>
      <c r="AL10" s="215"/>
      <c r="AM10" s="254"/>
    </row>
    <row r="11" spans="1:16364" x14ac:dyDescent="0.3">
      <c r="B11" s="213" t="s">
        <v>243</v>
      </c>
      <c r="C11" s="214">
        <v>-1169236</v>
      </c>
      <c r="D11" s="214">
        <f>-[1]차량!U12</f>
        <v>-1169236</v>
      </c>
      <c r="E11" s="215">
        <v>-1169236</v>
      </c>
      <c r="F11" s="215">
        <v>-1169236</v>
      </c>
      <c r="G11" s="215">
        <v>-1169236</v>
      </c>
      <c r="H11" s="215">
        <v>-1169236</v>
      </c>
      <c r="I11" s="215">
        <v>-1169236</v>
      </c>
      <c r="J11" s="215">
        <v>-1169236</v>
      </c>
      <c r="K11" s="215">
        <v>-1169236</v>
      </c>
      <c r="L11" s="215">
        <v>-1169236</v>
      </c>
      <c r="M11" s="215">
        <v>-1169236</v>
      </c>
      <c r="N11" s="215">
        <v>-1169236</v>
      </c>
      <c r="O11" s="254">
        <v>-1169236</v>
      </c>
      <c r="P11" s="347">
        <v>-1169236</v>
      </c>
      <c r="Q11" s="341">
        <v>-1169236</v>
      </c>
      <c r="R11" s="341">
        <v>-1169236</v>
      </c>
      <c r="S11" s="341">
        <v>-1169236</v>
      </c>
      <c r="T11" s="215">
        <v>-1169236</v>
      </c>
      <c r="U11" s="215">
        <v>-1169236</v>
      </c>
      <c r="V11" s="215">
        <v>-1169236</v>
      </c>
      <c r="W11" s="215">
        <v>-1169236</v>
      </c>
      <c r="X11" s="215">
        <v>-1169236</v>
      </c>
      <c r="Y11" s="215">
        <v>-1169236</v>
      </c>
      <c r="Z11" s="215">
        <v>-1169236</v>
      </c>
      <c r="AA11" s="254">
        <v>0</v>
      </c>
      <c r="AB11" s="347">
        <f>-차량!U12</f>
        <v>0</v>
      </c>
      <c r="AC11" s="347">
        <f>-차량!V12</f>
        <v>0</v>
      </c>
      <c r="AD11" s="347">
        <f>-차량!W12</f>
        <v>0</v>
      </c>
      <c r="AE11" s="347">
        <f>-차량!X12</f>
        <v>0</v>
      </c>
      <c r="AF11" s="215"/>
      <c r="AG11" s="215"/>
      <c r="AH11" s="215"/>
      <c r="AI11" s="215"/>
      <c r="AJ11" s="215"/>
      <c r="AK11" s="215"/>
      <c r="AL11" s="215"/>
      <c r="AM11" s="254"/>
    </row>
    <row r="12" spans="1:16364" x14ac:dyDescent="0.3">
      <c r="B12" s="155" t="s">
        <v>321</v>
      </c>
      <c r="C12" s="212">
        <v>26892438</v>
      </c>
      <c r="D12" s="212">
        <f>D7+D11</f>
        <v>25723202</v>
      </c>
      <c r="E12" s="215">
        <f t="shared" ref="E12:O12" si="14">+E7+E11</f>
        <v>24553966</v>
      </c>
      <c r="F12" s="215">
        <f t="shared" si="14"/>
        <v>23384730</v>
      </c>
      <c r="G12" s="215">
        <f t="shared" si="14"/>
        <v>22215494</v>
      </c>
      <c r="H12" s="215">
        <f t="shared" si="14"/>
        <v>21046258</v>
      </c>
      <c r="I12" s="215">
        <f t="shared" si="14"/>
        <v>19877022</v>
      </c>
      <c r="J12" s="215">
        <f t="shared" si="14"/>
        <v>18707786</v>
      </c>
      <c r="K12" s="215">
        <f t="shared" si="14"/>
        <v>17538550</v>
      </c>
      <c r="L12" s="215">
        <f t="shared" si="14"/>
        <v>16369314</v>
      </c>
      <c r="M12" s="215">
        <f t="shared" si="14"/>
        <v>15200078</v>
      </c>
      <c r="N12" s="215">
        <f t="shared" si="14"/>
        <v>14030842</v>
      </c>
      <c r="O12" s="254">
        <f t="shared" si="14"/>
        <v>12861606</v>
      </c>
      <c r="P12" s="347">
        <v>11692370</v>
      </c>
      <c r="Q12" s="341">
        <v>10523134</v>
      </c>
      <c r="R12" s="341">
        <v>9353898</v>
      </c>
      <c r="S12" s="341">
        <v>8184662</v>
      </c>
      <c r="T12" s="215">
        <v>7015426</v>
      </c>
      <c r="U12" s="215">
        <v>5846190</v>
      </c>
      <c r="V12" s="215">
        <v>4676954</v>
      </c>
      <c r="W12" s="215">
        <v>3507718</v>
      </c>
      <c r="X12" s="215">
        <v>2338482</v>
      </c>
      <c r="Y12" s="215">
        <v>1169246</v>
      </c>
      <c r="Z12" s="215">
        <v>10</v>
      </c>
      <c r="AA12" s="254">
        <v>10</v>
      </c>
      <c r="AB12" s="347">
        <f t="shared" ref="AB12:AC12" si="15">+AB7+AB11</f>
        <v>10</v>
      </c>
      <c r="AC12" s="347">
        <f t="shared" si="15"/>
        <v>10</v>
      </c>
      <c r="AD12" s="347">
        <f t="shared" ref="AD12:AE12" si="16">+AD7+AD11</f>
        <v>10</v>
      </c>
      <c r="AE12" s="347">
        <f t="shared" si="16"/>
        <v>10</v>
      </c>
      <c r="AF12" s="215"/>
      <c r="AG12" s="215"/>
      <c r="AH12" s="215"/>
      <c r="AI12" s="215"/>
      <c r="AJ12" s="215"/>
      <c r="AK12" s="215"/>
      <c r="AL12" s="215"/>
      <c r="AM12" s="254"/>
    </row>
    <row r="13" spans="1:16364" x14ac:dyDescent="0.3">
      <c r="B13" s="155" t="s">
        <v>322</v>
      </c>
      <c r="C13" s="212">
        <v>56123338</v>
      </c>
      <c r="D13" s="212">
        <f t="shared" ref="D13:O13" si="17">C13+D8-D9-D10</f>
        <v>56123338</v>
      </c>
      <c r="E13" s="215">
        <f t="shared" si="17"/>
        <v>56123338</v>
      </c>
      <c r="F13" s="215">
        <f t="shared" si="17"/>
        <v>56123338</v>
      </c>
      <c r="G13" s="215">
        <f t="shared" si="17"/>
        <v>56123338</v>
      </c>
      <c r="H13" s="215">
        <f t="shared" si="17"/>
        <v>56123338</v>
      </c>
      <c r="I13" s="215">
        <f t="shared" si="17"/>
        <v>56123338</v>
      </c>
      <c r="J13" s="215">
        <f t="shared" si="17"/>
        <v>56123338</v>
      </c>
      <c r="K13" s="215">
        <f t="shared" si="17"/>
        <v>56123338</v>
      </c>
      <c r="L13" s="215">
        <f t="shared" si="17"/>
        <v>56123338</v>
      </c>
      <c r="M13" s="215">
        <f t="shared" si="17"/>
        <v>56123338</v>
      </c>
      <c r="N13" s="215">
        <f t="shared" si="17"/>
        <v>56123338</v>
      </c>
      <c r="O13" s="254">
        <f t="shared" si="17"/>
        <v>56123338</v>
      </c>
      <c r="P13" s="347">
        <v>56123338</v>
      </c>
      <c r="Q13" s="341">
        <v>56123338</v>
      </c>
      <c r="R13" s="341">
        <v>56123338</v>
      </c>
      <c r="S13" s="341">
        <v>56123338</v>
      </c>
      <c r="T13" s="215">
        <v>56123338</v>
      </c>
      <c r="U13" s="215">
        <v>56123338</v>
      </c>
      <c r="V13" s="215">
        <v>56123338</v>
      </c>
      <c r="W13" s="215">
        <v>56123338</v>
      </c>
      <c r="X13" s="215">
        <v>56123338</v>
      </c>
      <c r="Y13" s="215">
        <v>56123338</v>
      </c>
      <c r="Z13" s="215">
        <v>56123338</v>
      </c>
      <c r="AA13" s="254">
        <v>56123338</v>
      </c>
      <c r="AB13" s="347">
        <f t="shared" ref="AB13:AE13" si="18">AA13+AB8-AB9-AB10</f>
        <v>56123338</v>
      </c>
      <c r="AC13" s="347">
        <f t="shared" si="18"/>
        <v>56123338</v>
      </c>
      <c r="AD13" s="347">
        <f t="shared" si="18"/>
        <v>56123338</v>
      </c>
      <c r="AE13" s="347">
        <f t="shared" si="18"/>
        <v>56123338</v>
      </c>
      <c r="AF13" s="215"/>
      <c r="AG13" s="215"/>
      <c r="AH13" s="215"/>
      <c r="AI13" s="215"/>
      <c r="AJ13" s="215"/>
      <c r="AK13" s="215"/>
      <c r="AL13" s="215"/>
      <c r="AM13" s="254"/>
    </row>
    <row r="14" spans="1:16364" ht="17.25" thickBot="1" x14ac:dyDescent="0.35">
      <c r="B14" s="156" t="s">
        <v>323</v>
      </c>
      <c r="C14" s="211">
        <v>-29230900</v>
      </c>
      <c r="D14" s="211">
        <f t="shared" ref="D14:O14" si="19">C14+D11</f>
        <v>-30400136</v>
      </c>
      <c r="E14" s="216">
        <f t="shared" si="19"/>
        <v>-31569372</v>
      </c>
      <c r="F14" s="216">
        <f t="shared" si="19"/>
        <v>-32738608</v>
      </c>
      <c r="G14" s="216">
        <f t="shared" si="19"/>
        <v>-33907844</v>
      </c>
      <c r="H14" s="216">
        <f t="shared" si="19"/>
        <v>-35077080</v>
      </c>
      <c r="I14" s="216">
        <f t="shared" si="19"/>
        <v>-36246316</v>
      </c>
      <c r="J14" s="216">
        <f t="shared" si="19"/>
        <v>-37415552</v>
      </c>
      <c r="K14" s="216">
        <f t="shared" si="19"/>
        <v>-38584788</v>
      </c>
      <c r="L14" s="216">
        <f t="shared" si="19"/>
        <v>-39754024</v>
      </c>
      <c r="M14" s="216">
        <f t="shared" si="19"/>
        <v>-40923260</v>
      </c>
      <c r="N14" s="216">
        <f t="shared" si="19"/>
        <v>-42092496</v>
      </c>
      <c r="O14" s="255">
        <f t="shared" si="19"/>
        <v>-43261732</v>
      </c>
      <c r="P14" s="348">
        <v>-44430968</v>
      </c>
      <c r="Q14" s="342">
        <v>-45600204</v>
      </c>
      <c r="R14" s="342">
        <v>-46769440</v>
      </c>
      <c r="S14" s="342">
        <v>-47938676</v>
      </c>
      <c r="T14" s="216">
        <v>-49107912</v>
      </c>
      <c r="U14" s="216">
        <v>-50277148</v>
      </c>
      <c r="V14" s="216">
        <v>-51446384</v>
      </c>
      <c r="W14" s="216">
        <v>-52615620</v>
      </c>
      <c r="X14" s="216">
        <v>-53784856</v>
      </c>
      <c r="Y14" s="216">
        <v>-54954092</v>
      </c>
      <c r="Z14" s="216">
        <v>-56123328</v>
      </c>
      <c r="AA14" s="255">
        <v>-56123328</v>
      </c>
      <c r="AB14" s="348">
        <f t="shared" ref="AB14:AE14" si="20">AA14+AB11</f>
        <v>-56123328</v>
      </c>
      <c r="AC14" s="348">
        <f t="shared" si="20"/>
        <v>-56123328</v>
      </c>
      <c r="AD14" s="348">
        <f t="shared" si="20"/>
        <v>-56123328</v>
      </c>
      <c r="AE14" s="348">
        <f t="shared" si="20"/>
        <v>-56123328</v>
      </c>
      <c r="AF14" s="216"/>
      <c r="AG14" s="216"/>
      <c r="AH14" s="216"/>
      <c r="AI14" s="216"/>
      <c r="AJ14" s="216"/>
      <c r="AK14" s="216"/>
      <c r="AL14" s="216"/>
      <c r="AM14" s="255"/>
      <c r="AN14" s="98"/>
      <c r="AO14" s="98"/>
      <c r="AP14" s="98"/>
      <c r="AQ14" s="98"/>
      <c r="AR14" s="98"/>
      <c r="AS14" s="98"/>
      <c r="AT14" s="98"/>
      <c r="AU14" s="98"/>
      <c r="AV14" s="98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  <c r="BH14" s="98"/>
      <c r="BI14" s="98"/>
      <c r="BJ14" s="98"/>
      <c r="BK14" s="98"/>
      <c r="BL14" s="98"/>
      <c r="BM14" s="98"/>
      <c r="BN14" s="98"/>
      <c r="BO14" s="98"/>
      <c r="BP14" s="98"/>
      <c r="BQ14" s="98"/>
      <c r="BR14" s="98"/>
      <c r="BS14" s="98"/>
      <c r="BT14" s="98"/>
      <c r="BU14" s="98"/>
      <c r="BV14" s="98"/>
      <c r="BW14" s="98"/>
      <c r="BX14" s="98"/>
      <c r="BY14" s="98"/>
      <c r="BZ14" s="98"/>
      <c r="CA14" s="98"/>
      <c r="CB14" s="98"/>
      <c r="CC14" s="98"/>
      <c r="CD14" s="98"/>
      <c r="CE14" s="98"/>
      <c r="CF14" s="98"/>
      <c r="CG14" s="98"/>
      <c r="CH14" s="98"/>
      <c r="CI14" s="98"/>
      <c r="CJ14" s="98"/>
      <c r="CK14" s="98"/>
      <c r="CL14" s="98"/>
      <c r="CM14" s="98"/>
      <c r="CN14" s="98"/>
      <c r="CO14" s="98"/>
      <c r="CP14" s="98"/>
      <c r="CQ14" s="98"/>
      <c r="CR14" s="98"/>
      <c r="CS14" s="98"/>
      <c r="CT14" s="98"/>
      <c r="CU14" s="98"/>
      <c r="CV14" s="98"/>
      <c r="CW14" s="98"/>
      <c r="CX14" s="98"/>
      <c r="CY14" s="98"/>
      <c r="CZ14" s="98"/>
      <c r="DA14" s="98"/>
      <c r="DB14" s="98"/>
      <c r="DC14" s="98"/>
      <c r="DD14" s="98"/>
      <c r="DE14" s="98"/>
      <c r="DF14" s="98"/>
      <c r="DG14" s="98"/>
      <c r="DH14" s="98"/>
      <c r="DI14" s="98"/>
      <c r="DJ14" s="98"/>
      <c r="DK14" s="98"/>
      <c r="DL14" s="98"/>
      <c r="DM14" s="98"/>
      <c r="DN14" s="98"/>
      <c r="DO14" s="98"/>
      <c r="DP14" s="98"/>
      <c r="DQ14" s="98"/>
      <c r="DR14" s="98"/>
      <c r="DS14" s="98"/>
      <c r="DT14" s="98"/>
      <c r="DU14" s="98"/>
      <c r="DV14" s="98"/>
      <c r="DW14" s="98"/>
      <c r="DX14" s="98"/>
      <c r="DY14" s="98"/>
      <c r="DZ14" s="98"/>
      <c r="EA14" s="98"/>
      <c r="EB14" s="98"/>
      <c r="EC14" s="98"/>
      <c r="ED14" s="98"/>
      <c r="EE14" s="98"/>
      <c r="EF14" s="98"/>
      <c r="EG14" s="98"/>
      <c r="EH14" s="98"/>
      <c r="EI14" s="98"/>
      <c r="EJ14" s="98"/>
      <c r="EK14" s="98"/>
      <c r="EL14" s="98"/>
      <c r="EM14" s="98"/>
      <c r="EN14" s="98"/>
      <c r="EO14" s="98"/>
      <c r="EP14" s="98"/>
      <c r="EQ14" s="98"/>
      <c r="ER14" s="98"/>
      <c r="ES14" s="98"/>
      <c r="ET14" s="98"/>
      <c r="EU14" s="98"/>
      <c r="EV14" s="98"/>
      <c r="EW14" s="98"/>
      <c r="EX14" s="98"/>
      <c r="EY14" s="98"/>
      <c r="EZ14" s="98"/>
      <c r="FA14" s="98"/>
      <c r="FB14" s="98"/>
      <c r="FC14" s="98"/>
      <c r="FD14" s="98"/>
      <c r="FE14" s="98"/>
      <c r="FF14" s="98"/>
      <c r="FG14" s="98"/>
      <c r="FH14" s="98"/>
      <c r="FI14" s="98"/>
      <c r="FJ14" s="98"/>
      <c r="FK14" s="98"/>
      <c r="FL14" s="98"/>
      <c r="FM14" s="98"/>
      <c r="FN14" s="98"/>
      <c r="FO14" s="98"/>
      <c r="FP14" s="98"/>
      <c r="FQ14" s="98"/>
      <c r="FR14" s="98"/>
      <c r="FS14" s="98"/>
      <c r="FT14" s="98"/>
      <c r="FU14" s="98"/>
      <c r="FV14" s="98"/>
      <c r="FW14" s="98"/>
      <c r="FX14" s="98"/>
      <c r="FY14" s="98"/>
      <c r="FZ14" s="98"/>
      <c r="GA14" s="98"/>
      <c r="GB14" s="98"/>
      <c r="GC14" s="98"/>
      <c r="GD14" s="98"/>
      <c r="GE14" s="98"/>
      <c r="GF14" s="98"/>
      <c r="GG14" s="98"/>
      <c r="GH14" s="98"/>
      <c r="GI14" s="98"/>
      <c r="GJ14" s="98"/>
      <c r="GK14" s="98"/>
      <c r="GL14" s="98"/>
      <c r="GM14" s="98"/>
      <c r="GN14" s="98"/>
      <c r="GO14" s="98"/>
      <c r="GP14" s="98"/>
      <c r="GQ14" s="98"/>
      <c r="GR14" s="98"/>
      <c r="GS14" s="98"/>
      <c r="GT14" s="98"/>
      <c r="GU14" s="98"/>
      <c r="GV14" s="98"/>
      <c r="GW14" s="98"/>
      <c r="GX14" s="98"/>
      <c r="GY14" s="98"/>
      <c r="GZ14" s="98"/>
      <c r="HA14" s="98"/>
      <c r="HB14" s="98"/>
      <c r="HC14" s="98"/>
      <c r="HD14" s="98"/>
      <c r="HE14" s="98"/>
      <c r="HF14" s="98"/>
      <c r="HG14" s="98"/>
      <c r="HH14" s="98"/>
      <c r="HI14" s="98"/>
      <c r="HJ14" s="98"/>
      <c r="HK14" s="98"/>
      <c r="HL14" s="98"/>
      <c r="HM14" s="98"/>
      <c r="HN14" s="98"/>
      <c r="HO14" s="98"/>
      <c r="HP14" s="98"/>
      <c r="HQ14" s="98"/>
      <c r="HR14" s="98"/>
      <c r="HS14" s="98"/>
      <c r="HT14" s="98"/>
      <c r="HU14" s="98"/>
      <c r="HV14" s="98"/>
      <c r="HW14" s="98"/>
      <c r="HX14" s="98"/>
      <c r="HY14" s="98"/>
      <c r="HZ14" s="98"/>
      <c r="IA14" s="98"/>
      <c r="IB14" s="98"/>
      <c r="IC14" s="98"/>
      <c r="ID14" s="98"/>
      <c r="IE14" s="98"/>
      <c r="IF14" s="98"/>
      <c r="IG14" s="98"/>
      <c r="IH14" s="98"/>
      <c r="II14" s="98"/>
      <c r="IJ14" s="98"/>
      <c r="IK14" s="98"/>
      <c r="IL14" s="98"/>
      <c r="IM14" s="98"/>
      <c r="IN14" s="98"/>
      <c r="IO14" s="98"/>
      <c r="IP14" s="98"/>
      <c r="IQ14" s="98"/>
      <c r="IR14" s="98"/>
      <c r="IS14" s="98"/>
      <c r="IT14" s="98"/>
      <c r="IU14" s="98"/>
      <c r="IV14" s="98"/>
      <c r="IW14" s="98"/>
      <c r="IX14" s="98"/>
      <c r="IY14" s="98"/>
      <c r="IZ14" s="98"/>
      <c r="JA14" s="98"/>
      <c r="JB14" s="98"/>
      <c r="JC14" s="98"/>
      <c r="JD14" s="98"/>
      <c r="JE14" s="98"/>
      <c r="JF14" s="98"/>
      <c r="JG14" s="98"/>
      <c r="JH14" s="98"/>
      <c r="JI14" s="98"/>
      <c r="JJ14" s="98"/>
      <c r="JK14" s="98"/>
      <c r="JL14" s="98"/>
      <c r="JM14" s="98"/>
      <c r="JN14" s="98"/>
      <c r="JO14" s="98"/>
      <c r="JP14" s="98"/>
      <c r="JQ14" s="98"/>
      <c r="JR14" s="98"/>
      <c r="JS14" s="98"/>
      <c r="JT14" s="98"/>
      <c r="JU14" s="98"/>
      <c r="JV14" s="98"/>
      <c r="JW14" s="98"/>
      <c r="JX14" s="98"/>
      <c r="JY14" s="98"/>
      <c r="JZ14" s="98"/>
      <c r="KA14" s="98"/>
      <c r="KB14" s="98"/>
      <c r="KC14" s="98"/>
      <c r="KD14" s="98"/>
      <c r="KE14" s="98"/>
      <c r="KF14" s="98"/>
      <c r="KG14" s="98"/>
      <c r="KH14" s="98"/>
      <c r="KI14" s="98"/>
      <c r="KJ14" s="98"/>
      <c r="KK14" s="98"/>
      <c r="KL14" s="98"/>
      <c r="KM14" s="98"/>
      <c r="KN14" s="98"/>
      <c r="KO14" s="98"/>
      <c r="KP14" s="98"/>
      <c r="KQ14" s="98"/>
      <c r="KR14" s="98"/>
      <c r="KS14" s="98"/>
      <c r="KT14" s="98"/>
      <c r="KU14" s="98"/>
      <c r="KV14" s="98"/>
      <c r="KW14" s="98"/>
      <c r="KX14" s="98"/>
      <c r="KY14" s="98"/>
      <c r="KZ14" s="98"/>
      <c r="LA14" s="98"/>
      <c r="LB14" s="98"/>
      <c r="LC14" s="98"/>
      <c r="LD14" s="98"/>
      <c r="LE14" s="98"/>
      <c r="LF14" s="98"/>
      <c r="LG14" s="98"/>
      <c r="LH14" s="98"/>
      <c r="LI14" s="98"/>
      <c r="LJ14" s="98"/>
      <c r="LK14" s="98"/>
      <c r="LL14" s="98"/>
      <c r="LM14" s="98"/>
      <c r="LN14" s="98"/>
      <c r="LO14" s="98"/>
      <c r="LP14" s="98"/>
      <c r="LQ14" s="98"/>
      <c r="LR14" s="98"/>
      <c r="LS14" s="98"/>
      <c r="LT14" s="98"/>
      <c r="LU14" s="98"/>
      <c r="LV14" s="98"/>
      <c r="LW14" s="98"/>
      <c r="LX14" s="98"/>
      <c r="LY14" s="98"/>
      <c r="LZ14" s="98"/>
      <c r="MA14" s="98"/>
      <c r="MB14" s="98"/>
      <c r="MC14" s="98"/>
      <c r="MD14" s="98"/>
      <c r="ME14" s="98"/>
      <c r="MF14" s="98"/>
      <c r="MG14" s="98"/>
      <c r="MH14" s="98"/>
      <c r="MI14" s="98"/>
      <c r="MJ14" s="98"/>
      <c r="MK14" s="98"/>
      <c r="ML14" s="98"/>
      <c r="MM14" s="98"/>
      <c r="MN14" s="98"/>
      <c r="MO14" s="98"/>
      <c r="MP14" s="98"/>
      <c r="MQ14" s="98"/>
      <c r="MR14" s="98"/>
      <c r="MS14" s="98"/>
      <c r="MT14" s="98"/>
      <c r="MU14" s="98"/>
      <c r="MV14" s="98"/>
      <c r="MW14" s="98"/>
      <c r="MX14" s="98"/>
      <c r="MY14" s="98"/>
      <c r="MZ14" s="98"/>
      <c r="NA14" s="98"/>
      <c r="NB14" s="98"/>
      <c r="NC14" s="98"/>
      <c r="ND14" s="98"/>
      <c r="NE14" s="98"/>
      <c r="NF14" s="98"/>
      <c r="NG14" s="98"/>
      <c r="NH14" s="98"/>
      <c r="NI14" s="98"/>
      <c r="NJ14" s="98"/>
      <c r="NK14" s="98"/>
      <c r="NL14" s="98"/>
      <c r="NM14" s="98"/>
      <c r="NN14" s="98"/>
      <c r="NO14" s="98"/>
      <c r="NP14" s="98"/>
      <c r="NQ14" s="98"/>
      <c r="NR14" s="98"/>
      <c r="NS14" s="98"/>
      <c r="NT14" s="98"/>
      <c r="NU14" s="98"/>
      <c r="NV14" s="98"/>
      <c r="NW14" s="98"/>
      <c r="NX14" s="98"/>
      <c r="NY14" s="98"/>
      <c r="NZ14" s="98"/>
      <c r="OA14" s="98"/>
      <c r="OB14" s="98"/>
      <c r="OC14" s="98"/>
      <c r="OD14" s="98"/>
      <c r="OE14" s="98"/>
      <c r="OF14" s="98"/>
      <c r="OG14" s="98"/>
      <c r="OH14" s="98"/>
      <c r="OI14" s="98"/>
      <c r="OJ14" s="98"/>
      <c r="OK14" s="98"/>
      <c r="OL14" s="98"/>
      <c r="OM14" s="98"/>
      <c r="ON14" s="98"/>
      <c r="OO14" s="98"/>
      <c r="OP14" s="98"/>
      <c r="OQ14" s="98"/>
      <c r="OR14" s="98"/>
      <c r="OS14" s="98"/>
      <c r="OT14" s="98"/>
      <c r="OU14" s="98"/>
      <c r="OV14" s="98"/>
      <c r="OW14" s="98"/>
      <c r="OX14" s="98"/>
      <c r="OY14" s="98"/>
      <c r="OZ14" s="98"/>
      <c r="PA14" s="98"/>
      <c r="PB14" s="98"/>
      <c r="PC14" s="98"/>
      <c r="PD14" s="98"/>
      <c r="PE14" s="98"/>
      <c r="PF14" s="98"/>
      <c r="PG14" s="98"/>
      <c r="PH14" s="98"/>
      <c r="PI14" s="98"/>
      <c r="PJ14" s="98"/>
      <c r="PK14" s="98"/>
      <c r="PL14" s="98"/>
      <c r="PM14" s="98"/>
      <c r="PN14" s="98"/>
      <c r="PO14" s="98"/>
      <c r="PP14" s="98"/>
      <c r="PQ14" s="98"/>
      <c r="PR14" s="98"/>
      <c r="PS14" s="98"/>
      <c r="PT14" s="98"/>
      <c r="PU14" s="98"/>
      <c r="PV14" s="98"/>
      <c r="PW14" s="98"/>
      <c r="PX14" s="98"/>
      <c r="PY14" s="98"/>
      <c r="PZ14" s="98"/>
      <c r="QA14" s="98"/>
      <c r="QB14" s="98"/>
      <c r="QC14" s="98"/>
      <c r="QD14" s="98"/>
      <c r="QE14" s="98"/>
      <c r="QF14" s="98"/>
      <c r="QG14" s="98"/>
      <c r="QH14" s="98"/>
      <c r="QI14" s="98"/>
      <c r="QJ14" s="98"/>
      <c r="QK14" s="98"/>
      <c r="QL14" s="98"/>
      <c r="QM14" s="98"/>
      <c r="QN14" s="98"/>
      <c r="QO14" s="98"/>
      <c r="QP14" s="98"/>
      <c r="QQ14" s="98"/>
      <c r="QR14" s="98"/>
      <c r="QS14" s="98"/>
      <c r="QT14" s="98"/>
      <c r="QU14" s="98"/>
      <c r="QV14" s="98"/>
      <c r="QW14" s="98"/>
      <c r="QX14" s="98"/>
      <c r="QY14" s="98"/>
      <c r="QZ14" s="98"/>
      <c r="RA14" s="98"/>
      <c r="RB14" s="98"/>
      <c r="RC14" s="98"/>
      <c r="RD14" s="98"/>
      <c r="RE14" s="98"/>
      <c r="RF14" s="98"/>
      <c r="RG14" s="98"/>
      <c r="RH14" s="98"/>
      <c r="RI14" s="98"/>
      <c r="RJ14" s="98"/>
      <c r="RK14" s="98"/>
      <c r="RL14" s="98"/>
      <c r="RM14" s="98"/>
      <c r="RN14" s="98"/>
      <c r="RO14" s="98"/>
      <c r="RP14" s="98"/>
      <c r="RQ14" s="98"/>
      <c r="RR14" s="98"/>
      <c r="RS14" s="98"/>
      <c r="RT14" s="98"/>
      <c r="RU14" s="98"/>
      <c r="RV14" s="98"/>
      <c r="RW14" s="98"/>
      <c r="RX14" s="98"/>
      <c r="RY14" s="98"/>
      <c r="RZ14" s="98"/>
      <c r="SA14" s="98"/>
      <c r="SB14" s="98"/>
      <c r="SC14" s="98"/>
      <c r="SD14" s="98"/>
      <c r="SE14" s="98"/>
      <c r="SF14" s="98"/>
      <c r="SG14" s="98"/>
      <c r="SH14" s="98"/>
      <c r="SI14" s="98"/>
      <c r="SJ14" s="98"/>
      <c r="SK14" s="98"/>
      <c r="SL14" s="98"/>
      <c r="SM14" s="98"/>
      <c r="SN14" s="98"/>
      <c r="SO14" s="98"/>
      <c r="SP14" s="98"/>
      <c r="SQ14" s="98"/>
      <c r="SR14" s="98"/>
      <c r="SS14" s="98"/>
      <c r="ST14" s="98"/>
      <c r="SU14" s="98"/>
      <c r="SV14" s="98"/>
      <c r="SW14" s="98"/>
      <c r="SX14" s="98"/>
      <c r="SY14" s="98"/>
      <c r="SZ14" s="98"/>
      <c r="TA14" s="98"/>
      <c r="TB14" s="98"/>
      <c r="TC14" s="98"/>
      <c r="TD14" s="98"/>
      <c r="TE14" s="98"/>
      <c r="TF14" s="98"/>
      <c r="TG14" s="98"/>
      <c r="TH14" s="98"/>
      <c r="TI14" s="98"/>
      <c r="TJ14" s="98"/>
      <c r="TK14" s="98"/>
      <c r="TL14" s="98"/>
      <c r="TM14" s="98"/>
      <c r="TN14" s="98"/>
      <c r="TO14" s="98"/>
      <c r="TP14" s="98"/>
      <c r="TQ14" s="98"/>
      <c r="TR14" s="98"/>
      <c r="TS14" s="98"/>
      <c r="TT14" s="98"/>
      <c r="TU14" s="98"/>
      <c r="TV14" s="98"/>
      <c r="TW14" s="98"/>
      <c r="TX14" s="98"/>
      <c r="TY14" s="98"/>
      <c r="TZ14" s="98"/>
      <c r="UA14" s="98"/>
      <c r="UB14" s="98"/>
      <c r="UC14" s="98"/>
      <c r="UD14" s="98"/>
      <c r="UE14" s="98"/>
      <c r="UF14" s="98"/>
      <c r="UG14" s="98"/>
      <c r="UH14" s="98"/>
      <c r="UI14" s="98"/>
      <c r="UJ14" s="98"/>
      <c r="UK14" s="98"/>
      <c r="UL14" s="98"/>
      <c r="UM14" s="98"/>
      <c r="UN14" s="98"/>
      <c r="UO14" s="98"/>
      <c r="UP14" s="98"/>
      <c r="UQ14" s="98"/>
      <c r="UR14" s="98"/>
      <c r="US14" s="98"/>
      <c r="UT14" s="98"/>
      <c r="UU14" s="98"/>
      <c r="UV14" s="98"/>
      <c r="UW14" s="98"/>
      <c r="UX14" s="98"/>
      <c r="UY14" s="98"/>
      <c r="UZ14" s="98"/>
      <c r="VA14" s="98"/>
      <c r="VB14" s="98"/>
      <c r="VC14" s="98"/>
      <c r="VD14" s="98"/>
      <c r="VE14" s="98"/>
      <c r="VF14" s="98"/>
      <c r="VG14" s="98"/>
      <c r="VH14" s="98"/>
      <c r="VI14" s="98"/>
      <c r="VJ14" s="98"/>
      <c r="VK14" s="98"/>
      <c r="VL14" s="98"/>
      <c r="VM14" s="98"/>
      <c r="VN14" s="98"/>
      <c r="VO14" s="98"/>
      <c r="VP14" s="98"/>
      <c r="VQ14" s="98"/>
      <c r="VR14" s="98"/>
      <c r="VS14" s="98"/>
      <c r="VT14" s="98"/>
      <c r="VU14" s="98"/>
      <c r="VV14" s="98"/>
      <c r="VW14" s="98"/>
      <c r="VX14" s="98"/>
      <c r="VY14" s="98"/>
      <c r="VZ14" s="98"/>
      <c r="WA14" s="98"/>
      <c r="WB14" s="98"/>
      <c r="WC14" s="98"/>
      <c r="WD14" s="98"/>
      <c r="WE14" s="98"/>
      <c r="WF14" s="98"/>
      <c r="WG14" s="98"/>
      <c r="WH14" s="98"/>
      <c r="WI14" s="98"/>
      <c r="WJ14" s="98"/>
      <c r="WK14" s="98"/>
      <c r="WL14" s="98"/>
      <c r="WM14" s="98"/>
      <c r="WN14" s="98"/>
      <c r="WO14" s="98"/>
      <c r="WP14" s="98"/>
      <c r="WQ14" s="98"/>
      <c r="WR14" s="98"/>
      <c r="WS14" s="98"/>
      <c r="WT14" s="98"/>
      <c r="WU14" s="98"/>
      <c r="WV14" s="98"/>
      <c r="WW14" s="98"/>
      <c r="WX14" s="98"/>
      <c r="WY14" s="98"/>
      <c r="WZ14" s="98"/>
      <c r="XA14" s="98"/>
      <c r="XB14" s="98"/>
      <c r="XC14" s="98"/>
      <c r="XD14" s="98"/>
      <c r="XE14" s="98"/>
      <c r="XF14" s="98"/>
      <c r="XG14" s="98"/>
      <c r="XH14" s="98"/>
      <c r="XI14" s="98"/>
      <c r="XJ14" s="98"/>
      <c r="XK14" s="98"/>
      <c r="XL14" s="98"/>
      <c r="XM14" s="98"/>
      <c r="XN14" s="98"/>
      <c r="XO14" s="98"/>
      <c r="XP14" s="98"/>
      <c r="XQ14" s="98"/>
      <c r="XR14" s="98"/>
      <c r="XS14" s="98"/>
      <c r="XT14" s="98"/>
      <c r="XU14" s="98"/>
      <c r="XV14" s="98"/>
      <c r="XW14" s="98"/>
      <c r="XX14" s="98"/>
      <c r="XY14" s="98"/>
      <c r="XZ14" s="98"/>
      <c r="YA14" s="98"/>
      <c r="YB14" s="98"/>
      <c r="YC14" s="98"/>
      <c r="YD14" s="98"/>
      <c r="YE14" s="98"/>
      <c r="YF14" s="98"/>
      <c r="YG14" s="98"/>
      <c r="YH14" s="98"/>
      <c r="YI14" s="98"/>
      <c r="YJ14" s="98"/>
      <c r="YK14" s="98"/>
      <c r="YL14" s="98"/>
      <c r="YM14" s="98"/>
      <c r="YN14" s="98"/>
      <c r="YO14" s="98"/>
      <c r="YP14" s="98"/>
      <c r="YQ14" s="98"/>
      <c r="YR14" s="98"/>
      <c r="YS14" s="98"/>
      <c r="YT14" s="98"/>
      <c r="YU14" s="98"/>
      <c r="YV14" s="98"/>
      <c r="YW14" s="98"/>
      <c r="YX14" s="98"/>
      <c r="YY14" s="98"/>
      <c r="YZ14" s="98"/>
      <c r="ZA14" s="98"/>
      <c r="ZB14" s="98"/>
      <c r="ZC14" s="98"/>
      <c r="ZD14" s="98"/>
      <c r="ZE14" s="98"/>
      <c r="ZF14" s="98"/>
      <c r="ZG14" s="98"/>
      <c r="ZH14" s="98"/>
      <c r="ZI14" s="98"/>
      <c r="ZJ14" s="98"/>
      <c r="ZK14" s="98"/>
      <c r="ZL14" s="98"/>
      <c r="ZM14" s="98"/>
      <c r="ZN14" s="98"/>
      <c r="ZO14" s="98"/>
      <c r="ZP14" s="98"/>
      <c r="ZQ14" s="98"/>
      <c r="ZR14" s="98"/>
      <c r="ZS14" s="98"/>
      <c r="ZT14" s="98"/>
      <c r="ZU14" s="98"/>
      <c r="ZV14" s="98"/>
      <c r="ZW14" s="98"/>
      <c r="ZX14" s="98"/>
      <c r="ZY14" s="98"/>
      <c r="ZZ14" s="98"/>
      <c r="AAA14" s="98"/>
      <c r="AAB14" s="98"/>
      <c r="AAC14" s="98"/>
      <c r="AAD14" s="98"/>
      <c r="AAE14" s="98"/>
      <c r="AAF14" s="98"/>
      <c r="AAG14" s="98"/>
      <c r="AAH14" s="98"/>
      <c r="AAI14" s="98"/>
      <c r="AAJ14" s="98"/>
      <c r="AAK14" s="98"/>
      <c r="AAL14" s="98"/>
      <c r="AAM14" s="98"/>
      <c r="AAN14" s="98"/>
      <c r="AAO14" s="98"/>
      <c r="AAP14" s="98"/>
      <c r="AAQ14" s="98"/>
      <c r="AAR14" s="98"/>
      <c r="AAS14" s="98"/>
      <c r="AAT14" s="98"/>
      <c r="AAU14" s="98"/>
      <c r="AAV14" s="98"/>
      <c r="AAW14" s="98"/>
      <c r="AAX14" s="98"/>
      <c r="AAY14" s="98"/>
      <c r="AAZ14" s="98"/>
      <c r="ABA14" s="98"/>
      <c r="ABB14" s="98"/>
      <c r="ABC14" s="98"/>
      <c r="ABD14" s="98"/>
      <c r="ABE14" s="98"/>
      <c r="ABF14" s="98"/>
      <c r="ABG14" s="98"/>
      <c r="ABH14" s="98"/>
      <c r="ABI14" s="98"/>
      <c r="ABJ14" s="98"/>
      <c r="ABK14" s="98"/>
      <c r="ABL14" s="98"/>
      <c r="ABM14" s="98"/>
      <c r="ABN14" s="98"/>
      <c r="ABO14" s="98"/>
      <c r="ABP14" s="98"/>
      <c r="ABQ14" s="98"/>
      <c r="ABR14" s="98"/>
      <c r="ABS14" s="98"/>
      <c r="ABT14" s="98"/>
      <c r="ABU14" s="98"/>
      <c r="ABV14" s="98"/>
      <c r="ABW14" s="98"/>
      <c r="ABX14" s="98"/>
      <c r="ABY14" s="98"/>
      <c r="ABZ14" s="98"/>
      <c r="ACA14" s="98"/>
      <c r="ACB14" s="98"/>
      <c r="ACC14" s="98"/>
      <c r="ACD14" s="98"/>
      <c r="ACE14" s="98"/>
      <c r="ACF14" s="98"/>
      <c r="ACG14" s="98"/>
      <c r="ACH14" s="98"/>
      <c r="ACI14" s="98"/>
      <c r="ACJ14" s="98"/>
      <c r="ACK14" s="98"/>
      <c r="ACL14" s="98"/>
      <c r="ACM14" s="98"/>
      <c r="ACN14" s="98"/>
      <c r="ACO14" s="98"/>
      <c r="ACP14" s="98"/>
      <c r="ACQ14" s="98"/>
      <c r="ACR14" s="98"/>
      <c r="ACS14" s="98"/>
      <c r="ACT14" s="98"/>
      <c r="ACU14" s="98"/>
      <c r="ACV14" s="98"/>
      <c r="ACW14" s="98"/>
      <c r="ACX14" s="98"/>
      <c r="ACY14" s="98"/>
      <c r="ACZ14" s="98"/>
      <c r="ADA14" s="98"/>
      <c r="ADB14" s="98"/>
      <c r="ADC14" s="98"/>
      <c r="ADD14" s="98"/>
      <c r="ADE14" s="98"/>
      <c r="ADF14" s="98"/>
      <c r="ADG14" s="98"/>
      <c r="ADH14" s="98"/>
      <c r="ADI14" s="98"/>
      <c r="ADJ14" s="98"/>
      <c r="ADK14" s="98"/>
      <c r="ADL14" s="98"/>
      <c r="ADM14" s="98"/>
      <c r="ADN14" s="98"/>
      <c r="ADO14" s="98"/>
      <c r="ADP14" s="98"/>
      <c r="ADQ14" s="98"/>
      <c r="ADR14" s="98"/>
      <c r="ADS14" s="98"/>
      <c r="ADT14" s="98"/>
      <c r="ADU14" s="98"/>
      <c r="ADV14" s="98"/>
      <c r="ADW14" s="98"/>
      <c r="ADX14" s="98"/>
      <c r="ADY14" s="98"/>
      <c r="ADZ14" s="98"/>
      <c r="AEA14" s="98"/>
      <c r="AEB14" s="98"/>
      <c r="AEC14" s="98"/>
      <c r="AED14" s="98"/>
      <c r="AEE14" s="98"/>
      <c r="AEF14" s="98"/>
      <c r="AEG14" s="98"/>
      <c r="AEH14" s="98"/>
      <c r="AEI14" s="98"/>
      <c r="AEJ14" s="98"/>
      <c r="AEK14" s="98"/>
      <c r="AEL14" s="98"/>
      <c r="AEM14" s="98"/>
      <c r="AEN14" s="98"/>
      <c r="AEO14" s="98"/>
      <c r="AEP14" s="98"/>
      <c r="AEQ14" s="98"/>
      <c r="AER14" s="98"/>
      <c r="AES14" s="98"/>
      <c r="AET14" s="98"/>
      <c r="AEU14" s="98"/>
      <c r="AEV14" s="98"/>
      <c r="AEW14" s="98"/>
      <c r="AEX14" s="98"/>
      <c r="AEY14" s="98"/>
      <c r="AEZ14" s="98"/>
      <c r="AFA14" s="98"/>
      <c r="AFB14" s="98"/>
      <c r="AFC14" s="98"/>
      <c r="AFD14" s="98"/>
      <c r="AFE14" s="98"/>
      <c r="AFF14" s="98"/>
      <c r="AFG14" s="98"/>
      <c r="AFH14" s="98"/>
      <c r="AFI14" s="98"/>
      <c r="AFJ14" s="98"/>
      <c r="AFK14" s="98"/>
      <c r="AFL14" s="98"/>
      <c r="AFM14" s="98"/>
      <c r="AFN14" s="98"/>
      <c r="AFO14" s="98"/>
      <c r="AFP14" s="98"/>
      <c r="AFQ14" s="98"/>
      <c r="AFR14" s="98"/>
      <c r="AFS14" s="98"/>
      <c r="AFT14" s="98"/>
      <c r="AFU14" s="98"/>
      <c r="AFV14" s="98"/>
      <c r="AFW14" s="98"/>
      <c r="AFX14" s="98"/>
      <c r="AFY14" s="98"/>
      <c r="AFZ14" s="98"/>
      <c r="AGA14" s="98"/>
      <c r="AGB14" s="98"/>
      <c r="AGC14" s="98"/>
      <c r="AGD14" s="98"/>
      <c r="AGE14" s="98"/>
      <c r="AGF14" s="98"/>
      <c r="AGG14" s="98"/>
      <c r="AGH14" s="98"/>
      <c r="AGI14" s="98"/>
      <c r="AGJ14" s="98"/>
      <c r="AGK14" s="98"/>
      <c r="AGL14" s="98"/>
      <c r="AGM14" s="98"/>
      <c r="AGN14" s="98"/>
      <c r="AGO14" s="98"/>
      <c r="AGP14" s="98"/>
      <c r="AGQ14" s="98"/>
      <c r="AGR14" s="98"/>
      <c r="AGS14" s="98"/>
      <c r="AGT14" s="98"/>
      <c r="AGU14" s="98"/>
      <c r="AGV14" s="98"/>
      <c r="AGW14" s="98"/>
      <c r="AGX14" s="98"/>
      <c r="AGY14" s="98"/>
      <c r="AGZ14" s="98"/>
      <c r="AHA14" s="98"/>
      <c r="AHB14" s="98"/>
      <c r="AHC14" s="98"/>
      <c r="AHD14" s="98"/>
      <c r="AHE14" s="98"/>
      <c r="AHF14" s="98"/>
      <c r="AHG14" s="98"/>
      <c r="AHH14" s="98"/>
      <c r="AHI14" s="98"/>
      <c r="AHJ14" s="98"/>
      <c r="AHK14" s="98"/>
      <c r="AHL14" s="98"/>
      <c r="AHM14" s="98"/>
      <c r="AHN14" s="98"/>
      <c r="AHO14" s="98"/>
      <c r="AHP14" s="98"/>
      <c r="AHQ14" s="98"/>
      <c r="AHR14" s="98"/>
      <c r="AHS14" s="98"/>
      <c r="AHT14" s="98"/>
      <c r="AHU14" s="98"/>
      <c r="AHV14" s="98"/>
      <c r="AHW14" s="98"/>
      <c r="AHX14" s="98"/>
      <c r="AHY14" s="98"/>
      <c r="AHZ14" s="98"/>
      <c r="AIA14" s="98"/>
      <c r="AIB14" s="98"/>
      <c r="AIC14" s="98"/>
      <c r="AID14" s="98"/>
      <c r="AIE14" s="98"/>
      <c r="AIF14" s="98"/>
      <c r="AIG14" s="98"/>
      <c r="AIH14" s="98"/>
      <c r="AII14" s="98"/>
      <c r="AIJ14" s="98"/>
      <c r="AIK14" s="98"/>
      <c r="AIL14" s="98"/>
      <c r="AIM14" s="98"/>
      <c r="AIN14" s="98"/>
      <c r="AIO14" s="98"/>
      <c r="AIP14" s="98"/>
      <c r="AIQ14" s="98"/>
      <c r="AIR14" s="98"/>
      <c r="AIS14" s="98"/>
      <c r="AIT14" s="98"/>
      <c r="AIU14" s="98"/>
      <c r="AIV14" s="98"/>
      <c r="AIW14" s="98"/>
      <c r="AIX14" s="98"/>
      <c r="AIY14" s="98"/>
      <c r="AIZ14" s="98"/>
      <c r="AJA14" s="98"/>
      <c r="AJB14" s="98"/>
      <c r="AJC14" s="98"/>
      <c r="AJD14" s="98"/>
      <c r="AJE14" s="98"/>
      <c r="AJF14" s="98"/>
      <c r="AJG14" s="98"/>
      <c r="AJH14" s="98"/>
      <c r="AJI14" s="98"/>
      <c r="AJJ14" s="98"/>
      <c r="AJK14" s="98"/>
      <c r="AJL14" s="98"/>
      <c r="AJM14" s="98"/>
      <c r="AJN14" s="98"/>
      <c r="AJO14" s="98"/>
      <c r="AJP14" s="98"/>
      <c r="AJQ14" s="98"/>
      <c r="AJR14" s="98"/>
      <c r="AJS14" s="98"/>
      <c r="AJT14" s="98"/>
      <c r="AJU14" s="98"/>
      <c r="AJV14" s="98"/>
      <c r="AJW14" s="98"/>
      <c r="AJX14" s="98"/>
      <c r="AJY14" s="98"/>
      <c r="AJZ14" s="98"/>
      <c r="AKA14" s="98"/>
      <c r="AKB14" s="98"/>
      <c r="AKC14" s="98"/>
      <c r="AKD14" s="98"/>
      <c r="AKE14" s="98"/>
      <c r="AKF14" s="98"/>
      <c r="AKG14" s="98"/>
      <c r="AKH14" s="98"/>
      <c r="AKI14" s="98"/>
      <c r="AKJ14" s="98"/>
      <c r="AKK14" s="98"/>
      <c r="AKL14" s="98"/>
      <c r="AKM14" s="98"/>
      <c r="AKN14" s="98"/>
      <c r="AKO14" s="98"/>
      <c r="AKP14" s="98"/>
      <c r="AKQ14" s="98"/>
      <c r="AKR14" s="98"/>
      <c r="AKS14" s="98"/>
      <c r="AKT14" s="98"/>
      <c r="AKU14" s="98"/>
      <c r="AKV14" s="98"/>
      <c r="AKW14" s="98"/>
      <c r="AKX14" s="98"/>
      <c r="AKY14" s="98"/>
      <c r="AKZ14" s="98"/>
      <c r="ALA14" s="98"/>
      <c r="ALB14" s="98"/>
      <c r="ALC14" s="98"/>
      <c r="ALD14" s="98"/>
      <c r="ALE14" s="98"/>
      <c r="ALF14" s="98"/>
      <c r="ALG14" s="98"/>
      <c r="ALH14" s="98"/>
      <c r="ALI14" s="98"/>
      <c r="ALJ14" s="98"/>
      <c r="ALK14" s="98"/>
      <c r="ALL14" s="98"/>
      <c r="ALM14" s="98"/>
      <c r="ALN14" s="98"/>
      <c r="ALO14" s="98"/>
      <c r="ALP14" s="98"/>
      <c r="ALQ14" s="98"/>
      <c r="ALR14" s="98"/>
      <c r="ALS14" s="98"/>
      <c r="ALT14" s="98"/>
      <c r="ALU14" s="98"/>
      <c r="ALV14" s="98"/>
      <c r="ALW14" s="98"/>
      <c r="ALX14" s="98"/>
      <c r="ALY14" s="98"/>
      <c r="ALZ14" s="98"/>
      <c r="AMA14" s="98"/>
      <c r="AMB14" s="98"/>
      <c r="AMC14" s="98"/>
      <c r="AMD14" s="98"/>
      <c r="AME14" s="98"/>
      <c r="AMF14" s="98"/>
      <c r="AMG14" s="98"/>
      <c r="AMH14" s="98"/>
      <c r="AMI14" s="98"/>
      <c r="AMJ14" s="98"/>
      <c r="AMK14" s="98"/>
      <c r="AML14" s="98"/>
      <c r="AMM14" s="98"/>
      <c r="AMN14" s="98"/>
      <c r="AMO14" s="98"/>
      <c r="AMP14" s="98"/>
      <c r="AMQ14" s="98"/>
      <c r="AMR14" s="98"/>
      <c r="AMS14" s="98"/>
      <c r="AMT14" s="98"/>
      <c r="AMU14" s="98"/>
      <c r="AMV14" s="98"/>
      <c r="AMW14" s="98"/>
      <c r="AMX14" s="98"/>
      <c r="AMY14" s="98"/>
      <c r="AMZ14" s="98"/>
      <c r="ANA14" s="98"/>
      <c r="ANB14" s="98"/>
      <c r="ANC14" s="98"/>
      <c r="AND14" s="98"/>
      <c r="ANE14" s="98"/>
      <c r="ANF14" s="98"/>
      <c r="ANG14" s="98"/>
      <c r="ANH14" s="98"/>
      <c r="ANI14" s="98"/>
      <c r="ANJ14" s="98"/>
      <c r="ANK14" s="98"/>
      <c r="ANL14" s="98"/>
      <c r="ANM14" s="98"/>
      <c r="ANN14" s="98"/>
      <c r="ANO14" s="98"/>
      <c r="ANP14" s="98"/>
      <c r="ANQ14" s="98"/>
      <c r="ANR14" s="98"/>
      <c r="ANS14" s="98"/>
      <c r="ANT14" s="98"/>
      <c r="ANU14" s="98"/>
      <c r="ANV14" s="98"/>
      <c r="ANW14" s="98"/>
      <c r="ANX14" s="98"/>
      <c r="ANY14" s="98"/>
      <c r="ANZ14" s="98"/>
      <c r="AOA14" s="98"/>
      <c r="AOB14" s="98"/>
      <c r="AOC14" s="98"/>
      <c r="AOD14" s="98"/>
      <c r="AOE14" s="98"/>
      <c r="AOF14" s="98"/>
      <c r="AOG14" s="98"/>
      <c r="AOH14" s="98"/>
      <c r="AOI14" s="98"/>
      <c r="AOJ14" s="98"/>
      <c r="AOK14" s="98"/>
      <c r="AOL14" s="98"/>
      <c r="AOM14" s="98"/>
      <c r="AON14" s="98"/>
      <c r="AOO14" s="98"/>
      <c r="AOP14" s="98"/>
      <c r="AOQ14" s="98"/>
      <c r="AOR14" s="98"/>
      <c r="AOS14" s="98"/>
      <c r="AOT14" s="98"/>
      <c r="AOU14" s="98"/>
      <c r="AOV14" s="98"/>
      <c r="AOW14" s="98"/>
      <c r="AOX14" s="98"/>
      <c r="AOY14" s="98"/>
      <c r="AOZ14" s="98"/>
      <c r="APA14" s="98"/>
      <c r="APB14" s="98"/>
      <c r="APC14" s="98"/>
      <c r="APD14" s="98"/>
      <c r="APE14" s="98"/>
      <c r="APF14" s="98"/>
      <c r="APG14" s="98"/>
      <c r="APH14" s="98"/>
      <c r="API14" s="98"/>
      <c r="APJ14" s="98"/>
      <c r="APK14" s="98"/>
      <c r="APL14" s="98"/>
      <c r="APM14" s="98"/>
      <c r="APN14" s="98"/>
      <c r="APO14" s="98"/>
      <c r="APP14" s="98"/>
      <c r="APQ14" s="98"/>
      <c r="APR14" s="98"/>
      <c r="APS14" s="98"/>
      <c r="APT14" s="98"/>
      <c r="APU14" s="98"/>
      <c r="APV14" s="98"/>
      <c r="APW14" s="98"/>
      <c r="APX14" s="98"/>
      <c r="APY14" s="98"/>
      <c r="APZ14" s="98"/>
      <c r="AQA14" s="98"/>
      <c r="AQB14" s="98"/>
      <c r="AQC14" s="98"/>
      <c r="AQD14" s="98"/>
      <c r="AQE14" s="98"/>
      <c r="AQF14" s="98"/>
      <c r="AQG14" s="98"/>
      <c r="AQH14" s="98"/>
      <c r="AQI14" s="98"/>
      <c r="AQJ14" s="98"/>
      <c r="AQK14" s="98"/>
      <c r="AQL14" s="98"/>
      <c r="AQM14" s="98"/>
      <c r="AQN14" s="98"/>
      <c r="AQO14" s="98"/>
      <c r="AQP14" s="98"/>
      <c r="AQQ14" s="98"/>
      <c r="AQR14" s="98"/>
      <c r="AQS14" s="98"/>
      <c r="AQT14" s="98"/>
      <c r="AQU14" s="98"/>
      <c r="AQV14" s="98"/>
      <c r="AQW14" s="98"/>
      <c r="AQX14" s="98"/>
      <c r="AQY14" s="98"/>
      <c r="AQZ14" s="98"/>
      <c r="ARA14" s="98"/>
      <c r="ARB14" s="98"/>
      <c r="ARC14" s="98"/>
      <c r="ARD14" s="98"/>
      <c r="ARE14" s="98"/>
      <c r="ARF14" s="98"/>
      <c r="ARG14" s="98"/>
      <c r="ARH14" s="98"/>
      <c r="ARI14" s="98"/>
      <c r="ARJ14" s="98"/>
      <c r="ARK14" s="98"/>
      <c r="ARL14" s="98"/>
      <c r="ARM14" s="98"/>
      <c r="ARN14" s="98"/>
      <c r="ARO14" s="98"/>
      <c r="ARP14" s="98"/>
      <c r="ARQ14" s="98"/>
      <c r="ARR14" s="98"/>
      <c r="ARS14" s="98"/>
      <c r="ART14" s="98"/>
      <c r="ARU14" s="98"/>
      <c r="ARV14" s="98"/>
      <c r="ARW14" s="98"/>
      <c r="ARX14" s="98"/>
      <c r="ARY14" s="98"/>
      <c r="ARZ14" s="98"/>
      <c r="ASA14" s="98"/>
      <c r="ASB14" s="98"/>
      <c r="ASC14" s="98"/>
      <c r="ASD14" s="98"/>
      <c r="ASE14" s="98"/>
      <c r="ASF14" s="98"/>
      <c r="ASG14" s="98"/>
      <c r="ASH14" s="98"/>
      <c r="ASI14" s="98"/>
      <c r="ASJ14" s="98"/>
      <c r="ASK14" s="98"/>
      <c r="ASL14" s="98"/>
      <c r="ASM14" s="98"/>
      <c r="ASN14" s="98"/>
      <c r="ASO14" s="98"/>
      <c r="ASP14" s="98"/>
      <c r="ASQ14" s="98"/>
      <c r="ASR14" s="98"/>
      <c r="ASS14" s="98"/>
      <c r="AST14" s="98"/>
      <c r="ASU14" s="98"/>
      <c r="ASV14" s="98"/>
      <c r="ASW14" s="98"/>
      <c r="ASX14" s="98"/>
      <c r="ASY14" s="98"/>
      <c r="ASZ14" s="98"/>
      <c r="ATA14" s="98"/>
      <c r="ATB14" s="98"/>
      <c r="ATC14" s="98"/>
      <c r="ATD14" s="98"/>
      <c r="ATE14" s="98"/>
      <c r="ATF14" s="98"/>
      <c r="ATG14" s="98"/>
      <c r="ATH14" s="98"/>
      <c r="ATI14" s="98"/>
      <c r="ATJ14" s="98"/>
      <c r="ATK14" s="98"/>
      <c r="ATL14" s="98"/>
      <c r="ATM14" s="98"/>
      <c r="ATN14" s="98"/>
      <c r="ATO14" s="98"/>
      <c r="ATP14" s="98"/>
      <c r="ATQ14" s="98"/>
      <c r="ATR14" s="98"/>
      <c r="ATS14" s="98"/>
      <c r="ATT14" s="98"/>
      <c r="ATU14" s="98"/>
      <c r="ATV14" s="98"/>
      <c r="ATW14" s="98"/>
      <c r="ATX14" s="98"/>
      <c r="ATY14" s="98"/>
      <c r="ATZ14" s="98"/>
      <c r="AUA14" s="98"/>
      <c r="AUB14" s="98"/>
      <c r="AUC14" s="98"/>
      <c r="AUD14" s="98"/>
      <c r="AUE14" s="98"/>
      <c r="AUF14" s="98"/>
      <c r="AUG14" s="98"/>
      <c r="AUH14" s="98"/>
      <c r="AUI14" s="98"/>
      <c r="AUJ14" s="98"/>
      <c r="AUK14" s="98"/>
      <c r="AUL14" s="98"/>
      <c r="AUM14" s="98"/>
      <c r="AUN14" s="98"/>
      <c r="AUO14" s="98"/>
      <c r="AUP14" s="98"/>
      <c r="AUQ14" s="98"/>
      <c r="AUR14" s="98"/>
      <c r="AUS14" s="98"/>
      <c r="AUT14" s="98"/>
      <c r="AUU14" s="98"/>
      <c r="AUV14" s="98"/>
      <c r="AUW14" s="98"/>
      <c r="AUX14" s="98"/>
      <c r="AUY14" s="98"/>
      <c r="AUZ14" s="98"/>
      <c r="AVA14" s="98"/>
      <c r="AVB14" s="98"/>
      <c r="AVC14" s="98"/>
      <c r="AVD14" s="98"/>
      <c r="AVE14" s="98"/>
      <c r="AVF14" s="98"/>
      <c r="AVG14" s="98"/>
      <c r="AVH14" s="98"/>
      <c r="AVI14" s="98"/>
      <c r="AVJ14" s="98"/>
      <c r="AVK14" s="98"/>
      <c r="AVL14" s="98"/>
      <c r="AVM14" s="98"/>
      <c r="AVN14" s="98"/>
      <c r="AVO14" s="98"/>
      <c r="AVP14" s="98"/>
      <c r="AVQ14" s="98"/>
      <c r="AVR14" s="98"/>
      <c r="AVS14" s="98"/>
      <c r="AVT14" s="98"/>
      <c r="AVU14" s="98"/>
      <c r="AVV14" s="98"/>
      <c r="AVW14" s="98"/>
      <c r="AVX14" s="98"/>
      <c r="AVY14" s="98"/>
      <c r="AVZ14" s="98"/>
      <c r="AWA14" s="98"/>
      <c r="AWB14" s="98"/>
      <c r="AWC14" s="98"/>
      <c r="AWD14" s="98"/>
      <c r="AWE14" s="98"/>
      <c r="AWF14" s="98"/>
      <c r="AWG14" s="98"/>
      <c r="AWH14" s="98"/>
      <c r="AWI14" s="98"/>
      <c r="AWJ14" s="98"/>
      <c r="AWK14" s="98"/>
      <c r="AWL14" s="98"/>
      <c r="AWM14" s="98"/>
      <c r="AWN14" s="98"/>
      <c r="AWO14" s="98"/>
      <c r="AWP14" s="98"/>
      <c r="AWQ14" s="98"/>
      <c r="AWR14" s="98"/>
      <c r="AWS14" s="98"/>
      <c r="AWT14" s="98"/>
      <c r="AWU14" s="98"/>
      <c r="AWV14" s="98"/>
      <c r="AWW14" s="98"/>
      <c r="AWX14" s="98"/>
      <c r="AWY14" s="98"/>
      <c r="AWZ14" s="98"/>
      <c r="AXA14" s="98"/>
      <c r="AXB14" s="98"/>
      <c r="AXC14" s="98"/>
      <c r="AXD14" s="98"/>
      <c r="AXE14" s="98"/>
      <c r="AXF14" s="98"/>
      <c r="AXG14" s="98"/>
      <c r="AXH14" s="98"/>
      <c r="AXI14" s="98"/>
      <c r="AXJ14" s="98"/>
      <c r="AXK14" s="98"/>
      <c r="AXL14" s="98"/>
      <c r="AXM14" s="98"/>
      <c r="AXN14" s="98"/>
      <c r="AXO14" s="98"/>
      <c r="AXP14" s="98"/>
      <c r="AXQ14" s="98"/>
      <c r="AXR14" s="98"/>
      <c r="AXS14" s="98"/>
      <c r="AXT14" s="98"/>
      <c r="AXU14" s="98"/>
      <c r="AXV14" s="98"/>
      <c r="AXW14" s="98"/>
      <c r="AXX14" s="98"/>
      <c r="AXY14" s="98"/>
      <c r="AXZ14" s="98"/>
      <c r="AYA14" s="98"/>
      <c r="AYB14" s="98"/>
      <c r="AYC14" s="98"/>
      <c r="AYD14" s="98"/>
      <c r="AYE14" s="98"/>
      <c r="AYF14" s="98"/>
      <c r="AYG14" s="98"/>
      <c r="AYH14" s="98"/>
      <c r="AYI14" s="98"/>
      <c r="AYJ14" s="98"/>
      <c r="AYK14" s="98"/>
      <c r="AYL14" s="98"/>
      <c r="AYM14" s="98"/>
      <c r="AYN14" s="98"/>
      <c r="AYO14" s="98"/>
      <c r="AYP14" s="98"/>
      <c r="AYQ14" s="98"/>
      <c r="AYR14" s="98"/>
      <c r="AYS14" s="98"/>
      <c r="AYT14" s="98"/>
      <c r="AYU14" s="98"/>
      <c r="AYV14" s="98"/>
      <c r="AYW14" s="98"/>
      <c r="AYX14" s="98"/>
      <c r="AYY14" s="98"/>
      <c r="AYZ14" s="98"/>
      <c r="AZA14" s="98"/>
      <c r="AZB14" s="98"/>
      <c r="AZC14" s="98"/>
      <c r="AZD14" s="98"/>
      <c r="AZE14" s="98"/>
      <c r="AZF14" s="98"/>
      <c r="AZG14" s="98"/>
      <c r="AZH14" s="98"/>
      <c r="AZI14" s="98"/>
      <c r="AZJ14" s="98"/>
      <c r="AZK14" s="98"/>
      <c r="AZL14" s="98"/>
      <c r="AZM14" s="98"/>
      <c r="AZN14" s="98"/>
      <c r="AZO14" s="98"/>
      <c r="AZP14" s="98"/>
      <c r="AZQ14" s="98"/>
      <c r="AZR14" s="98"/>
      <c r="AZS14" s="98"/>
      <c r="AZT14" s="98"/>
      <c r="AZU14" s="98"/>
      <c r="AZV14" s="98"/>
      <c r="AZW14" s="98"/>
      <c r="AZX14" s="98"/>
      <c r="AZY14" s="98"/>
      <c r="AZZ14" s="98"/>
      <c r="BAA14" s="98"/>
      <c r="BAB14" s="98"/>
      <c r="BAC14" s="98"/>
      <c r="BAD14" s="98"/>
      <c r="BAE14" s="98"/>
      <c r="BAF14" s="98"/>
      <c r="BAG14" s="98"/>
      <c r="BAH14" s="98"/>
      <c r="BAI14" s="98"/>
      <c r="BAJ14" s="98"/>
      <c r="BAK14" s="98"/>
      <c r="BAL14" s="98"/>
      <c r="BAM14" s="98"/>
      <c r="BAN14" s="98"/>
      <c r="BAO14" s="98"/>
      <c r="BAP14" s="98"/>
      <c r="BAQ14" s="98"/>
      <c r="BAR14" s="98"/>
      <c r="BAS14" s="98"/>
      <c r="BAT14" s="98"/>
      <c r="BAU14" s="98"/>
      <c r="BAV14" s="98"/>
      <c r="BAW14" s="98"/>
      <c r="BAX14" s="98"/>
      <c r="BAY14" s="98"/>
      <c r="BAZ14" s="98"/>
      <c r="BBA14" s="98"/>
      <c r="BBB14" s="98"/>
      <c r="BBC14" s="98"/>
      <c r="BBD14" s="98"/>
      <c r="BBE14" s="98"/>
      <c r="BBF14" s="98"/>
      <c r="BBG14" s="98"/>
      <c r="BBH14" s="98"/>
      <c r="BBI14" s="98"/>
      <c r="BBJ14" s="98"/>
      <c r="BBK14" s="98"/>
      <c r="BBL14" s="98"/>
      <c r="BBM14" s="98"/>
      <c r="BBN14" s="98"/>
      <c r="BBO14" s="98"/>
      <c r="BBP14" s="98"/>
      <c r="BBQ14" s="98"/>
      <c r="BBR14" s="98"/>
      <c r="BBS14" s="98"/>
      <c r="BBT14" s="98"/>
      <c r="BBU14" s="98"/>
      <c r="BBV14" s="98"/>
      <c r="BBW14" s="98"/>
      <c r="BBX14" s="98"/>
      <c r="BBY14" s="98"/>
      <c r="BBZ14" s="98"/>
      <c r="BCA14" s="98"/>
      <c r="BCB14" s="98"/>
      <c r="BCC14" s="98"/>
      <c r="BCD14" s="98"/>
      <c r="BCE14" s="98"/>
      <c r="BCF14" s="98"/>
      <c r="BCG14" s="98"/>
      <c r="BCH14" s="98"/>
      <c r="BCI14" s="98"/>
      <c r="BCJ14" s="98"/>
      <c r="BCK14" s="98"/>
      <c r="BCL14" s="98"/>
      <c r="BCM14" s="98"/>
      <c r="BCN14" s="98"/>
      <c r="BCO14" s="98"/>
      <c r="BCP14" s="98"/>
      <c r="BCQ14" s="98"/>
      <c r="BCR14" s="98"/>
      <c r="BCS14" s="98"/>
      <c r="BCT14" s="98"/>
      <c r="BCU14" s="98"/>
      <c r="BCV14" s="98"/>
      <c r="BCW14" s="98"/>
      <c r="BCX14" s="98"/>
      <c r="BCY14" s="98"/>
      <c r="BCZ14" s="98"/>
      <c r="BDA14" s="98"/>
      <c r="BDB14" s="98"/>
      <c r="BDC14" s="98"/>
      <c r="BDD14" s="98"/>
      <c r="BDE14" s="98"/>
      <c r="BDF14" s="98"/>
      <c r="BDG14" s="98"/>
      <c r="BDH14" s="98"/>
      <c r="BDI14" s="98"/>
      <c r="BDJ14" s="98"/>
      <c r="BDK14" s="98"/>
      <c r="BDL14" s="98"/>
      <c r="BDM14" s="98"/>
      <c r="BDN14" s="98"/>
      <c r="BDO14" s="98"/>
      <c r="BDP14" s="98"/>
      <c r="BDQ14" s="98"/>
      <c r="BDR14" s="98"/>
      <c r="BDS14" s="98"/>
      <c r="BDT14" s="98"/>
      <c r="BDU14" s="98"/>
      <c r="BDV14" s="98"/>
      <c r="BDW14" s="98"/>
      <c r="BDX14" s="98"/>
      <c r="BDY14" s="98"/>
      <c r="BDZ14" s="98"/>
      <c r="BEA14" s="98"/>
      <c r="BEB14" s="98"/>
      <c r="BEC14" s="98"/>
      <c r="BED14" s="98"/>
      <c r="BEE14" s="98"/>
      <c r="BEF14" s="98"/>
      <c r="BEG14" s="98"/>
      <c r="BEH14" s="98"/>
      <c r="BEI14" s="98"/>
      <c r="BEJ14" s="98"/>
      <c r="BEK14" s="98"/>
      <c r="BEL14" s="98"/>
      <c r="BEM14" s="98"/>
      <c r="BEN14" s="98"/>
      <c r="BEO14" s="98"/>
      <c r="BEP14" s="98"/>
      <c r="BEQ14" s="98"/>
      <c r="BER14" s="98"/>
      <c r="BES14" s="98"/>
      <c r="BET14" s="98"/>
      <c r="BEU14" s="98"/>
      <c r="BEV14" s="98"/>
      <c r="BEW14" s="98"/>
      <c r="BEX14" s="98"/>
      <c r="BEY14" s="98"/>
      <c r="BEZ14" s="98"/>
      <c r="BFA14" s="98"/>
      <c r="BFB14" s="98"/>
      <c r="BFC14" s="98"/>
      <c r="BFD14" s="98"/>
      <c r="BFE14" s="98"/>
      <c r="BFF14" s="98"/>
      <c r="BFG14" s="98"/>
      <c r="BFH14" s="98"/>
      <c r="BFI14" s="98"/>
      <c r="BFJ14" s="98"/>
      <c r="BFK14" s="98"/>
      <c r="BFL14" s="98"/>
      <c r="BFM14" s="98"/>
      <c r="BFN14" s="98"/>
      <c r="BFO14" s="98"/>
      <c r="BFP14" s="98"/>
      <c r="BFQ14" s="98"/>
      <c r="BFR14" s="98"/>
      <c r="BFS14" s="98"/>
      <c r="BFT14" s="98"/>
      <c r="BFU14" s="98"/>
      <c r="BFV14" s="98"/>
      <c r="BFW14" s="98"/>
      <c r="BFX14" s="98"/>
      <c r="BFY14" s="98"/>
      <c r="BFZ14" s="98"/>
      <c r="BGA14" s="98"/>
      <c r="BGB14" s="98"/>
      <c r="BGC14" s="98"/>
      <c r="BGD14" s="98"/>
      <c r="BGE14" s="98"/>
      <c r="BGF14" s="98"/>
      <c r="BGG14" s="98"/>
      <c r="BGH14" s="98"/>
      <c r="BGI14" s="98"/>
      <c r="BGJ14" s="98"/>
      <c r="BGK14" s="98"/>
      <c r="BGL14" s="98"/>
      <c r="BGM14" s="98"/>
      <c r="BGN14" s="98"/>
      <c r="BGO14" s="98"/>
      <c r="BGP14" s="98"/>
      <c r="BGQ14" s="98"/>
      <c r="BGR14" s="98"/>
      <c r="BGS14" s="98"/>
      <c r="BGT14" s="98"/>
      <c r="BGU14" s="98"/>
      <c r="BGV14" s="98"/>
      <c r="BGW14" s="98"/>
      <c r="BGX14" s="98"/>
      <c r="BGY14" s="98"/>
      <c r="BGZ14" s="98"/>
      <c r="BHA14" s="98"/>
      <c r="BHB14" s="98"/>
      <c r="BHC14" s="98"/>
      <c r="BHD14" s="98"/>
      <c r="BHE14" s="98"/>
      <c r="BHF14" s="98"/>
      <c r="BHG14" s="98"/>
      <c r="BHH14" s="98"/>
      <c r="BHI14" s="98"/>
      <c r="BHJ14" s="98"/>
      <c r="BHK14" s="98"/>
      <c r="BHL14" s="98"/>
      <c r="BHM14" s="98"/>
      <c r="BHN14" s="98"/>
      <c r="BHO14" s="98"/>
      <c r="BHP14" s="98"/>
      <c r="BHQ14" s="98"/>
      <c r="BHR14" s="98"/>
      <c r="BHS14" s="98"/>
      <c r="BHT14" s="98"/>
      <c r="BHU14" s="98"/>
      <c r="BHV14" s="98"/>
      <c r="BHW14" s="98"/>
      <c r="BHX14" s="98"/>
      <c r="BHY14" s="98"/>
      <c r="BHZ14" s="98"/>
      <c r="BIA14" s="98"/>
      <c r="BIB14" s="98"/>
      <c r="BIC14" s="98"/>
      <c r="BID14" s="98"/>
      <c r="BIE14" s="98"/>
      <c r="BIF14" s="98"/>
      <c r="BIG14" s="98"/>
      <c r="BIH14" s="98"/>
      <c r="BII14" s="98"/>
      <c r="BIJ14" s="98"/>
      <c r="BIK14" s="98"/>
      <c r="BIL14" s="98"/>
      <c r="BIM14" s="98"/>
      <c r="BIN14" s="98"/>
      <c r="BIO14" s="98"/>
      <c r="BIP14" s="98"/>
      <c r="BIQ14" s="98"/>
      <c r="BIR14" s="98"/>
      <c r="BIS14" s="98"/>
      <c r="BIT14" s="98"/>
      <c r="BIU14" s="98"/>
      <c r="BIV14" s="98"/>
      <c r="BIW14" s="98"/>
      <c r="BIX14" s="98"/>
      <c r="BIY14" s="98"/>
      <c r="BIZ14" s="98"/>
      <c r="BJA14" s="98"/>
      <c r="BJB14" s="98"/>
      <c r="BJC14" s="98"/>
      <c r="BJD14" s="98"/>
      <c r="BJE14" s="98"/>
      <c r="BJF14" s="98"/>
      <c r="BJG14" s="98"/>
      <c r="BJH14" s="98"/>
      <c r="BJI14" s="98"/>
      <c r="BJJ14" s="98"/>
      <c r="BJK14" s="98"/>
      <c r="BJL14" s="98"/>
      <c r="BJM14" s="98"/>
      <c r="BJN14" s="98"/>
      <c r="BJO14" s="98"/>
      <c r="BJP14" s="98"/>
      <c r="BJQ14" s="98"/>
      <c r="BJR14" s="98"/>
      <c r="BJS14" s="98"/>
      <c r="BJT14" s="98"/>
      <c r="BJU14" s="98"/>
      <c r="BJV14" s="98"/>
      <c r="BJW14" s="98"/>
      <c r="BJX14" s="98"/>
      <c r="BJY14" s="98"/>
      <c r="BJZ14" s="98"/>
      <c r="BKA14" s="98"/>
      <c r="BKB14" s="98"/>
      <c r="BKC14" s="98"/>
      <c r="BKD14" s="98"/>
      <c r="BKE14" s="98"/>
      <c r="BKF14" s="98"/>
      <c r="BKG14" s="98"/>
      <c r="BKH14" s="98"/>
      <c r="BKI14" s="98"/>
      <c r="BKJ14" s="98"/>
      <c r="BKK14" s="98"/>
      <c r="BKL14" s="98"/>
      <c r="BKM14" s="98"/>
      <c r="BKN14" s="98"/>
      <c r="BKO14" s="98"/>
      <c r="BKP14" s="98"/>
      <c r="BKQ14" s="98"/>
      <c r="BKR14" s="98"/>
      <c r="BKS14" s="98"/>
      <c r="BKT14" s="98"/>
      <c r="BKU14" s="98"/>
      <c r="BKV14" s="98"/>
      <c r="BKW14" s="98"/>
      <c r="BKX14" s="98"/>
      <c r="BKY14" s="98"/>
      <c r="BKZ14" s="98"/>
      <c r="BLA14" s="98"/>
      <c r="BLB14" s="98"/>
      <c r="BLC14" s="98"/>
      <c r="BLD14" s="98"/>
      <c r="BLE14" s="98"/>
      <c r="BLF14" s="98"/>
      <c r="BLG14" s="98"/>
      <c r="BLH14" s="98"/>
      <c r="BLI14" s="98"/>
      <c r="BLJ14" s="98"/>
      <c r="BLK14" s="98"/>
      <c r="BLL14" s="98"/>
      <c r="BLM14" s="98"/>
      <c r="BLN14" s="98"/>
      <c r="BLO14" s="98"/>
      <c r="BLP14" s="98"/>
      <c r="BLQ14" s="98"/>
      <c r="BLR14" s="98"/>
      <c r="BLS14" s="98"/>
      <c r="BLT14" s="98"/>
      <c r="BLU14" s="98"/>
      <c r="BLV14" s="98"/>
      <c r="BLW14" s="98"/>
      <c r="BLX14" s="98"/>
      <c r="BLY14" s="98"/>
      <c r="BLZ14" s="98"/>
      <c r="BMA14" s="98"/>
      <c r="BMB14" s="98"/>
      <c r="BMC14" s="98"/>
      <c r="BMD14" s="98"/>
      <c r="BME14" s="98"/>
      <c r="BMF14" s="98"/>
      <c r="BMG14" s="98"/>
      <c r="BMH14" s="98"/>
      <c r="BMI14" s="98"/>
      <c r="BMJ14" s="98"/>
      <c r="BMK14" s="98"/>
      <c r="BML14" s="98"/>
      <c r="BMM14" s="98"/>
      <c r="BMN14" s="98"/>
      <c r="BMO14" s="98"/>
      <c r="BMP14" s="98"/>
      <c r="BMQ14" s="98"/>
      <c r="BMR14" s="98"/>
      <c r="BMS14" s="98"/>
      <c r="BMT14" s="98"/>
      <c r="BMU14" s="98"/>
      <c r="BMV14" s="98"/>
      <c r="BMW14" s="98"/>
      <c r="BMX14" s="98"/>
      <c r="BMY14" s="98"/>
      <c r="BMZ14" s="98"/>
      <c r="BNA14" s="98"/>
      <c r="BNB14" s="98"/>
      <c r="BNC14" s="98"/>
      <c r="BND14" s="98"/>
      <c r="BNE14" s="98"/>
      <c r="BNF14" s="98"/>
      <c r="BNG14" s="98"/>
      <c r="BNH14" s="98"/>
      <c r="BNI14" s="98"/>
      <c r="BNJ14" s="98"/>
      <c r="BNK14" s="98"/>
      <c r="BNL14" s="98"/>
      <c r="BNM14" s="98"/>
      <c r="BNN14" s="98"/>
      <c r="BNO14" s="98"/>
      <c r="BNP14" s="98"/>
      <c r="BNQ14" s="98"/>
      <c r="BNR14" s="98"/>
      <c r="BNS14" s="98"/>
      <c r="BNT14" s="98"/>
      <c r="BNU14" s="98"/>
      <c r="BNV14" s="98"/>
      <c r="BNW14" s="98"/>
      <c r="BNX14" s="98"/>
      <c r="BNY14" s="98"/>
      <c r="BNZ14" s="98"/>
      <c r="BOA14" s="98"/>
      <c r="BOB14" s="98"/>
      <c r="BOC14" s="98"/>
      <c r="BOD14" s="98"/>
      <c r="BOE14" s="98"/>
      <c r="BOF14" s="98"/>
      <c r="BOG14" s="98"/>
      <c r="BOH14" s="98"/>
      <c r="BOI14" s="98"/>
      <c r="BOJ14" s="98"/>
      <c r="BOK14" s="98"/>
      <c r="BOL14" s="98"/>
      <c r="BOM14" s="98"/>
      <c r="BON14" s="98"/>
      <c r="BOO14" s="98"/>
      <c r="BOP14" s="98"/>
      <c r="BOQ14" s="98"/>
      <c r="BOR14" s="98"/>
      <c r="BOS14" s="98"/>
      <c r="BOT14" s="98"/>
      <c r="BOU14" s="98"/>
      <c r="BOV14" s="98"/>
      <c r="BOW14" s="98"/>
      <c r="BOX14" s="98"/>
      <c r="BOY14" s="98"/>
      <c r="BOZ14" s="98"/>
      <c r="BPA14" s="98"/>
      <c r="BPB14" s="98"/>
      <c r="BPC14" s="98"/>
      <c r="BPD14" s="98"/>
      <c r="BPE14" s="98"/>
      <c r="BPF14" s="98"/>
      <c r="BPG14" s="98"/>
      <c r="BPH14" s="98"/>
      <c r="BPI14" s="98"/>
      <c r="BPJ14" s="98"/>
      <c r="BPK14" s="98"/>
      <c r="BPL14" s="98"/>
      <c r="BPM14" s="98"/>
      <c r="BPN14" s="98"/>
      <c r="BPO14" s="98"/>
      <c r="BPP14" s="98"/>
      <c r="BPQ14" s="98"/>
      <c r="BPR14" s="98"/>
      <c r="BPS14" s="98"/>
      <c r="BPT14" s="98"/>
      <c r="BPU14" s="98"/>
      <c r="BPV14" s="98"/>
      <c r="BPW14" s="98"/>
      <c r="BPX14" s="98"/>
      <c r="BPY14" s="98"/>
      <c r="BPZ14" s="98"/>
      <c r="BQA14" s="98"/>
      <c r="BQB14" s="98"/>
      <c r="BQC14" s="98"/>
      <c r="BQD14" s="98"/>
      <c r="BQE14" s="98"/>
      <c r="BQF14" s="98"/>
      <c r="BQG14" s="98"/>
      <c r="BQH14" s="98"/>
      <c r="BQI14" s="98"/>
      <c r="BQJ14" s="98"/>
      <c r="BQK14" s="98"/>
      <c r="BQL14" s="98"/>
      <c r="BQM14" s="98"/>
      <c r="BQN14" s="98"/>
      <c r="BQO14" s="98"/>
      <c r="BQP14" s="98"/>
      <c r="BQQ14" s="98"/>
      <c r="BQR14" s="98"/>
      <c r="BQS14" s="98"/>
      <c r="BQT14" s="98"/>
      <c r="BQU14" s="98"/>
      <c r="BQV14" s="98"/>
      <c r="BQW14" s="98"/>
      <c r="BQX14" s="98"/>
      <c r="BQY14" s="98"/>
      <c r="BQZ14" s="98"/>
      <c r="BRA14" s="98"/>
      <c r="BRB14" s="98"/>
      <c r="BRC14" s="98"/>
      <c r="BRD14" s="98"/>
      <c r="BRE14" s="98"/>
      <c r="BRF14" s="98"/>
      <c r="BRG14" s="98"/>
      <c r="BRH14" s="98"/>
      <c r="BRI14" s="98"/>
      <c r="BRJ14" s="98"/>
      <c r="BRK14" s="98"/>
      <c r="BRL14" s="98"/>
      <c r="BRM14" s="98"/>
      <c r="BRN14" s="98"/>
      <c r="BRO14" s="98"/>
      <c r="BRP14" s="98"/>
      <c r="BRQ14" s="98"/>
      <c r="BRR14" s="98"/>
      <c r="BRS14" s="98"/>
      <c r="BRT14" s="98"/>
      <c r="BRU14" s="98"/>
      <c r="BRV14" s="98"/>
      <c r="BRW14" s="98"/>
      <c r="BRX14" s="98"/>
      <c r="BRY14" s="98"/>
      <c r="BRZ14" s="98"/>
      <c r="BSA14" s="98"/>
      <c r="BSB14" s="98"/>
      <c r="BSC14" s="98"/>
      <c r="BSD14" s="98"/>
      <c r="BSE14" s="98"/>
      <c r="BSF14" s="98"/>
      <c r="BSG14" s="98"/>
      <c r="BSH14" s="98"/>
      <c r="BSI14" s="98"/>
      <c r="BSJ14" s="98"/>
      <c r="BSK14" s="98"/>
      <c r="BSL14" s="98"/>
      <c r="BSM14" s="98"/>
      <c r="BSN14" s="98"/>
      <c r="BSO14" s="98"/>
      <c r="BSP14" s="98"/>
      <c r="BSQ14" s="98"/>
      <c r="BSR14" s="98"/>
      <c r="BSS14" s="98"/>
      <c r="BST14" s="98"/>
      <c r="BSU14" s="98"/>
      <c r="BSV14" s="98"/>
      <c r="BSW14" s="98"/>
      <c r="BSX14" s="98"/>
      <c r="BSY14" s="98"/>
      <c r="BSZ14" s="98"/>
      <c r="BTA14" s="98"/>
      <c r="BTB14" s="98"/>
      <c r="BTC14" s="98"/>
      <c r="BTD14" s="98"/>
      <c r="BTE14" s="98"/>
      <c r="BTF14" s="98"/>
      <c r="BTG14" s="98"/>
      <c r="BTH14" s="98"/>
      <c r="BTI14" s="98"/>
      <c r="BTJ14" s="98"/>
      <c r="BTK14" s="98"/>
      <c r="BTL14" s="98"/>
      <c r="BTM14" s="98"/>
      <c r="BTN14" s="98"/>
      <c r="BTO14" s="98"/>
      <c r="BTP14" s="98"/>
      <c r="BTQ14" s="98"/>
      <c r="BTR14" s="98"/>
      <c r="BTS14" s="98"/>
      <c r="BTT14" s="98"/>
      <c r="BTU14" s="98"/>
      <c r="BTV14" s="98"/>
      <c r="BTW14" s="98"/>
      <c r="BTX14" s="98"/>
      <c r="BTY14" s="98"/>
      <c r="BTZ14" s="98"/>
      <c r="BUA14" s="98"/>
      <c r="BUB14" s="98"/>
      <c r="BUC14" s="98"/>
      <c r="BUD14" s="98"/>
      <c r="BUE14" s="98"/>
      <c r="BUF14" s="98"/>
      <c r="BUG14" s="98"/>
      <c r="BUH14" s="98"/>
      <c r="BUI14" s="98"/>
      <c r="BUJ14" s="98"/>
      <c r="BUK14" s="98"/>
      <c r="BUL14" s="98"/>
      <c r="BUM14" s="98"/>
      <c r="BUN14" s="98"/>
      <c r="BUO14" s="98"/>
      <c r="BUP14" s="98"/>
      <c r="BUQ14" s="98"/>
      <c r="BUR14" s="98"/>
      <c r="BUS14" s="98"/>
      <c r="BUT14" s="98"/>
      <c r="BUU14" s="98"/>
      <c r="BUV14" s="98"/>
      <c r="BUW14" s="98"/>
      <c r="BUX14" s="98"/>
      <c r="BUY14" s="98"/>
      <c r="BUZ14" s="98"/>
      <c r="BVA14" s="98"/>
      <c r="BVB14" s="98"/>
      <c r="BVC14" s="98"/>
      <c r="BVD14" s="98"/>
      <c r="BVE14" s="98"/>
      <c r="BVF14" s="98"/>
      <c r="BVG14" s="98"/>
      <c r="BVH14" s="98"/>
      <c r="BVI14" s="98"/>
      <c r="BVJ14" s="98"/>
      <c r="BVK14" s="98"/>
      <c r="BVL14" s="98"/>
      <c r="BVM14" s="98"/>
      <c r="BVN14" s="98"/>
      <c r="BVO14" s="98"/>
      <c r="BVP14" s="98"/>
      <c r="BVQ14" s="98"/>
      <c r="BVR14" s="98"/>
      <c r="BVS14" s="98"/>
      <c r="BVT14" s="98"/>
      <c r="BVU14" s="98"/>
      <c r="BVV14" s="98"/>
      <c r="BVW14" s="98"/>
      <c r="BVX14" s="98"/>
      <c r="BVY14" s="98"/>
      <c r="BVZ14" s="98"/>
      <c r="BWA14" s="98"/>
      <c r="BWB14" s="98"/>
      <c r="BWC14" s="98"/>
      <c r="BWD14" s="98"/>
      <c r="BWE14" s="98"/>
      <c r="BWF14" s="98"/>
      <c r="BWG14" s="98"/>
      <c r="BWH14" s="98"/>
      <c r="BWI14" s="98"/>
      <c r="BWJ14" s="98"/>
      <c r="BWK14" s="98"/>
      <c r="BWL14" s="98"/>
      <c r="BWM14" s="98"/>
      <c r="BWN14" s="98"/>
      <c r="BWO14" s="98"/>
      <c r="BWP14" s="98"/>
      <c r="BWQ14" s="98"/>
      <c r="BWR14" s="98"/>
      <c r="BWS14" s="98"/>
      <c r="BWT14" s="98"/>
      <c r="BWU14" s="98"/>
      <c r="BWV14" s="98"/>
      <c r="BWW14" s="98"/>
      <c r="BWX14" s="98"/>
      <c r="BWY14" s="98"/>
      <c r="BWZ14" s="98"/>
      <c r="BXA14" s="98"/>
      <c r="BXB14" s="98"/>
      <c r="BXC14" s="98"/>
      <c r="BXD14" s="98"/>
      <c r="BXE14" s="98"/>
      <c r="BXF14" s="98"/>
      <c r="BXG14" s="98"/>
      <c r="BXH14" s="98"/>
      <c r="BXI14" s="98"/>
      <c r="BXJ14" s="98"/>
      <c r="BXK14" s="98"/>
      <c r="BXL14" s="98"/>
      <c r="BXM14" s="98"/>
      <c r="BXN14" s="98"/>
      <c r="BXO14" s="98"/>
      <c r="BXP14" s="98"/>
      <c r="BXQ14" s="98"/>
      <c r="BXR14" s="98"/>
      <c r="BXS14" s="98"/>
      <c r="BXT14" s="98"/>
      <c r="BXU14" s="98"/>
      <c r="BXV14" s="98"/>
      <c r="BXW14" s="98"/>
      <c r="BXX14" s="98"/>
      <c r="BXY14" s="98"/>
      <c r="BXZ14" s="98"/>
      <c r="BYA14" s="98"/>
      <c r="BYB14" s="98"/>
      <c r="BYC14" s="98"/>
      <c r="BYD14" s="98"/>
      <c r="BYE14" s="98"/>
      <c r="BYF14" s="98"/>
      <c r="BYG14" s="98"/>
      <c r="BYH14" s="98"/>
      <c r="BYI14" s="98"/>
      <c r="BYJ14" s="98"/>
      <c r="BYK14" s="98"/>
      <c r="BYL14" s="98"/>
      <c r="BYM14" s="98"/>
      <c r="BYN14" s="98"/>
      <c r="BYO14" s="98"/>
      <c r="BYP14" s="98"/>
      <c r="BYQ14" s="98"/>
      <c r="BYR14" s="98"/>
      <c r="BYS14" s="98"/>
      <c r="BYT14" s="98"/>
      <c r="BYU14" s="98"/>
      <c r="BYV14" s="98"/>
      <c r="BYW14" s="98"/>
      <c r="BYX14" s="98"/>
      <c r="BYY14" s="98"/>
      <c r="BYZ14" s="98"/>
      <c r="BZA14" s="98"/>
      <c r="BZB14" s="98"/>
      <c r="BZC14" s="98"/>
      <c r="BZD14" s="98"/>
      <c r="BZE14" s="98"/>
      <c r="BZF14" s="98"/>
      <c r="BZG14" s="98"/>
      <c r="BZH14" s="98"/>
      <c r="BZI14" s="98"/>
      <c r="BZJ14" s="98"/>
      <c r="BZK14" s="98"/>
      <c r="BZL14" s="98"/>
      <c r="BZM14" s="98"/>
      <c r="BZN14" s="98"/>
      <c r="BZO14" s="98"/>
      <c r="BZP14" s="98"/>
      <c r="BZQ14" s="98"/>
      <c r="BZR14" s="98"/>
      <c r="BZS14" s="98"/>
      <c r="BZT14" s="98"/>
      <c r="BZU14" s="98"/>
      <c r="BZV14" s="98"/>
      <c r="BZW14" s="98"/>
      <c r="BZX14" s="98"/>
      <c r="BZY14" s="98"/>
      <c r="BZZ14" s="98"/>
      <c r="CAA14" s="98"/>
      <c r="CAB14" s="98"/>
      <c r="CAC14" s="98"/>
      <c r="CAD14" s="98"/>
      <c r="CAE14" s="98"/>
      <c r="CAF14" s="98"/>
      <c r="CAG14" s="98"/>
      <c r="CAH14" s="98"/>
      <c r="CAI14" s="98"/>
      <c r="CAJ14" s="98"/>
      <c r="CAK14" s="98"/>
      <c r="CAL14" s="98"/>
      <c r="CAM14" s="98"/>
      <c r="CAN14" s="98"/>
      <c r="CAO14" s="98"/>
      <c r="CAP14" s="98"/>
      <c r="CAQ14" s="98"/>
      <c r="CAR14" s="98"/>
      <c r="CAS14" s="98"/>
      <c r="CAT14" s="98"/>
      <c r="CAU14" s="98"/>
      <c r="CAV14" s="98"/>
      <c r="CAW14" s="98"/>
      <c r="CAX14" s="98"/>
      <c r="CAY14" s="98"/>
      <c r="CAZ14" s="98"/>
      <c r="CBA14" s="98"/>
      <c r="CBB14" s="98"/>
      <c r="CBC14" s="98"/>
      <c r="CBD14" s="98"/>
      <c r="CBE14" s="98"/>
      <c r="CBF14" s="98"/>
      <c r="CBG14" s="98"/>
      <c r="CBH14" s="98"/>
      <c r="CBI14" s="98"/>
      <c r="CBJ14" s="98"/>
      <c r="CBK14" s="98"/>
      <c r="CBL14" s="98"/>
      <c r="CBM14" s="98"/>
      <c r="CBN14" s="98"/>
      <c r="CBO14" s="98"/>
      <c r="CBP14" s="98"/>
      <c r="CBQ14" s="98"/>
      <c r="CBR14" s="98"/>
      <c r="CBS14" s="98"/>
      <c r="CBT14" s="98"/>
      <c r="CBU14" s="98"/>
      <c r="CBV14" s="98"/>
      <c r="CBW14" s="98"/>
      <c r="CBX14" s="98"/>
      <c r="CBY14" s="98"/>
      <c r="CBZ14" s="98"/>
      <c r="CCA14" s="98"/>
      <c r="CCB14" s="98"/>
      <c r="CCC14" s="98"/>
      <c r="CCD14" s="98"/>
      <c r="CCE14" s="98"/>
      <c r="CCF14" s="98"/>
      <c r="CCG14" s="98"/>
      <c r="CCH14" s="98"/>
      <c r="CCI14" s="98"/>
      <c r="CCJ14" s="98"/>
      <c r="CCK14" s="98"/>
      <c r="CCL14" s="98"/>
      <c r="CCM14" s="98"/>
      <c r="CCN14" s="98"/>
      <c r="CCO14" s="98"/>
      <c r="CCP14" s="98"/>
      <c r="CCQ14" s="98"/>
      <c r="CCR14" s="98"/>
      <c r="CCS14" s="98"/>
      <c r="CCT14" s="98"/>
      <c r="CCU14" s="98"/>
      <c r="CCV14" s="98"/>
      <c r="CCW14" s="98"/>
      <c r="CCX14" s="98"/>
      <c r="CCY14" s="98"/>
      <c r="CCZ14" s="98"/>
      <c r="CDA14" s="98"/>
      <c r="CDB14" s="98"/>
      <c r="CDC14" s="98"/>
      <c r="CDD14" s="98"/>
      <c r="CDE14" s="98"/>
      <c r="CDF14" s="98"/>
      <c r="CDG14" s="98"/>
      <c r="CDH14" s="98"/>
      <c r="CDI14" s="98"/>
      <c r="CDJ14" s="98"/>
      <c r="CDK14" s="98"/>
      <c r="CDL14" s="98"/>
      <c r="CDM14" s="98"/>
      <c r="CDN14" s="98"/>
      <c r="CDO14" s="98"/>
      <c r="CDP14" s="98"/>
      <c r="CDQ14" s="98"/>
      <c r="CDR14" s="98"/>
      <c r="CDS14" s="98"/>
      <c r="CDT14" s="98"/>
      <c r="CDU14" s="98"/>
      <c r="CDV14" s="98"/>
      <c r="CDW14" s="98"/>
      <c r="CDX14" s="98"/>
      <c r="CDY14" s="98"/>
      <c r="CDZ14" s="98"/>
      <c r="CEA14" s="98"/>
      <c r="CEB14" s="98"/>
      <c r="CEC14" s="98"/>
      <c r="CED14" s="98"/>
      <c r="CEE14" s="98"/>
      <c r="CEF14" s="98"/>
      <c r="CEG14" s="98"/>
      <c r="CEH14" s="98"/>
      <c r="CEI14" s="98"/>
      <c r="CEJ14" s="98"/>
      <c r="CEK14" s="98"/>
      <c r="CEL14" s="98"/>
      <c r="CEM14" s="98"/>
      <c r="CEN14" s="98"/>
      <c r="CEO14" s="98"/>
      <c r="CEP14" s="98"/>
      <c r="CEQ14" s="98"/>
      <c r="CER14" s="98"/>
      <c r="CES14" s="98"/>
      <c r="CET14" s="98"/>
      <c r="CEU14" s="98"/>
      <c r="CEV14" s="98"/>
      <c r="CEW14" s="98"/>
      <c r="CEX14" s="98"/>
      <c r="CEY14" s="98"/>
      <c r="CEZ14" s="98"/>
      <c r="CFA14" s="98"/>
      <c r="CFB14" s="98"/>
      <c r="CFC14" s="98"/>
      <c r="CFD14" s="98"/>
      <c r="CFE14" s="98"/>
      <c r="CFF14" s="98"/>
      <c r="CFG14" s="98"/>
      <c r="CFH14" s="98"/>
      <c r="CFI14" s="98"/>
      <c r="CFJ14" s="98"/>
      <c r="CFK14" s="98"/>
      <c r="CFL14" s="98"/>
      <c r="CFM14" s="98"/>
      <c r="CFN14" s="98"/>
      <c r="CFO14" s="98"/>
      <c r="CFP14" s="98"/>
      <c r="CFQ14" s="98"/>
      <c r="CFR14" s="98"/>
      <c r="CFS14" s="98"/>
      <c r="CFT14" s="98"/>
      <c r="CFU14" s="98"/>
      <c r="CFV14" s="98"/>
      <c r="CFW14" s="98"/>
      <c r="CFX14" s="98"/>
      <c r="CFY14" s="98"/>
      <c r="CFZ14" s="98"/>
      <c r="CGA14" s="98"/>
      <c r="CGB14" s="98"/>
      <c r="CGC14" s="98"/>
      <c r="CGD14" s="98"/>
      <c r="CGE14" s="98"/>
      <c r="CGF14" s="98"/>
      <c r="CGG14" s="98"/>
      <c r="CGH14" s="98"/>
      <c r="CGI14" s="98"/>
      <c r="CGJ14" s="98"/>
      <c r="CGK14" s="98"/>
      <c r="CGL14" s="98"/>
      <c r="CGM14" s="98"/>
      <c r="CGN14" s="98"/>
      <c r="CGO14" s="98"/>
      <c r="CGP14" s="98"/>
      <c r="CGQ14" s="98"/>
      <c r="CGR14" s="98"/>
      <c r="CGS14" s="98"/>
      <c r="CGT14" s="98"/>
      <c r="CGU14" s="98"/>
      <c r="CGV14" s="98"/>
      <c r="CGW14" s="98"/>
      <c r="CGX14" s="98"/>
      <c r="CGY14" s="98"/>
      <c r="CGZ14" s="98"/>
      <c r="CHA14" s="98"/>
      <c r="CHB14" s="98"/>
      <c r="CHC14" s="98"/>
      <c r="CHD14" s="98"/>
      <c r="CHE14" s="98"/>
      <c r="CHF14" s="98"/>
      <c r="CHG14" s="98"/>
      <c r="CHH14" s="98"/>
      <c r="CHI14" s="98"/>
      <c r="CHJ14" s="98"/>
      <c r="CHK14" s="98"/>
      <c r="CHL14" s="98"/>
      <c r="CHM14" s="98"/>
      <c r="CHN14" s="98"/>
      <c r="CHO14" s="98"/>
      <c r="CHP14" s="98"/>
      <c r="CHQ14" s="98"/>
      <c r="CHR14" s="98"/>
      <c r="CHS14" s="98"/>
      <c r="CHT14" s="98"/>
      <c r="CHU14" s="98"/>
      <c r="CHV14" s="98"/>
      <c r="CHW14" s="98"/>
      <c r="CHX14" s="98"/>
      <c r="CHY14" s="98"/>
      <c r="CHZ14" s="98"/>
      <c r="CIA14" s="98"/>
      <c r="CIB14" s="98"/>
      <c r="CIC14" s="98"/>
      <c r="CID14" s="98"/>
      <c r="CIE14" s="98"/>
      <c r="CIF14" s="98"/>
      <c r="CIG14" s="98"/>
      <c r="CIH14" s="98"/>
      <c r="CII14" s="98"/>
      <c r="CIJ14" s="98"/>
      <c r="CIK14" s="98"/>
      <c r="CIL14" s="98"/>
      <c r="CIM14" s="98"/>
      <c r="CIN14" s="98"/>
      <c r="CIO14" s="98"/>
      <c r="CIP14" s="98"/>
      <c r="CIQ14" s="98"/>
      <c r="CIR14" s="98"/>
      <c r="CIS14" s="98"/>
      <c r="CIT14" s="98"/>
      <c r="CIU14" s="98"/>
      <c r="CIV14" s="98"/>
      <c r="CIW14" s="98"/>
      <c r="CIX14" s="98"/>
      <c r="CIY14" s="98"/>
      <c r="CIZ14" s="98"/>
      <c r="CJA14" s="98"/>
      <c r="CJB14" s="98"/>
      <c r="CJC14" s="98"/>
      <c r="CJD14" s="98"/>
      <c r="CJE14" s="98"/>
      <c r="CJF14" s="98"/>
      <c r="CJG14" s="98"/>
      <c r="CJH14" s="98"/>
      <c r="CJI14" s="98"/>
      <c r="CJJ14" s="98"/>
      <c r="CJK14" s="98"/>
      <c r="CJL14" s="98"/>
      <c r="CJM14" s="98"/>
      <c r="CJN14" s="98"/>
      <c r="CJO14" s="98"/>
      <c r="CJP14" s="98"/>
      <c r="CJQ14" s="98"/>
      <c r="CJR14" s="98"/>
      <c r="CJS14" s="98"/>
      <c r="CJT14" s="98"/>
      <c r="CJU14" s="98"/>
      <c r="CJV14" s="98"/>
      <c r="CJW14" s="98"/>
      <c r="CJX14" s="98"/>
      <c r="CJY14" s="98"/>
      <c r="CJZ14" s="98"/>
      <c r="CKA14" s="98"/>
      <c r="CKB14" s="98"/>
      <c r="CKC14" s="98"/>
      <c r="CKD14" s="98"/>
      <c r="CKE14" s="98"/>
      <c r="CKF14" s="98"/>
      <c r="CKG14" s="98"/>
      <c r="CKH14" s="98"/>
      <c r="CKI14" s="98"/>
      <c r="CKJ14" s="98"/>
      <c r="CKK14" s="98"/>
      <c r="CKL14" s="98"/>
      <c r="CKM14" s="98"/>
      <c r="CKN14" s="98"/>
      <c r="CKO14" s="98"/>
      <c r="CKP14" s="98"/>
      <c r="CKQ14" s="98"/>
      <c r="CKR14" s="98"/>
      <c r="CKS14" s="98"/>
      <c r="CKT14" s="98"/>
      <c r="CKU14" s="98"/>
      <c r="CKV14" s="98"/>
      <c r="CKW14" s="98"/>
      <c r="CKX14" s="98"/>
      <c r="CKY14" s="98"/>
      <c r="CKZ14" s="98"/>
      <c r="CLA14" s="98"/>
      <c r="CLB14" s="98"/>
      <c r="CLC14" s="98"/>
      <c r="CLD14" s="98"/>
      <c r="CLE14" s="98"/>
      <c r="CLF14" s="98"/>
      <c r="CLG14" s="98"/>
      <c r="CLH14" s="98"/>
      <c r="CLI14" s="98"/>
      <c r="CLJ14" s="98"/>
      <c r="CLK14" s="98"/>
      <c r="CLL14" s="98"/>
      <c r="CLM14" s="98"/>
      <c r="CLN14" s="98"/>
      <c r="CLO14" s="98"/>
      <c r="CLP14" s="98"/>
      <c r="CLQ14" s="98"/>
      <c r="CLR14" s="98"/>
      <c r="CLS14" s="98"/>
      <c r="CLT14" s="98"/>
      <c r="CLU14" s="98"/>
      <c r="CLV14" s="98"/>
      <c r="CLW14" s="98"/>
      <c r="CLX14" s="98"/>
      <c r="CLY14" s="98"/>
      <c r="CLZ14" s="98"/>
      <c r="CMA14" s="98"/>
      <c r="CMB14" s="98"/>
      <c r="CMC14" s="98"/>
      <c r="CMD14" s="98"/>
      <c r="CME14" s="98"/>
      <c r="CMF14" s="98"/>
      <c r="CMG14" s="98"/>
      <c r="CMH14" s="98"/>
      <c r="CMI14" s="98"/>
      <c r="CMJ14" s="98"/>
      <c r="CMK14" s="98"/>
      <c r="CML14" s="98"/>
      <c r="CMM14" s="98"/>
      <c r="CMN14" s="98"/>
      <c r="CMO14" s="98"/>
      <c r="CMP14" s="98"/>
      <c r="CMQ14" s="98"/>
      <c r="CMR14" s="98"/>
      <c r="CMS14" s="98"/>
      <c r="CMT14" s="98"/>
      <c r="CMU14" s="98"/>
      <c r="CMV14" s="98"/>
      <c r="CMW14" s="98"/>
      <c r="CMX14" s="98"/>
      <c r="CMY14" s="98"/>
      <c r="CMZ14" s="98"/>
      <c r="CNA14" s="98"/>
      <c r="CNB14" s="98"/>
      <c r="CNC14" s="98"/>
      <c r="CND14" s="98"/>
      <c r="CNE14" s="98"/>
      <c r="CNF14" s="98"/>
      <c r="CNG14" s="98"/>
      <c r="CNH14" s="98"/>
      <c r="CNI14" s="98"/>
      <c r="CNJ14" s="98"/>
      <c r="CNK14" s="98"/>
      <c r="CNL14" s="98"/>
      <c r="CNM14" s="98"/>
      <c r="CNN14" s="98"/>
      <c r="CNO14" s="98"/>
      <c r="CNP14" s="98"/>
      <c r="CNQ14" s="98"/>
      <c r="CNR14" s="98"/>
      <c r="CNS14" s="98"/>
      <c r="CNT14" s="98"/>
      <c r="CNU14" s="98"/>
      <c r="CNV14" s="98"/>
      <c r="CNW14" s="98"/>
      <c r="CNX14" s="98"/>
      <c r="CNY14" s="98"/>
      <c r="CNZ14" s="98"/>
      <c r="COA14" s="98"/>
      <c r="COB14" s="98"/>
      <c r="COC14" s="98"/>
      <c r="COD14" s="98"/>
      <c r="COE14" s="98"/>
      <c r="COF14" s="98"/>
      <c r="COG14" s="98"/>
      <c r="COH14" s="98"/>
      <c r="COI14" s="98"/>
      <c r="COJ14" s="98"/>
      <c r="COK14" s="98"/>
      <c r="COL14" s="98"/>
      <c r="COM14" s="98"/>
      <c r="CON14" s="98"/>
      <c r="COO14" s="98"/>
      <c r="COP14" s="98"/>
      <c r="COQ14" s="98"/>
      <c r="COR14" s="98"/>
      <c r="COS14" s="98"/>
      <c r="COT14" s="98"/>
      <c r="COU14" s="98"/>
      <c r="COV14" s="98"/>
      <c r="COW14" s="98"/>
      <c r="COX14" s="98"/>
      <c r="COY14" s="98"/>
      <c r="COZ14" s="98"/>
      <c r="CPA14" s="98"/>
      <c r="CPB14" s="98"/>
      <c r="CPC14" s="98"/>
      <c r="CPD14" s="98"/>
      <c r="CPE14" s="98"/>
      <c r="CPF14" s="98"/>
      <c r="CPG14" s="98"/>
      <c r="CPH14" s="98"/>
      <c r="CPI14" s="98"/>
      <c r="CPJ14" s="98"/>
      <c r="CPK14" s="98"/>
      <c r="CPL14" s="98"/>
      <c r="CPM14" s="98"/>
      <c r="CPN14" s="98"/>
      <c r="CPO14" s="98"/>
      <c r="CPP14" s="98"/>
      <c r="CPQ14" s="98"/>
      <c r="CPR14" s="98"/>
      <c r="CPS14" s="98"/>
      <c r="CPT14" s="98"/>
      <c r="CPU14" s="98"/>
      <c r="CPV14" s="98"/>
      <c r="CPW14" s="98"/>
      <c r="CPX14" s="98"/>
      <c r="CPY14" s="98"/>
      <c r="CPZ14" s="98"/>
      <c r="CQA14" s="98"/>
      <c r="CQB14" s="98"/>
      <c r="CQC14" s="98"/>
      <c r="CQD14" s="98"/>
      <c r="CQE14" s="98"/>
      <c r="CQF14" s="98"/>
      <c r="CQG14" s="98"/>
      <c r="CQH14" s="98"/>
      <c r="CQI14" s="98"/>
      <c r="CQJ14" s="98"/>
      <c r="CQK14" s="98"/>
      <c r="CQL14" s="98"/>
      <c r="CQM14" s="98"/>
      <c r="CQN14" s="98"/>
      <c r="CQO14" s="98"/>
      <c r="CQP14" s="98"/>
      <c r="CQQ14" s="98"/>
      <c r="CQR14" s="98"/>
      <c r="CQS14" s="98"/>
      <c r="CQT14" s="98"/>
      <c r="CQU14" s="98"/>
      <c r="CQV14" s="98"/>
      <c r="CQW14" s="98"/>
      <c r="CQX14" s="98"/>
      <c r="CQY14" s="98"/>
      <c r="CQZ14" s="98"/>
      <c r="CRA14" s="98"/>
      <c r="CRB14" s="98"/>
      <c r="CRC14" s="98"/>
      <c r="CRD14" s="98"/>
      <c r="CRE14" s="98"/>
      <c r="CRF14" s="98"/>
      <c r="CRG14" s="98"/>
      <c r="CRH14" s="98"/>
      <c r="CRI14" s="98"/>
      <c r="CRJ14" s="98"/>
      <c r="CRK14" s="98"/>
      <c r="CRL14" s="98"/>
      <c r="CRM14" s="98"/>
      <c r="CRN14" s="98"/>
      <c r="CRO14" s="98"/>
      <c r="CRP14" s="98"/>
      <c r="CRQ14" s="98"/>
      <c r="CRR14" s="98"/>
      <c r="CRS14" s="98"/>
      <c r="CRT14" s="98"/>
      <c r="CRU14" s="98"/>
      <c r="CRV14" s="98"/>
      <c r="CRW14" s="98"/>
      <c r="CRX14" s="98"/>
      <c r="CRY14" s="98"/>
      <c r="CRZ14" s="98"/>
      <c r="CSA14" s="98"/>
      <c r="CSB14" s="98"/>
      <c r="CSC14" s="98"/>
      <c r="CSD14" s="98"/>
      <c r="CSE14" s="98"/>
      <c r="CSF14" s="98"/>
      <c r="CSG14" s="98"/>
      <c r="CSH14" s="98"/>
      <c r="CSI14" s="98"/>
      <c r="CSJ14" s="98"/>
      <c r="CSK14" s="98"/>
      <c r="CSL14" s="98"/>
      <c r="CSM14" s="98"/>
      <c r="CSN14" s="98"/>
      <c r="CSO14" s="98"/>
      <c r="CSP14" s="98"/>
      <c r="CSQ14" s="98"/>
      <c r="CSR14" s="98"/>
      <c r="CSS14" s="98"/>
      <c r="CST14" s="98"/>
      <c r="CSU14" s="98"/>
      <c r="CSV14" s="98"/>
      <c r="CSW14" s="98"/>
      <c r="CSX14" s="98"/>
      <c r="CSY14" s="98"/>
      <c r="CSZ14" s="98"/>
      <c r="CTA14" s="98"/>
      <c r="CTB14" s="98"/>
      <c r="CTC14" s="98"/>
      <c r="CTD14" s="98"/>
      <c r="CTE14" s="98"/>
      <c r="CTF14" s="98"/>
      <c r="CTG14" s="98"/>
      <c r="CTH14" s="98"/>
      <c r="CTI14" s="98"/>
      <c r="CTJ14" s="98"/>
      <c r="CTK14" s="98"/>
      <c r="CTL14" s="98"/>
      <c r="CTM14" s="98"/>
      <c r="CTN14" s="98"/>
      <c r="CTO14" s="98"/>
      <c r="CTP14" s="98"/>
      <c r="CTQ14" s="98"/>
      <c r="CTR14" s="98"/>
      <c r="CTS14" s="98"/>
      <c r="CTT14" s="98"/>
      <c r="CTU14" s="98"/>
      <c r="CTV14" s="98"/>
      <c r="CTW14" s="98"/>
      <c r="CTX14" s="98"/>
      <c r="CTY14" s="98"/>
      <c r="CTZ14" s="98"/>
      <c r="CUA14" s="98"/>
      <c r="CUB14" s="98"/>
      <c r="CUC14" s="98"/>
      <c r="CUD14" s="98"/>
      <c r="CUE14" s="98"/>
      <c r="CUF14" s="98"/>
      <c r="CUG14" s="98"/>
      <c r="CUH14" s="98"/>
      <c r="CUI14" s="98"/>
      <c r="CUJ14" s="98"/>
      <c r="CUK14" s="98"/>
      <c r="CUL14" s="98"/>
      <c r="CUM14" s="98"/>
      <c r="CUN14" s="98"/>
      <c r="CUO14" s="98"/>
      <c r="CUP14" s="98"/>
      <c r="CUQ14" s="98"/>
      <c r="CUR14" s="98"/>
      <c r="CUS14" s="98"/>
      <c r="CUT14" s="98"/>
      <c r="CUU14" s="98"/>
      <c r="CUV14" s="98"/>
      <c r="CUW14" s="98"/>
      <c r="CUX14" s="98"/>
      <c r="CUY14" s="98"/>
      <c r="CUZ14" s="98"/>
      <c r="CVA14" s="98"/>
      <c r="CVB14" s="98"/>
      <c r="CVC14" s="98"/>
      <c r="CVD14" s="98"/>
      <c r="CVE14" s="98"/>
      <c r="CVF14" s="98"/>
      <c r="CVG14" s="98"/>
      <c r="CVH14" s="98"/>
      <c r="CVI14" s="98"/>
      <c r="CVJ14" s="98"/>
      <c r="CVK14" s="98"/>
      <c r="CVL14" s="98"/>
      <c r="CVM14" s="98"/>
      <c r="CVN14" s="98"/>
      <c r="CVO14" s="98"/>
      <c r="CVP14" s="98"/>
      <c r="CVQ14" s="98"/>
      <c r="CVR14" s="98"/>
      <c r="CVS14" s="98"/>
      <c r="CVT14" s="98"/>
      <c r="CVU14" s="98"/>
      <c r="CVV14" s="98"/>
      <c r="CVW14" s="98"/>
      <c r="CVX14" s="98"/>
      <c r="CVY14" s="98"/>
      <c r="CVZ14" s="98"/>
      <c r="CWA14" s="98"/>
      <c r="CWB14" s="98"/>
      <c r="CWC14" s="98"/>
      <c r="CWD14" s="98"/>
      <c r="CWE14" s="98"/>
      <c r="CWF14" s="98"/>
      <c r="CWG14" s="98"/>
      <c r="CWH14" s="98"/>
      <c r="CWI14" s="98"/>
      <c r="CWJ14" s="98"/>
      <c r="CWK14" s="98"/>
      <c r="CWL14" s="98"/>
      <c r="CWM14" s="98"/>
      <c r="CWN14" s="98"/>
      <c r="CWO14" s="98"/>
      <c r="CWP14" s="98"/>
      <c r="CWQ14" s="98"/>
      <c r="CWR14" s="98"/>
      <c r="CWS14" s="98"/>
      <c r="CWT14" s="98"/>
      <c r="CWU14" s="98"/>
      <c r="CWV14" s="98"/>
      <c r="CWW14" s="98"/>
      <c r="CWX14" s="98"/>
      <c r="CWY14" s="98"/>
      <c r="CWZ14" s="98"/>
      <c r="CXA14" s="98"/>
      <c r="CXB14" s="98"/>
      <c r="CXC14" s="98"/>
      <c r="CXD14" s="98"/>
      <c r="CXE14" s="98"/>
      <c r="CXF14" s="98"/>
      <c r="CXG14" s="98"/>
      <c r="CXH14" s="98"/>
      <c r="CXI14" s="98"/>
      <c r="CXJ14" s="98"/>
      <c r="CXK14" s="98"/>
      <c r="CXL14" s="98"/>
      <c r="CXM14" s="98"/>
      <c r="CXN14" s="98"/>
      <c r="CXO14" s="98"/>
      <c r="CXP14" s="98"/>
      <c r="CXQ14" s="98"/>
      <c r="CXR14" s="98"/>
      <c r="CXS14" s="98"/>
      <c r="CXT14" s="98"/>
      <c r="CXU14" s="98"/>
      <c r="CXV14" s="98"/>
      <c r="CXW14" s="98"/>
      <c r="CXX14" s="98"/>
      <c r="CXY14" s="98"/>
      <c r="CXZ14" s="98"/>
      <c r="CYA14" s="98"/>
      <c r="CYB14" s="98"/>
      <c r="CYC14" s="98"/>
      <c r="CYD14" s="98"/>
      <c r="CYE14" s="98"/>
      <c r="CYF14" s="98"/>
      <c r="CYG14" s="98"/>
      <c r="CYH14" s="98"/>
      <c r="CYI14" s="98"/>
      <c r="CYJ14" s="98"/>
      <c r="CYK14" s="98"/>
      <c r="CYL14" s="98"/>
      <c r="CYM14" s="98"/>
      <c r="CYN14" s="98"/>
      <c r="CYO14" s="98"/>
      <c r="CYP14" s="98"/>
      <c r="CYQ14" s="98"/>
      <c r="CYR14" s="98"/>
      <c r="CYS14" s="98"/>
      <c r="CYT14" s="98"/>
      <c r="CYU14" s="98"/>
      <c r="CYV14" s="98"/>
      <c r="CYW14" s="98"/>
      <c r="CYX14" s="98"/>
      <c r="CYY14" s="98"/>
      <c r="CYZ14" s="98"/>
      <c r="CZA14" s="98"/>
      <c r="CZB14" s="98"/>
      <c r="CZC14" s="98"/>
      <c r="CZD14" s="98"/>
      <c r="CZE14" s="98"/>
      <c r="CZF14" s="98"/>
      <c r="CZG14" s="98"/>
      <c r="CZH14" s="98"/>
      <c r="CZI14" s="98"/>
      <c r="CZJ14" s="98"/>
      <c r="CZK14" s="98"/>
      <c r="CZL14" s="98"/>
      <c r="CZM14" s="98"/>
      <c r="CZN14" s="98"/>
      <c r="CZO14" s="98"/>
      <c r="CZP14" s="98"/>
      <c r="CZQ14" s="98"/>
      <c r="CZR14" s="98"/>
      <c r="CZS14" s="98"/>
      <c r="CZT14" s="98"/>
      <c r="CZU14" s="98"/>
      <c r="CZV14" s="98"/>
      <c r="CZW14" s="98"/>
      <c r="CZX14" s="98"/>
      <c r="CZY14" s="98"/>
      <c r="CZZ14" s="98"/>
      <c r="DAA14" s="98"/>
      <c r="DAB14" s="98"/>
      <c r="DAC14" s="98"/>
      <c r="DAD14" s="98"/>
      <c r="DAE14" s="98"/>
      <c r="DAF14" s="98"/>
      <c r="DAG14" s="98"/>
      <c r="DAH14" s="98"/>
      <c r="DAI14" s="98"/>
      <c r="DAJ14" s="98"/>
      <c r="DAK14" s="98"/>
      <c r="DAL14" s="98"/>
      <c r="DAM14" s="98"/>
      <c r="DAN14" s="98"/>
      <c r="DAO14" s="98"/>
      <c r="DAP14" s="98"/>
      <c r="DAQ14" s="98"/>
      <c r="DAR14" s="98"/>
      <c r="DAS14" s="98"/>
      <c r="DAT14" s="98"/>
      <c r="DAU14" s="98"/>
      <c r="DAV14" s="98"/>
      <c r="DAW14" s="98"/>
      <c r="DAX14" s="98"/>
      <c r="DAY14" s="98"/>
      <c r="DAZ14" s="98"/>
      <c r="DBA14" s="98"/>
      <c r="DBB14" s="98"/>
      <c r="DBC14" s="98"/>
      <c r="DBD14" s="98"/>
      <c r="DBE14" s="98"/>
      <c r="DBF14" s="98"/>
      <c r="DBG14" s="98"/>
      <c r="DBH14" s="98"/>
      <c r="DBI14" s="98"/>
      <c r="DBJ14" s="98"/>
      <c r="DBK14" s="98"/>
      <c r="DBL14" s="98"/>
      <c r="DBM14" s="98"/>
      <c r="DBN14" s="98"/>
      <c r="DBO14" s="98"/>
      <c r="DBP14" s="98"/>
      <c r="DBQ14" s="98"/>
      <c r="DBR14" s="98"/>
      <c r="DBS14" s="98"/>
      <c r="DBT14" s="98"/>
      <c r="DBU14" s="98"/>
      <c r="DBV14" s="98"/>
      <c r="DBW14" s="98"/>
      <c r="DBX14" s="98"/>
      <c r="DBY14" s="98"/>
      <c r="DBZ14" s="98"/>
      <c r="DCA14" s="98"/>
      <c r="DCB14" s="98"/>
      <c r="DCC14" s="98"/>
      <c r="DCD14" s="98"/>
      <c r="DCE14" s="98"/>
      <c r="DCF14" s="98"/>
      <c r="DCG14" s="98"/>
      <c r="DCH14" s="98"/>
      <c r="DCI14" s="98"/>
      <c r="DCJ14" s="98"/>
      <c r="DCK14" s="98"/>
      <c r="DCL14" s="98"/>
      <c r="DCM14" s="98"/>
      <c r="DCN14" s="98"/>
      <c r="DCO14" s="98"/>
      <c r="DCP14" s="98"/>
      <c r="DCQ14" s="98"/>
      <c r="DCR14" s="98"/>
      <c r="DCS14" s="98"/>
      <c r="DCT14" s="98"/>
      <c r="DCU14" s="98"/>
      <c r="DCV14" s="98"/>
      <c r="DCW14" s="98"/>
      <c r="DCX14" s="98"/>
      <c r="DCY14" s="98"/>
      <c r="DCZ14" s="98"/>
      <c r="DDA14" s="98"/>
      <c r="DDB14" s="98"/>
      <c r="DDC14" s="98"/>
      <c r="DDD14" s="98"/>
      <c r="DDE14" s="98"/>
      <c r="DDF14" s="98"/>
      <c r="DDG14" s="98"/>
      <c r="DDH14" s="98"/>
      <c r="DDI14" s="98"/>
      <c r="DDJ14" s="98"/>
      <c r="DDK14" s="98"/>
      <c r="DDL14" s="98"/>
      <c r="DDM14" s="98"/>
      <c r="DDN14" s="98"/>
      <c r="DDO14" s="98"/>
      <c r="DDP14" s="98"/>
      <c r="DDQ14" s="98"/>
      <c r="DDR14" s="98"/>
      <c r="DDS14" s="98"/>
      <c r="DDT14" s="98"/>
      <c r="DDU14" s="98"/>
      <c r="DDV14" s="98"/>
      <c r="DDW14" s="98"/>
      <c r="DDX14" s="98"/>
      <c r="DDY14" s="98"/>
      <c r="DDZ14" s="98"/>
      <c r="DEA14" s="98"/>
      <c r="DEB14" s="98"/>
      <c r="DEC14" s="98"/>
      <c r="DED14" s="98"/>
      <c r="DEE14" s="98"/>
      <c r="DEF14" s="98"/>
      <c r="DEG14" s="98"/>
      <c r="DEH14" s="98"/>
      <c r="DEI14" s="98"/>
      <c r="DEJ14" s="98"/>
      <c r="DEK14" s="98"/>
      <c r="DEL14" s="98"/>
      <c r="DEM14" s="98"/>
      <c r="DEN14" s="98"/>
      <c r="DEO14" s="98"/>
      <c r="DEP14" s="98"/>
      <c r="DEQ14" s="98"/>
      <c r="DER14" s="98"/>
      <c r="DES14" s="98"/>
      <c r="DET14" s="98"/>
      <c r="DEU14" s="98"/>
      <c r="DEV14" s="98"/>
      <c r="DEW14" s="98"/>
      <c r="DEX14" s="98"/>
      <c r="DEY14" s="98"/>
      <c r="DEZ14" s="98"/>
      <c r="DFA14" s="98"/>
      <c r="DFB14" s="98"/>
      <c r="DFC14" s="98"/>
      <c r="DFD14" s="98"/>
      <c r="DFE14" s="98"/>
      <c r="DFF14" s="98"/>
      <c r="DFG14" s="98"/>
      <c r="DFH14" s="98"/>
      <c r="DFI14" s="98"/>
      <c r="DFJ14" s="98"/>
      <c r="DFK14" s="98"/>
      <c r="DFL14" s="98"/>
      <c r="DFM14" s="98"/>
      <c r="DFN14" s="98"/>
      <c r="DFO14" s="98"/>
      <c r="DFP14" s="98"/>
      <c r="DFQ14" s="98"/>
      <c r="DFR14" s="98"/>
      <c r="DFS14" s="98"/>
      <c r="DFT14" s="98"/>
      <c r="DFU14" s="98"/>
      <c r="DFV14" s="98"/>
      <c r="DFW14" s="98"/>
      <c r="DFX14" s="98"/>
      <c r="DFY14" s="98"/>
      <c r="DFZ14" s="98"/>
      <c r="DGA14" s="98"/>
      <c r="DGB14" s="98"/>
      <c r="DGC14" s="98"/>
      <c r="DGD14" s="98"/>
      <c r="DGE14" s="98"/>
      <c r="DGF14" s="98"/>
      <c r="DGG14" s="98"/>
      <c r="DGH14" s="98"/>
      <c r="DGI14" s="98"/>
      <c r="DGJ14" s="98"/>
      <c r="DGK14" s="98"/>
      <c r="DGL14" s="98"/>
      <c r="DGM14" s="98"/>
      <c r="DGN14" s="98"/>
      <c r="DGO14" s="98"/>
      <c r="DGP14" s="98"/>
      <c r="DGQ14" s="98"/>
      <c r="DGR14" s="98"/>
      <c r="DGS14" s="98"/>
      <c r="DGT14" s="98"/>
      <c r="DGU14" s="98"/>
      <c r="DGV14" s="98"/>
      <c r="DGW14" s="98"/>
      <c r="DGX14" s="98"/>
      <c r="DGY14" s="98"/>
      <c r="DGZ14" s="98"/>
      <c r="DHA14" s="98"/>
      <c r="DHB14" s="98"/>
      <c r="DHC14" s="98"/>
      <c r="DHD14" s="98"/>
      <c r="DHE14" s="98"/>
      <c r="DHF14" s="98"/>
      <c r="DHG14" s="98"/>
      <c r="DHH14" s="98"/>
      <c r="DHI14" s="98"/>
      <c r="DHJ14" s="98"/>
      <c r="DHK14" s="98"/>
      <c r="DHL14" s="98"/>
      <c r="DHM14" s="98"/>
      <c r="DHN14" s="98"/>
      <c r="DHO14" s="98"/>
      <c r="DHP14" s="98"/>
      <c r="DHQ14" s="98"/>
      <c r="DHR14" s="98"/>
      <c r="DHS14" s="98"/>
      <c r="DHT14" s="98"/>
      <c r="DHU14" s="98"/>
      <c r="DHV14" s="98"/>
      <c r="DHW14" s="98"/>
      <c r="DHX14" s="98"/>
      <c r="DHY14" s="98"/>
      <c r="DHZ14" s="98"/>
      <c r="DIA14" s="98"/>
      <c r="DIB14" s="98"/>
      <c r="DIC14" s="98"/>
      <c r="DID14" s="98"/>
      <c r="DIE14" s="98"/>
      <c r="DIF14" s="98"/>
      <c r="DIG14" s="98"/>
      <c r="DIH14" s="98"/>
      <c r="DII14" s="98"/>
      <c r="DIJ14" s="98"/>
      <c r="DIK14" s="98"/>
      <c r="DIL14" s="98"/>
      <c r="DIM14" s="98"/>
      <c r="DIN14" s="98"/>
      <c r="DIO14" s="98"/>
      <c r="DIP14" s="98"/>
      <c r="DIQ14" s="98"/>
      <c r="DIR14" s="98"/>
      <c r="DIS14" s="98"/>
      <c r="DIT14" s="98"/>
      <c r="DIU14" s="98"/>
      <c r="DIV14" s="98"/>
      <c r="DIW14" s="98"/>
      <c r="DIX14" s="98"/>
      <c r="DIY14" s="98"/>
      <c r="DIZ14" s="98"/>
      <c r="DJA14" s="98"/>
      <c r="DJB14" s="98"/>
      <c r="DJC14" s="98"/>
      <c r="DJD14" s="98"/>
      <c r="DJE14" s="98"/>
      <c r="DJF14" s="98"/>
      <c r="DJG14" s="98"/>
      <c r="DJH14" s="98"/>
      <c r="DJI14" s="98"/>
      <c r="DJJ14" s="98"/>
      <c r="DJK14" s="98"/>
      <c r="DJL14" s="98"/>
      <c r="DJM14" s="98"/>
      <c r="DJN14" s="98"/>
      <c r="DJO14" s="98"/>
      <c r="DJP14" s="98"/>
      <c r="DJQ14" s="98"/>
      <c r="DJR14" s="98"/>
      <c r="DJS14" s="98"/>
      <c r="DJT14" s="98"/>
      <c r="DJU14" s="98"/>
      <c r="DJV14" s="98"/>
      <c r="DJW14" s="98"/>
      <c r="DJX14" s="98"/>
      <c r="DJY14" s="98"/>
      <c r="DJZ14" s="98"/>
      <c r="DKA14" s="98"/>
      <c r="DKB14" s="98"/>
      <c r="DKC14" s="98"/>
      <c r="DKD14" s="98"/>
      <c r="DKE14" s="98"/>
      <c r="DKF14" s="98"/>
      <c r="DKG14" s="98"/>
      <c r="DKH14" s="98"/>
      <c r="DKI14" s="98"/>
      <c r="DKJ14" s="98"/>
      <c r="DKK14" s="98"/>
      <c r="DKL14" s="98"/>
      <c r="DKM14" s="98"/>
      <c r="DKN14" s="98"/>
      <c r="DKO14" s="98"/>
      <c r="DKP14" s="98"/>
      <c r="DKQ14" s="98"/>
      <c r="DKR14" s="98"/>
      <c r="DKS14" s="98"/>
      <c r="DKT14" s="98"/>
      <c r="DKU14" s="98"/>
      <c r="DKV14" s="98"/>
      <c r="DKW14" s="98"/>
      <c r="DKX14" s="98"/>
      <c r="DKY14" s="98"/>
      <c r="DKZ14" s="98"/>
      <c r="DLA14" s="98"/>
      <c r="DLB14" s="98"/>
      <c r="DLC14" s="98"/>
      <c r="DLD14" s="98"/>
      <c r="DLE14" s="98"/>
      <c r="DLF14" s="98"/>
      <c r="DLG14" s="98"/>
      <c r="DLH14" s="98"/>
      <c r="DLI14" s="98"/>
      <c r="DLJ14" s="98"/>
      <c r="DLK14" s="98"/>
      <c r="DLL14" s="98"/>
      <c r="DLM14" s="98"/>
      <c r="DLN14" s="98"/>
      <c r="DLO14" s="98"/>
      <c r="DLP14" s="98"/>
      <c r="DLQ14" s="98"/>
      <c r="DLR14" s="98"/>
      <c r="DLS14" s="98"/>
      <c r="DLT14" s="98"/>
      <c r="DLU14" s="98"/>
      <c r="DLV14" s="98"/>
      <c r="DLW14" s="98"/>
      <c r="DLX14" s="98"/>
      <c r="DLY14" s="98"/>
      <c r="DLZ14" s="98"/>
      <c r="DMA14" s="98"/>
      <c r="DMB14" s="98"/>
      <c r="DMC14" s="98"/>
      <c r="DMD14" s="98"/>
      <c r="DME14" s="98"/>
      <c r="DMF14" s="98"/>
      <c r="DMG14" s="98"/>
      <c r="DMH14" s="98"/>
      <c r="DMI14" s="98"/>
      <c r="DMJ14" s="98"/>
      <c r="DMK14" s="98"/>
      <c r="DML14" s="98"/>
      <c r="DMM14" s="98"/>
      <c r="DMN14" s="98"/>
      <c r="DMO14" s="98"/>
      <c r="DMP14" s="98"/>
      <c r="DMQ14" s="98"/>
      <c r="DMR14" s="98"/>
      <c r="DMS14" s="98"/>
      <c r="DMT14" s="98"/>
      <c r="DMU14" s="98"/>
      <c r="DMV14" s="98"/>
      <c r="DMW14" s="98"/>
      <c r="DMX14" s="98"/>
      <c r="DMY14" s="98"/>
      <c r="DMZ14" s="98"/>
      <c r="DNA14" s="98"/>
      <c r="DNB14" s="98"/>
      <c r="DNC14" s="98"/>
      <c r="DND14" s="98"/>
      <c r="DNE14" s="98"/>
      <c r="DNF14" s="98"/>
      <c r="DNG14" s="98"/>
      <c r="DNH14" s="98"/>
      <c r="DNI14" s="98"/>
      <c r="DNJ14" s="98"/>
      <c r="DNK14" s="98"/>
      <c r="DNL14" s="98"/>
      <c r="DNM14" s="98"/>
      <c r="DNN14" s="98"/>
      <c r="DNO14" s="98"/>
      <c r="DNP14" s="98"/>
      <c r="DNQ14" s="98"/>
      <c r="DNR14" s="98"/>
      <c r="DNS14" s="98"/>
      <c r="DNT14" s="98"/>
      <c r="DNU14" s="98"/>
      <c r="DNV14" s="98"/>
      <c r="DNW14" s="98"/>
      <c r="DNX14" s="98"/>
      <c r="DNY14" s="98"/>
      <c r="DNZ14" s="98"/>
      <c r="DOA14" s="98"/>
      <c r="DOB14" s="98"/>
      <c r="DOC14" s="98"/>
      <c r="DOD14" s="98"/>
      <c r="DOE14" s="98"/>
      <c r="DOF14" s="98"/>
      <c r="DOG14" s="98"/>
      <c r="DOH14" s="98"/>
      <c r="DOI14" s="98"/>
      <c r="DOJ14" s="98"/>
      <c r="DOK14" s="98"/>
      <c r="DOL14" s="98"/>
      <c r="DOM14" s="98"/>
      <c r="DON14" s="98"/>
      <c r="DOO14" s="98"/>
      <c r="DOP14" s="98"/>
      <c r="DOQ14" s="98"/>
      <c r="DOR14" s="98"/>
      <c r="DOS14" s="98"/>
      <c r="DOT14" s="98"/>
      <c r="DOU14" s="98"/>
      <c r="DOV14" s="98"/>
      <c r="DOW14" s="98"/>
      <c r="DOX14" s="98"/>
      <c r="DOY14" s="98"/>
      <c r="DOZ14" s="98"/>
      <c r="DPA14" s="98"/>
      <c r="DPB14" s="98"/>
      <c r="DPC14" s="98"/>
      <c r="DPD14" s="98"/>
      <c r="DPE14" s="98"/>
      <c r="DPF14" s="98"/>
      <c r="DPG14" s="98"/>
      <c r="DPH14" s="98"/>
      <c r="DPI14" s="98"/>
      <c r="DPJ14" s="98"/>
      <c r="DPK14" s="98"/>
      <c r="DPL14" s="98"/>
      <c r="DPM14" s="98"/>
      <c r="DPN14" s="98"/>
      <c r="DPO14" s="98"/>
      <c r="DPP14" s="98"/>
      <c r="DPQ14" s="98"/>
      <c r="DPR14" s="98"/>
      <c r="DPS14" s="98"/>
      <c r="DPT14" s="98"/>
      <c r="DPU14" s="98"/>
      <c r="DPV14" s="98"/>
      <c r="DPW14" s="98"/>
      <c r="DPX14" s="98"/>
      <c r="DPY14" s="98"/>
      <c r="DPZ14" s="98"/>
      <c r="DQA14" s="98"/>
      <c r="DQB14" s="98"/>
      <c r="DQC14" s="98"/>
      <c r="DQD14" s="98"/>
      <c r="DQE14" s="98"/>
      <c r="DQF14" s="98"/>
      <c r="DQG14" s="98"/>
      <c r="DQH14" s="98"/>
      <c r="DQI14" s="98"/>
      <c r="DQJ14" s="98"/>
      <c r="DQK14" s="98"/>
      <c r="DQL14" s="98"/>
      <c r="DQM14" s="98"/>
      <c r="DQN14" s="98"/>
      <c r="DQO14" s="98"/>
      <c r="DQP14" s="98"/>
      <c r="DQQ14" s="98"/>
      <c r="DQR14" s="98"/>
      <c r="DQS14" s="98"/>
      <c r="DQT14" s="98"/>
      <c r="DQU14" s="98"/>
      <c r="DQV14" s="98"/>
      <c r="DQW14" s="98"/>
      <c r="DQX14" s="98"/>
      <c r="DQY14" s="98"/>
      <c r="DQZ14" s="98"/>
      <c r="DRA14" s="98"/>
      <c r="DRB14" s="98"/>
      <c r="DRC14" s="98"/>
      <c r="DRD14" s="98"/>
      <c r="DRE14" s="98"/>
      <c r="DRF14" s="98"/>
      <c r="DRG14" s="98"/>
      <c r="DRH14" s="98"/>
      <c r="DRI14" s="98"/>
      <c r="DRJ14" s="98"/>
      <c r="DRK14" s="98"/>
      <c r="DRL14" s="98"/>
      <c r="DRM14" s="98"/>
      <c r="DRN14" s="98"/>
      <c r="DRO14" s="98"/>
      <c r="DRP14" s="98"/>
      <c r="DRQ14" s="98"/>
      <c r="DRR14" s="98"/>
      <c r="DRS14" s="98"/>
      <c r="DRT14" s="98"/>
      <c r="DRU14" s="98"/>
      <c r="DRV14" s="98"/>
      <c r="DRW14" s="98"/>
      <c r="DRX14" s="98"/>
      <c r="DRY14" s="98"/>
      <c r="DRZ14" s="98"/>
      <c r="DSA14" s="98"/>
      <c r="DSB14" s="98"/>
      <c r="DSC14" s="98"/>
      <c r="DSD14" s="98"/>
      <c r="DSE14" s="98"/>
      <c r="DSF14" s="98"/>
      <c r="DSG14" s="98"/>
      <c r="DSH14" s="98"/>
      <c r="DSI14" s="98"/>
      <c r="DSJ14" s="98"/>
      <c r="DSK14" s="98"/>
      <c r="DSL14" s="98"/>
      <c r="DSM14" s="98"/>
      <c r="DSN14" s="98"/>
      <c r="DSO14" s="98"/>
      <c r="DSP14" s="98"/>
      <c r="DSQ14" s="98"/>
      <c r="DSR14" s="98"/>
      <c r="DSS14" s="98"/>
      <c r="DST14" s="98"/>
      <c r="DSU14" s="98"/>
      <c r="DSV14" s="98"/>
      <c r="DSW14" s="98"/>
      <c r="DSX14" s="98"/>
      <c r="DSY14" s="98"/>
      <c r="DSZ14" s="98"/>
      <c r="DTA14" s="98"/>
      <c r="DTB14" s="98"/>
      <c r="DTC14" s="98"/>
      <c r="DTD14" s="98"/>
      <c r="DTE14" s="98"/>
      <c r="DTF14" s="98"/>
      <c r="DTG14" s="98"/>
      <c r="DTH14" s="98"/>
      <c r="DTI14" s="98"/>
      <c r="DTJ14" s="98"/>
      <c r="DTK14" s="98"/>
      <c r="DTL14" s="98"/>
      <c r="DTM14" s="98"/>
      <c r="DTN14" s="98"/>
      <c r="DTO14" s="98"/>
      <c r="DTP14" s="98"/>
      <c r="DTQ14" s="98"/>
      <c r="DTR14" s="98"/>
      <c r="DTS14" s="98"/>
      <c r="DTT14" s="98"/>
      <c r="DTU14" s="98"/>
      <c r="DTV14" s="98"/>
      <c r="DTW14" s="98"/>
      <c r="DTX14" s="98"/>
      <c r="DTY14" s="98"/>
      <c r="DTZ14" s="98"/>
      <c r="DUA14" s="98"/>
      <c r="DUB14" s="98"/>
      <c r="DUC14" s="98"/>
      <c r="DUD14" s="98"/>
      <c r="DUE14" s="98"/>
      <c r="DUF14" s="98"/>
      <c r="DUG14" s="98"/>
      <c r="DUH14" s="98"/>
      <c r="DUI14" s="98"/>
      <c r="DUJ14" s="98"/>
      <c r="DUK14" s="98"/>
      <c r="DUL14" s="98"/>
      <c r="DUM14" s="98"/>
      <c r="DUN14" s="98"/>
      <c r="DUO14" s="98"/>
      <c r="DUP14" s="98"/>
      <c r="DUQ14" s="98"/>
      <c r="DUR14" s="98"/>
      <c r="DUS14" s="98"/>
      <c r="DUT14" s="98"/>
      <c r="DUU14" s="98"/>
      <c r="DUV14" s="98"/>
      <c r="DUW14" s="98"/>
      <c r="DUX14" s="98"/>
      <c r="DUY14" s="98"/>
      <c r="DUZ14" s="98"/>
      <c r="DVA14" s="98"/>
      <c r="DVB14" s="98"/>
      <c r="DVC14" s="98"/>
      <c r="DVD14" s="98"/>
      <c r="DVE14" s="98"/>
      <c r="DVF14" s="98"/>
      <c r="DVG14" s="98"/>
      <c r="DVH14" s="98"/>
      <c r="DVI14" s="98"/>
      <c r="DVJ14" s="98"/>
      <c r="DVK14" s="98"/>
      <c r="DVL14" s="98"/>
      <c r="DVM14" s="98"/>
      <c r="DVN14" s="98"/>
      <c r="DVO14" s="98"/>
      <c r="DVP14" s="98"/>
      <c r="DVQ14" s="98"/>
      <c r="DVR14" s="98"/>
      <c r="DVS14" s="98"/>
      <c r="DVT14" s="98"/>
      <c r="DVU14" s="98"/>
      <c r="DVV14" s="98"/>
      <c r="DVW14" s="98"/>
      <c r="DVX14" s="98"/>
      <c r="DVY14" s="98"/>
      <c r="DVZ14" s="98"/>
      <c r="DWA14" s="98"/>
      <c r="DWB14" s="98"/>
      <c r="DWC14" s="98"/>
      <c r="DWD14" s="98"/>
      <c r="DWE14" s="98"/>
      <c r="DWF14" s="98"/>
      <c r="DWG14" s="98"/>
      <c r="DWH14" s="98"/>
      <c r="DWI14" s="98"/>
      <c r="DWJ14" s="98"/>
      <c r="DWK14" s="98"/>
      <c r="DWL14" s="98"/>
      <c r="DWM14" s="98"/>
      <c r="DWN14" s="98"/>
      <c r="DWO14" s="98"/>
      <c r="DWP14" s="98"/>
      <c r="DWQ14" s="98"/>
      <c r="DWR14" s="98"/>
      <c r="DWS14" s="98"/>
      <c r="DWT14" s="98"/>
      <c r="DWU14" s="98"/>
      <c r="DWV14" s="98"/>
      <c r="DWW14" s="98"/>
      <c r="DWX14" s="98"/>
      <c r="DWY14" s="98"/>
      <c r="DWZ14" s="98"/>
      <c r="DXA14" s="98"/>
      <c r="DXB14" s="98"/>
      <c r="DXC14" s="98"/>
      <c r="DXD14" s="98"/>
      <c r="DXE14" s="98"/>
      <c r="DXF14" s="98"/>
      <c r="DXG14" s="98"/>
      <c r="DXH14" s="98"/>
      <c r="DXI14" s="98"/>
      <c r="DXJ14" s="98"/>
      <c r="DXK14" s="98"/>
      <c r="DXL14" s="98"/>
      <c r="DXM14" s="98"/>
      <c r="DXN14" s="98"/>
      <c r="DXO14" s="98"/>
      <c r="DXP14" s="98"/>
      <c r="DXQ14" s="98"/>
      <c r="DXR14" s="98"/>
      <c r="DXS14" s="98"/>
      <c r="DXT14" s="98"/>
      <c r="DXU14" s="98"/>
      <c r="DXV14" s="98"/>
      <c r="DXW14" s="98"/>
      <c r="DXX14" s="98"/>
      <c r="DXY14" s="98"/>
      <c r="DXZ14" s="98"/>
      <c r="DYA14" s="98"/>
      <c r="DYB14" s="98"/>
      <c r="DYC14" s="98"/>
      <c r="DYD14" s="98"/>
      <c r="DYE14" s="98"/>
      <c r="DYF14" s="98"/>
      <c r="DYG14" s="98"/>
      <c r="DYH14" s="98"/>
      <c r="DYI14" s="98"/>
      <c r="DYJ14" s="98"/>
      <c r="DYK14" s="98"/>
      <c r="DYL14" s="98"/>
      <c r="DYM14" s="98"/>
      <c r="DYN14" s="98"/>
      <c r="DYO14" s="98"/>
      <c r="DYP14" s="98"/>
      <c r="DYQ14" s="98"/>
      <c r="DYR14" s="98"/>
      <c r="DYS14" s="98"/>
      <c r="DYT14" s="98"/>
      <c r="DYU14" s="98"/>
      <c r="DYV14" s="98"/>
      <c r="DYW14" s="98"/>
      <c r="DYX14" s="98"/>
      <c r="DYY14" s="98"/>
      <c r="DYZ14" s="98"/>
      <c r="DZA14" s="98"/>
      <c r="DZB14" s="98"/>
      <c r="DZC14" s="98"/>
      <c r="DZD14" s="98"/>
      <c r="DZE14" s="98"/>
      <c r="DZF14" s="98"/>
      <c r="DZG14" s="98"/>
      <c r="DZH14" s="98"/>
      <c r="DZI14" s="98"/>
      <c r="DZJ14" s="98"/>
      <c r="DZK14" s="98"/>
      <c r="DZL14" s="98"/>
      <c r="DZM14" s="98"/>
      <c r="DZN14" s="98"/>
      <c r="DZO14" s="98"/>
      <c r="DZP14" s="98"/>
      <c r="DZQ14" s="98"/>
      <c r="DZR14" s="98"/>
      <c r="DZS14" s="98"/>
      <c r="DZT14" s="98"/>
      <c r="DZU14" s="98"/>
      <c r="DZV14" s="98"/>
      <c r="DZW14" s="98"/>
      <c r="DZX14" s="98"/>
      <c r="DZY14" s="98"/>
      <c r="DZZ14" s="98"/>
      <c r="EAA14" s="98"/>
      <c r="EAB14" s="98"/>
      <c r="EAC14" s="98"/>
      <c r="EAD14" s="98"/>
      <c r="EAE14" s="98"/>
      <c r="EAF14" s="98"/>
      <c r="EAG14" s="98"/>
      <c r="EAH14" s="98"/>
      <c r="EAI14" s="98"/>
      <c r="EAJ14" s="98"/>
      <c r="EAK14" s="98"/>
      <c r="EAL14" s="98"/>
      <c r="EAM14" s="98"/>
      <c r="EAN14" s="98"/>
      <c r="EAO14" s="98"/>
      <c r="EAP14" s="98"/>
      <c r="EAQ14" s="98"/>
      <c r="EAR14" s="98"/>
      <c r="EAS14" s="98"/>
      <c r="EAT14" s="98"/>
      <c r="EAU14" s="98"/>
      <c r="EAV14" s="98"/>
      <c r="EAW14" s="98"/>
      <c r="EAX14" s="98"/>
      <c r="EAY14" s="98"/>
      <c r="EAZ14" s="98"/>
      <c r="EBA14" s="98"/>
      <c r="EBB14" s="98"/>
      <c r="EBC14" s="98"/>
      <c r="EBD14" s="98"/>
      <c r="EBE14" s="98"/>
      <c r="EBF14" s="98"/>
      <c r="EBG14" s="98"/>
      <c r="EBH14" s="98"/>
      <c r="EBI14" s="98"/>
      <c r="EBJ14" s="98"/>
      <c r="EBK14" s="98"/>
      <c r="EBL14" s="98"/>
      <c r="EBM14" s="98"/>
      <c r="EBN14" s="98"/>
      <c r="EBO14" s="98"/>
      <c r="EBP14" s="98"/>
      <c r="EBQ14" s="98"/>
      <c r="EBR14" s="98"/>
      <c r="EBS14" s="98"/>
      <c r="EBT14" s="98"/>
      <c r="EBU14" s="98"/>
      <c r="EBV14" s="98"/>
      <c r="EBW14" s="98"/>
      <c r="EBX14" s="98"/>
      <c r="EBY14" s="98"/>
      <c r="EBZ14" s="98"/>
      <c r="ECA14" s="98"/>
      <c r="ECB14" s="98"/>
      <c r="ECC14" s="98"/>
      <c r="ECD14" s="98"/>
      <c r="ECE14" s="98"/>
      <c r="ECF14" s="98"/>
      <c r="ECG14" s="98"/>
      <c r="ECH14" s="98"/>
      <c r="ECI14" s="98"/>
      <c r="ECJ14" s="98"/>
      <c r="ECK14" s="98"/>
      <c r="ECL14" s="98"/>
      <c r="ECM14" s="98"/>
      <c r="ECN14" s="98"/>
      <c r="ECO14" s="98"/>
      <c r="ECP14" s="98"/>
      <c r="ECQ14" s="98"/>
      <c r="ECR14" s="98"/>
      <c r="ECS14" s="98"/>
      <c r="ECT14" s="98"/>
      <c r="ECU14" s="98"/>
      <c r="ECV14" s="98"/>
      <c r="ECW14" s="98"/>
      <c r="ECX14" s="98"/>
      <c r="ECY14" s="98"/>
      <c r="ECZ14" s="98"/>
      <c r="EDA14" s="98"/>
      <c r="EDB14" s="98"/>
      <c r="EDC14" s="98"/>
      <c r="EDD14" s="98"/>
      <c r="EDE14" s="98"/>
      <c r="EDF14" s="98"/>
      <c r="EDG14" s="98"/>
      <c r="EDH14" s="98"/>
      <c r="EDI14" s="98"/>
      <c r="EDJ14" s="98"/>
      <c r="EDK14" s="98"/>
      <c r="EDL14" s="98"/>
      <c r="EDM14" s="98"/>
      <c r="EDN14" s="98"/>
      <c r="EDO14" s="98"/>
      <c r="EDP14" s="98"/>
      <c r="EDQ14" s="98"/>
      <c r="EDR14" s="98"/>
      <c r="EDS14" s="98"/>
      <c r="EDT14" s="98"/>
      <c r="EDU14" s="98"/>
      <c r="EDV14" s="98"/>
      <c r="EDW14" s="98"/>
      <c r="EDX14" s="98"/>
      <c r="EDY14" s="98"/>
      <c r="EDZ14" s="98"/>
      <c r="EEA14" s="98"/>
      <c r="EEB14" s="98"/>
      <c r="EEC14" s="98"/>
      <c r="EED14" s="98"/>
      <c r="EEE14" s="98"/>
      <c r="EEF14" s="98"/>
      <c r="EEG14" s="98"/>
      <c r="EEH14" s="98"/>
      <c r="EEI14" s="98"/>
      <c r="EEJ14" s="98"/>
      <c r="EEK14" s="98"/>
      <c r="EEL14" s="98"/>
      <c r="EEM14" s="98"/>
      <c r="EEN14" s="98"/>
      <c r="EEO14" s="98"/>
      <c r="EEP14" s="98"/>
      <c r="EEQ14" s="98"/>
      <c r="EER14" s="98"/>
      <c r="EES14" s="98"/>
      <c r="EET14" s="98"/>
      <c r="EEU14" s="98"/>
      <c r="EEV14" s="98"/>
      <c r="EEW14" s="98"/>
      <c r="EEX14" s="98"/>
      <c r="EEY14" s="98"/>
      <c r="EEZ14" s="98"/>
      <c r="EFA14" s="98"/>
      <c r="EFB14" s="98"/>
      <c r="EFC14" s="98"/>
      <c r="EFD14" s="98"/>
      <c r="EFE14" s="98"/>
      <c r="EFF14" s="98"/>
      <c r="EFG14" s="98"/>
      <c r="EFH14" s="98"/>
      <c r="EFI14" s="98"/>
      <c r="EFJ14" s="98"/>
      <c r="EFK14" s="98"/>
      <c r="EFL14" s="98"/>
      <c r="EFM14" s="98"/>
      <c r="EFN14" s="98"/>
      <c r="EFO14" s="98"/>
      <c r="EFP14" s="98"/>
      <c r="EFQ14" s="98"/>
      <c r="EFR14" s="98"/>
      <c r="EFS14" s="98"/>
      <c r="EFT14" s="98"/>
      <c r="EFU14" s="98"/>
      <c r="EFV14" s="98"/>
      <c r="EFW14" s="98"/>
      <c r="EFX14" s="98"/>
      <c r="EFY14" s="98"/>
      <c r="EFZ14" s="98"/>
      <c r="EGA14" s="98"/>
      <c r="EGB14" s="98"/>
      <c r="EGC14" s="98"/>
      <c r="EGD14" s="98"/>
      <c r="EGE14" s="98"/>
      <c r="EGF14" s="98"/>
      <c r="EGG14" s="98"/>
      <c r="EGH14" s="98"/>
      <c r="EGI14" s="98"/>
      <c r="EGJ14" s="98"/>
      <c r="EGK14" s="98"/>
      <c r="EGL14" s="98"/>
      <c r="EGM14" s="98"/>
      <c r="EGN14" s="98"/>
      <c r="EGO14" s="98"/>
      <c r="EGP14" s="98"/>
      <c r="EGQ14" s="98"/>
      <c r="EGR14" s="98"/>
      <c r="EGS14" s="98"/>
      <c r="EGT14" s="98"/>
      <c r="EGU14" s="98"/>
      <c r="EGV14" s="98"/>
      <c r="EGW14" s="98"/>
      <c r="EGX14" s="98"/>
      <c r="EGY14" s="98"/>
      <c r="EGZ14" s="98"/>
      <c r="EHA14" s="98"/>
      <c r="EHB14" s="98"/>
      <c r="EHC14" s="98"/>
      <c r="EHD14" s="98"/>
      <c r="EHE14" s="98"/>
      <c r="EHF14" s="98"/>
      <c r="EHG14" s="98"/>
      <c r="EHH14" s="98"/>
      <c r="EHI14" s="98"/>
      <c r="EHJ14" s="98"/>
      <c r="EHK14" s="98"/>
      <c r="EHL14" s="98"/>
      <c r="EHM14" s="98"/>
      <c r="EHN14" s="98"/>
      <c r="EHO14" s="98"/>
      <c r="EHP14" s="98"/>
      <c r="EHQ14" s="98"/>
      <c r="EHR14" s="98"/>
      <c r="EHS14" s="98"/>
      <c r="EHT14" s="98"/>
      <c r="EHU14" s="98"/>
      <c r="EHV14" s="98"/>
      <c r="EHW14" s="98"/>
      <c r="EHX14" s="98"/>
      <c r="EHY14" s="98"/>
      <c r="EHZ14" s="98"/>
      <c r="EIA14" s="98"/>
      <c r="EIB14" s="98"/>
      <c r="EIC14" s="98"/>
      <c r="EID14" s="98"/>
      <c r="EIE14" s="98"/>
      <c r="EIF14" s="98"/>
      <c r="EIG14" s="98"/>
      <c r="EIH14" s="98"/>
      <c r="EII14" s="98"/>
      <c r="EIJ14" s="98"/>
      <c r="EIK14" s="98"/>
      <c r="EIL14" s="98"/>
      <c r="EIM14" s="98"/>
      <c r="EIN14" s="98"/>
      <c r="EIO14" s="98"/>
      <c r="EIP14" s="98"/>
      <c r="EIQ14" s="98"/>
      <c r="EIR14" s="98"/>
      <c r="EIS14" s="98"/>
      <c r="EIT14" s="98"/>
      <c r="EIU14" s="98"/>
      <c r="EIV14" s="98"/>
      <c r="EIW14" s="98"/>
      <c r="EIX14" s="98"/>
      <c r="EIY14" s="98"/>
      <c r="EIZ14" s="98"/>
      <c r="EJA14" s="98"/>
      <c r="EJB14" s="98"/>
      <c r="EJC14" s="98"/>
      <c r="EJD14" s="98"/>
      <c r="EJE14" s="98"/>
      <c r="EJF14" s="98"/>
      <c r="EJG14" s="98"/>
      <c r="EJH14" s="98"/>
      <c r="EJI14" s="98"/>
      <c r="EJJ14" s="98"/>
      <c r="EJK14" s="98"/>
      <c r="EJL14" s="98"/>
      <c r="EJM14" s="98"/>
      <c r="EJN14" s="98"/>
      <c r="EJO14" s="98"/>
      <c r="EJP14" s="98"/>
      <c r="EJQ14" s="98"/>
      <c r="EJR14" s="98"/>
      <c r="EJS14" s="98"/>
      <c r="EJT14" s="98"/>
      <c r="EJU14" s="98"/>
      <c r="EJV14" s="98"/>
      <c r="EJW14" s="98"/>
      <c r="EJX14" s="98"/>
      <c r="EJY14" s="98"/>
      <c r="EJZ14" s="98"/>
      <c r="EKA14" s="98"/>
      <c r="EKB14" s="98"/>
      <c r="EKC14" s="98"/>
      <c r="EKD14" s="98"/>
      <c r="EKE14" s="98"/>
      <c r="EKF14" s="98"/>
      <c r="EKG14" s="98"/>
      <c r="EKH14" s="98"/>
      <c r="EKI14" s="98"/>
      <c r="EKJ14" s="98"/>
      <c r="EKK14" s="98"/>
      <c r="EKL14" s="98"/>
      <c r="EKM14" s="98"/>
      <c r="EKN14" s="98"/>
      <c r="EKO14" s="98"/>
      <c r="EKP14" s="98"/>
      <c r="EKQ14" s="98"/>
      <c r="EKR14" s="98"/>
      <c r="EKS14" s="98"/>
      <c r="EKT14" s="98"/>
      <c r="EKU14" s="98"/>
      <c r="EKV14" s="98"/>
      <c r="EKW14" s="98"/>
      <c r="EKX14" s="98"/>
      <c r="EKY14" s="98"/>
      <c r="EKZ14" s="98"/>
      <c r="ELA14" s="98"/>
      <c r="ELB14" s="98"/>
      <c r="ELC14" s="98"/>
      <c r="ELD14" s="98"/>
      <c r="ELE14" s="98"/>
      <c r="ELF14" s="98"/>
      <c r="ELG14" s="98"/>
      <c r="ELH14" s="98"/>
      <c r="ELI14" s="98"/>
      <c r="ELJ14" s="98"/>
      <c r="ELK14" s="98"/>
      <c r="ELL14" s="98"/>
      <c r="ELM14" s="98"/>
      <c r="ELN14" s="98"/>
      <c r="ELO14" s="98"/>
      <c r="ELP14" s="98"/>
      <c r="ELQ14" s="98"/>
      <c r="ELR14" s="98"/>
      <c r="ELS14" s="98"/>
      <c r="ELT14" s="98"/>
      <c r="ELU14" s="98"/>
      <c r="ELV14" s="98"/>
      <c r="ELW14" s="98"/>
      <c r="ELX14" s="98"/>
      <c r="ELY14" s="98"/>
      <c r="ELZ14" s="98"/>
      <c r="EMA14" s="98"/>
      <c r="EMB14" s="98"/>
      <c r="EMC14" s="98"/>
      <c r="EMD14" s="98"/>
      <c r="EME14" s="98"/>
      <c r="EMF14" s="98"/>
      <c r="EMG14" s="98"/>
      <c r="EMH14" s="98"/>
      <c r="EMI14" s="98"/>
      <c r="EMJ14" s="98"/>
      <c r="EMK14" s="98"/>
      <c r="EML14" s="98"/>
      <c r="EMM14" s="98"/>
      <c r="EMN14" s="98"/>
      <c r="EMO14" s="98"/>
      <c r="EMP14" s="98"/>
      <c r="EMQ14" s="98"/>
      <c r="EMR14" s="98"/>
      <c r="EMS14" s="98"/>
      <c r="EMT14" s="98"/>
      <c r="EMU14" s="98"/>
      <c r="EMV14" s="98"/>
      <c r="EMW14" s="98"/>
      <c r="EMX14" s="98"/>
      <c r="EMY14" s="98"/>
      <c r="EMZ14" s="98"/>
      <c r="ENA14" s="98"/>
      <c r="ENB14" s="98"/>
      <c r="ENC14" s="98"/>
      <c r="END14" s="98"/>
      <c r="ENE14" s="98"/>
      <c r="ENF14" s="98"/>
      <c r="ENG14" s="98"/>
      <c r="ENH14" s="98"/>
      <c r="ENI14" s="98"/>
      <c r="ENJ14" s="98"/>
      <c r="ENK14" s="98"/>
      <c r="ENL14" s="98"/>
      <c r="ENM14" s="98"/>
      <c r="ENN14" s="98"/>
      <c r="ENO14" s="98"/>
      <c r="ENP14" s="98"/>
      <c r="ENQ14" s="98"/>
      <c r="ENR14" s="98"/>
      <c r="ENS14" s="98"/>
      <c r="ENT14" s="98"/>
      <c r="ENU14" s="98"/>
      <c r="ENV14" s="98"/>
      <c r="ENW14" s="98"/>
      <c r="ENX14" s="98"/>
      <c r="ENY14" s="98"/>
      <c r="ENZ14" s="98"/>
      <c r="EOA14" s="98"/>
      <c r="EOB14" s="98"/>
      <c r="EOC14" s="98"/>
      <c r="EOD14" s="98"/>
      <c r="EOE14" s="98"/>
      <c r="EOF14" s="98"/>
      <c r="EOG14" s="98"/>
      <c r="EOH14" s="98"/>
      <c r="EOI14" s="98"/>
      <c r="EOJ14" s="98"/>
      <c r="EOK14" s="98"/>
      <c r="EOL14" s="98"/>
      <c r="EOM14" s="98"/>
      <c r="EON14" s="98"/>
      <c r="EOO14" s="98"/>
      <c r="EOP14" s="98"/>
      <c r="EOQ14" s="98"/>
      <c r="EOR14" s="98"/>
      <c r="EOS14" s="98"/>
      <c r="EOT14" s="98"/>
      <c r="EOU14" s="98"/>
      <c r="EOV14" s="98"/>
      <c r="EOW14" s="98"/>
      <c r="EOX14" s="98"/>
      <c r="EOY14" s="98"/>
      <c r="EOZ14" s="98"/>
      <c r="EPA14" s="98"/>
      <c r="EPB14" s="98"/>
      <c r="EPC14" s="98"/>
      <c r="EPD14" s="98"/>
      <c r="EPE14" s="98"/>
      <c r="EPF14" s="98"/>
      <c r="EPG14" s="98"/>
      <c r="EPH14" s="98"/>
      <c r="EPI14" s="98"/>
      <c r="EPJ14" s="98"/>
      <c r="EPK14" s="98"/>
      <c r="EPL14" s="98"/>
      <c r="EPM14" s="98"/>
      <c r="EPN14" s="98"/>
      <c r="EPO14" s="98"/>
      <c r="EPP14" s="98"/>
      <c r="EPQ14" s="98"/>
      <c r="EPR14" s="98"/>
      <c r="EPS14" s="98"/>
      <c r="EPT14" s="98"/>
      <c r="EPU14" s="98"/>
      <c r="EPV14" s="98"/>
      <c r="EPW14" s="98"/>
      <c r="EPX14" s="98"/>
      <c r="EPY14" s="98"/>
      <c r="EPZ14" s="98"/>
      <c r="EQA14" s="98"/>
      <c r="EQB14" s="98"/>
      <c r="EQC14" s="98"/>
      <c r="EQD14" s="98"/>
      <c r="EQE14" s="98"/>
      <c r="EQF14" s="98"/>
      <c r="EQG14" s="98"/>
      <c r="EQH14" s="98"/>
      <c r="EQI14" s="98"/>
      <c r="EQJ14" s="98"/>
      <c r="EQK14" s="98"/>
      <c r="EQL14" s="98"/>
      <c r="EQM14" s="98"/>
      <c r="EQN14" s="98"/>
      <c r="EQO14" s="98"/>
      <c r="EQP14" s="98"/>
      <c r="EQQ14" s="98"/>
      <c r="EQR14" s="98"/>
      <c r="EQS14" s="98"/>
      <c r="EQT14" s="98"/>
      <c r="EQU14" s="98"/>
      <c r="EQV14" s="98"/>
      <c r="EQW14" s="98"/>
      <c r="EQX14" s="98"/>
      <c r="EQY14" s="98"/>
      <c r="EQZ14" s="98"/>
      <c r="ERA14" s="98"/>
      <c r="ERB14" s="98"/>
      <c r="ERC14" s="98"/>
      <c r="ERD14" s="98"/>
      <c r="ERE14" s="98"/>
      <c r="ERF14" s="98"/>
      <c r="ERG14" s="98"/>
      <c r="ERH14" s="98"/>
      <c r="ERI14" s="98"/>
      <c r="ERJ14" s="98"/>
      <c r="ERK14" s="98"/>
      <c r="ERL14" s="98"/>
      <c r="ERM14" s="98"/>
      <c r="ERN14" s="98"/>
      <c r="ERO14" s="98"/>
      <c r="ERP14" s="98"/>
      <c r="ERQ14" s="98"/>
      <c r="ERR14" s="98"/>
      <c r="ERS14" s="98"/>
      <c r="ERT14" s="98"/>
      <c r="ERU14" s="98"/>
      <c r="ERV14" s="98"/>
      <c r="ERW14" s="98"/>
      <c r="ERX14" s="98"/>
      <c r="ERY14" s="98"/>
      <c r="ERZ14" s="98"/>
      <c r="ESA14" s="98"/>
      <c r="ESB14" s="98"/>
      <c r="ESC14" s="98"/>
      <c r="ESD14" s="98"/>
      <c r="ESE14" s="98"/>
      <c r="ESF14" s="98"/>
      <c r="ESG14" s="98"/>
      <c r="ESH14" s="98"/>
      <c r="ESI14" s="98"/>
      <c r="ESJ14" s="98"/>
      <c r="ESK14" s="98"/>
      <c r="ESL14" s="98"/>
      <c r="ESM14" s="98"/>
      <c r="ESN14" s="98"/>
      <c r="ESO14" s="98"/>
      <c r="ESP14" s="98"/>
      <c r="ESQ14" s="98"/>
      <c r="ESR14" s="98"/>
      <c r="ESS14" s="98"/>
      <c r="EST14" s="98"/>
      <c r="ESU14" s="98"/>
      <c r="ESV14" s="98"/>
      <c r="ESW14" s="98"/>
      <c r="ESX14" s="98"/>
      <c r="ESY14" s="98"/>
      <c r="ESZ14" s="98"/>
      <c r="ETA14" s="98"/>
      <c r="ETB14" s="98"/>
      <c r="ETC14" s="98"/>
      <c r="ETD14" s="98"/>
      <c r="ETE14" s="98"/>
      <c r="ETF14" s="98"/>
      <c r="ETG14" s="98"/>
      <c r="ETH14" s="98"/>
      <c r="ETI14" s="98"/>
      <c r="ETJ14" s="98"/>
      <c r="ETK14" s="98"/>
      <c r="ETL14" s="98"/>
      <c r="ETM14" s="98"/>
      <c r="ETN14" s="98"/>
      <c r="ETO14" s="98"/>
      <c r="ETP14" s="98"/>
      <c r="ETQ14" s="98"/>
      <c r="ETR14" s="98"/>
      <c r="ETS14" s="98"/>
      <c r="ETT14" s="98"/>
      <c r="ETU14" s="98"/>
      <c r="ETV14" s="98"/>
      <c r="ETW14" s="98"/>
      <c r="ETX14" s="98"/>
      <c r="ETY14" s="98"/>
      <c r="ETZ14" s="98"/>
      <c r="EUA14" s="98"/>
      <c r="EUB14" s="98"/>
      <c r="EUC14" s="98"/>
      <c r="EUD14" s="98"/>
      <c r="EUE14" s="98"/>
      <c r="EUF14" s="98"/>
      <c r="EUG14" s="98"/>
      <c r="EUH14" s="98"/>
      <c r="EUI14" s="98"/>
      <c r="EUJ14" s="98"/>
      <c r="EUK14" s="98"/>
      <c r="EUL14" s="98"/>
      <c r="EUM14" s="98"/>
      <c r="EUN14" s="98"/>
      <c r="EUO14" s="98"/>
      <c r="EUP14" s="98"/>
      <c r="EUQ14" s="98"/>
      <c r="EUR14" s="98"/>
      <c r="EUS14" s="98"/>
      <c r="EUT14" s="98"/>
      <c r="EUU14" s="98"/>
      <c r="EUV14" s="98"/>
      <c r="EUW14" s="98"/>
      <c r="EUX14" s="98"/>
      <c r="EUY14" s="98"/>
      <c r="EUZ14" s="98"/>
      <c r="EVA14" s="98"/>
      <c r="EVB14" s="98"/>
      <c r="EVC14" s="98"/>
      <c r="EVD14" s="98"/>
      <c r="EVE14" s="98"/>
      <c r="EVF14" s="98"/>
      <c r="EVG14" s="98"/>
      <c r="EVH14" s="98"/>
      <c r="EVI14" s="98"/>
      <c r="EVJ14" s="98"/>
      <c r="EVK14" s="98"/>
      <c r="EVL14" s="98"/>
      <c r="EVM14" s="98"/>
      <c r="EVN14" s="98"/>
      <c r="EVO14" s="98"/>
      <c r="EVP14" s="98"/>
      <c r="EVQ14" s="98"/>
      <c r="EVR14" s="98"/>
      <c r="EVS14" s="98"/>
      <c r="EVT14" s="98"/>
      <c r="EVU14" s="98"/>
      <c r="EVV14" s="98"/>
      <c r="EVW14" s="98"/>
      <c r="EVX14" s="98"/>
      <c r="EVY14" s="98"/>
      <c r="EVZ14" s="98"/>
      <c r="EWA14" s="98"/>
      <c r="EWB14" s="98"/>
      <c r="EWC14" s="98"/>
      <c r="EWD14" s="98"/>
      <c r="EWE14" s="98"/>
      <c r="EWF14" s="98"/>
      <c r="EWG14" s="98"/>
      <c r="EWH14" s="98"/>
      <c r="EWI14" s="98"/>
      <c r="EWJ14" s="98"/>
      <c r="EWK14" s="98"/>
      <c r="EWL14" s="98"/>
      <c r="EWM14" s="98"/>
      <c r="EWN14" s="98"/>
      <c r="EWO14" s="98"/>
      <c r="EWP14" s="98"/>
      <c r="EWQ14" s="98"/>
      <c r="EWR14" s="98"/>
      <c r="EWS14" s="98"/>
      <c r="EWT14" s="98"/>
      <c r="EWU14" s="98"/>
      <c r="EWV14" s="98"/>
      <c r="EWW14" s="98"/>
      <c r="EWX14" s="98"/>
      <c r="EWY14" s="98"/>
      <c r="EWZ14" s="98"/>
      <c r="EXA14" s="98"/>
      <c r="EXB14" s="98"/>
      <c r="EXC14" s="98"/>
      <c r="EXD14" s="98"/>
      <c r="EXE14" s="98"/>
      <c r="EXF14" s="98"/>
      <c r="EXG14" s="98"/>
      <c r="EXH14" s="98"/>
      <c r="EXI14" s="98"/>
      <c r="EXJ14" s="98"/>
      <c r="EXK14" s="98"/>
      <c r="EXL14" s="98"/>
      <c r="EXM14" s="98"/>
      <c r="EXN14" s="98"/>
      <c r="EXO14" s="98"/>
      <c r="EXP14" s="98"/>
      <c r="EXQ14" s="98"/>
      <c r="EXR14" s="98"/>
      <c r="EXS14" s="98"/>
      <c r="EXT14" s="98"/>
      <c r="EXU14" s="98"/>
      <c r="EXV14" s="98"/>
      <c r="EXW14" s="98"/>
      <c r="EXX14" s="98"/>
      <c r="EXY14" s="98"/>
      <c r="EXZ14" s="98"/>
      <c r="EYA14" s="98"/>
      <c r="EYB14" s="98"/>
      <c r="EYC14" s="98"/>
      <c r="EYD14" s="98"/>
      <c r="EYE14" s="98"/>
      <c r="EYF14" s="98"/>
      <c r="EYG14" s="98"/>
      <c r="EYH14" s="98"/>
      <c r="EYI14" s="98"/>
      <c r="EYJ14" s="98"/>
      <c r="EYK14" s="98"/>
      <c r="EYL14" s="98"/>
      <c r="EYM14" s="98"/>
      <c r="EYN14" s="98"/>
      <c r="EYO14" s="98"/>
      <c r="EYP14" s="98"/>
      <c r="EYQ14" s="98"/>
      <c r="EYR14" s="98"/>
      <c r="EYS14" s="98"/>
      <c r="EYT14" s="98"/>
      <c r="EYU14" s="98"/>
      <c r="EYV14" s="98"/>
      <c r="EYW14" s="98"/>
      <c r="EYX14" s="98"/>
      <c r="EYY14" s="98"/>
      <c r="EYZ14" s="98"/>
      <c r="EZA14" s="98"/>
      <c r="EZB14" s="98"/>
      <c r="EZC14" s="98"/>
      <c r="EZD14" s="98"/>
      <c r="EZE14" s="98"/>
      <c r="EZF14" s="98"/>
      <c r="EZG14" s="98"/>
      <c r="EZH14" s="98"/>
      <c r="EZI14" s="98"/>
      <c r="EZJ14" s="98"/>
      <c r="EZK14" s="98"/>
      <c r="EZL14" s="98"/>
      <c r="EZM14" s="98"/>
      <c r="EZN14" s="98"/>
      <c r="EZO14" s="98"/>
      <c r="EZP14" s="98"/>
      <c r="EZQ14" s="98"/>
      <c r="EZR14" s="98"/>
      <c r="EZS14" s="98"/>
      <c r="EZT14" s="98"/>
      <c r="EZU14" s="98"/>
      <c r="EZV14" s="98"/>
      <c r="EZW14" s="98"/>
      <c r="EZX14" s="98"/>
      <c r="EZY14" s="98"/>
      <c r="EZZ14" s="98"/>
      <c r="FAA14" s="98"/>
      <c r="FAB14" s="98"/>
      <c r="FAC14" s="98"/>
      <c r="FAD14" s="98"/>
      <c r="FAE14" s="98"/>
      <c r="FAF14" s="98"/>
      <c r="FAG14" s="98"/>
      <c r="FAH14" s="98"/>
      <c r="FAI14" s="98"/>
      <c r="FAJ14" s="98"/>
      <c r="FAK14" s="98"/>
      <c r="FAL14" s="98"/>
      <c r="FAM14" s="98"/>
      <c r="FAN14" s="98"/>
      <c r="FAO14" s="98"/>
      <c r="FAP14" s="98"/>
      <c r="FAQ14" s="98"/>
      <c r="FAR14" s="98"/>
      <c r="FAS14" s="98"/>
      <c r="FAT14" s="98"/>
      <c r="FAU14" s="98"/>
      <c r="FAV14" s="98"/>
      <c r="FAW14" s="98"/>
      <c r="FAX14" s="98"/>
      <c r="FAY14" s="98"/>
      <c r="FAZ14" s="98"/>
      <c r="FBA14" s="98"/>
      <c r="FBB14" s="98"/>
      <c r="FBC14" s="98"/>
      <c r="FBD14" s="98"/>
      <c r="FBE14" s="98"/>
      <c r="FBF14" s="98"/>
      <c r="FBG14" s="98"/>
      <c r="FBH14" s="98"/>
      <c r="FBI14" s="98"/>
      <c r="FBJ14" s="98"/>
      <c r="FBK14" s="98"/>
      <c r="FBL14" s="98"/>
      <c r="FBM14" s="98"/>
      <c r="FBN14" s="98"/>
      <c r="FBO14" s="98"/>
      <c r="FBP14" s="98"/>
      <c r="FBQ14" s="98"/>
      <c r="FBR14" s="98"/>
      <c r="FBS14" s="98"/>
      <c r="FBT14" s="98"/>
      <c r="FBU14" s="98"/>
      <c r="FBV14" s="98"/>
      <c r="FBW14" s="98"/>
      <c r="FBX14" s="98"/>
      <c r="FBY14" s="98"/>
      <c r="FBZ14" s="98"/>
      <c r="FCA14" s="98"/>
      <c r="FCB14" s="98"/>
      <c r="FCC14" s="98"/>
      <c r="FCD14" s="98"/>
      <c r="FCE14" s="98"/>
      <c r="FCF14" s="98"/>
      <c r="FCG14" s="98"/>
      <c r="FCH14" s="98"/>
      <c r="FCI14" s="98"/>
      <c r="FCJ14" s="98"/>
      <c r="FCK14" s="98"/>
      <c r="FCL14" s="98"/>
      <c r="FCM14" s="98"/>
      <c r="FCN14" s="98"/>
      <c r="FCO14" s="98"/>
      <c r="FCP14" s="98"/>
      <c r="FCQ14" s="98"/>
      <c r="FCR14" s="98"/>
      <c r="FCS14" s="98"/>
      <c r="FCT14" s="98"/>
      <c r="FCU14" s="98"/>
      <c r="FCV14" s="98"/>
      <c r="FCW14" s="98"/>
      <c r="FCX14" s="98"/>
      <c r="FCY14" s="98"/>
      <c r="FCZ14" s="98"/>
      <c r="FDA14" s="98"/>
      <c r="FDB14" s="98"/>
      <c r="FDC14" s="98"/>
      <c r="FDD14" s="98"/>
      <c r="FDE14" s="98"/>
      <c r="FDF14" s="98"/>
      <c r="FDG14" s="98"/>
      <c r="FDH14" s="98"/>
      <c r="FDI14" s="98"/>
      <c r="FDJ14" s="98"/>
      <c r="FDK14" s="98"/>
      <c r="FDL14" s="98"/>
      <c r="FDM14" s="98"/>
      <c r="FDN14" s="98"/>
      <c r="FDO14" s="98"/>
      <c r="FDP14" s="98"/>
      <c r="FDQ14" s="98"/>
      <c r="FDR14" s="98"/>
      <c r="FDS14" s="98"/>
      <c r="FDT14" s="98"/>
      <c r="FDU14" s="98"/>
      <c r="FDV14" s="98"/>
      <c r="FDW14" s="98"/>
      <c r="FDX14" s="98"/>
      <c r="FDY14" s="98"/>
      <c r="FDZ14" s="98"/>
      <c r="FEA14" s="98"/>
      <c r="FEB14" s="98"/>
      <c r="FEC14" s="98"/>
      <c r="FED14" s="98"/>
      <c r="FEE14" s="98"/>
      <c r="FEF14" s="98"/>
      <c r="FEG14" s="98"/>
      <c r="FEH14" s="98"/>
      <c r="FEI14" s="98"/>
      <c r="FEJ14" s="98"/>
      <c r="FEK14" s="98"/>
      <c r="FEL14" s="98"/>
      <c r="FEM14" s="98"/>
      <c r="FEN14" s="98"/>
      <c r="FEO14" s="98"/>
      <c r="FEP14" s="98"/>
      <c r="FEQ14" s="98"/>
      <c r="FER14" s="98"/>
      <c r="FES14" s="98"/>
      <c r="FET14" s="98"/>
      <c r="FEU14" s="98"/>
      <c r="FEV14" s="98"/>
      <c r="FEW14" s="98"/>
      <c r="FEX14" s="98"/>
      <c r="FEY14" s="98"/>
      <c r="FEZ14" s="98"/>
      <c r="FFA14" s="98"/>
      <c r="FFB14" s="98"/>
      <c r="FFC14" s="98"/>
      <c r="FFD14" s="98"/>
      <c r="FFE14" s="98"/>
      <c r="FFF14" s="98"/>
      <c r="FFG14" s="98"/>
      <c r="FFH14" s="98"/>
      <c r="FFI14" s="98"/>
      <c r="FFJ14" s="98"/>
      <c r="FFK14" s="98"/>
      <c r="FFL14" s="98"/>
      <c r="FFM14" s="98"/>
      <c r="FFN14" s="98"/>
      <c r="FFO14" s="98"/>
      <c r="FFP14" s="98"/>
      <c r="FFQ14" s="98"/>
      <c r="FFR14" s="98"/>
      <c r="FFS14" s="98"/>
      <c r="FFT14" s="98"/>
      <c r="FFU14" s="98"/>
      <c r="FFV14" s="98"/>
      <c r="FFW14" s="98"/>
      <c r="FFX14" s="98"/>
      <c r="FFY14" s="98"/>
      <c r="FFZ14" s="98"/>
      <c r="FGA14" s="98"/>
      <c r="FGB14" s="98"/>
      <c r="FGC14" s="98"/>
      <c r="FGD14" s="98"/>
      <c r="FGE14" s="98"/>
      <c r="FGF14" s="98"/>
      <c r="FGG14" s="98"/>
      <c r="FGH14" s="98"/>
      <c r="FGI14" s="98"/>
      <c r="FGJ14" s="98"/>
      <c r="FGK14" s="98"/>
      <c r="FGL14" s="98"/>
      <c r="FGM14" s="98"/>
      <c r="FGN14" s="98"/>
      <c r="FGO14" s="98"/>
      <c r="FGP14" s="98"/>
      <c r="FGQ14" s="98"/>
      <c r="FGR14" s="98"/>
      <c r="FGS14" s="98"/>
      <c r="FGT14" s="98"/>
      <c r="FGU14" s="98"/>
      <c r="FGV14" s="98"/>
      <c r="FGW14" s="98"/>
      <c r="FGX14" s="98"/>
      <c r="FGY14" s="98"/>
      <c r="FGZ14" s="98"/>
      <c r="FHA14" s="98"/>
      <c r="FHB14" s="98"/>
      <c r="FHC14" s="98"/>
      <c r="FHD14" s="98"/>
      <c r="FHE14" s="98"/>
      <c r="FHF14" s="98"/>
      <c r="FHG14" s="98"/>
      <c r="FHH14" s="98"/>
      <c r="FHI14" s="98"/>
      <c r="FHJ14" s="98"/>
      <c r="FHK14" s="98"/>
      <c r="FHL14" s="98"/>
      <c r="FHM14" s="98"/>
      <c r="FHN14" s="98"/>
      <c r="FHO14" s="98"/>
      <c r="FHP14" s="98"/>
      <c r="FHQ14" s="98"/>
      <c r="FHR14" s="98"/>
      <c r="FHS14" s="98"/>
      <c r="FHT14" s="98"/>
      <c r="FHU14" s="98"/>
      <c r="FHV14" s="98"/>
      <c r="FHW14" s="98"/>
      <c r="FHX14" s="98"/>
      <c r="FHY14" s="98"/>
      <c r="FHZ14" s="98"/>
      <c r="FIA14" s="98"/>
      <c r="FIB14" s="98"/>
      <c r="FIC14" s="98"/>
      <c r="FID14" s="98"/>
      <c r="FIE14" s="98"/>
      <c r="FIF14" s="98"/>
      <c r="FIG14" s="98"/>
      <c r="FIH14" s="98"/>
      <c r="FII14" s="98"/>
      <c r="FIJ14" s="98"/>
      <c r="FIK14" s="98"/>
      <c r="FIL14" s="98"/>
      <c r="FIM14" s="98"/>
      <c r="FIN14" s="98"/>
      <c r="FIO14" s="98"/>
      <c r="FIP14" s="98"/>
      <c r="FIQ14" s="98"/>
      <c r="FIR14" s="98"/>
      <c r="FIS14" s="98"/>
      <c r="FIT14" s="98"/>
      <c r="FIU14" s="98"/>
      <c r="FIV14" s="98"/>
      <c r="FIW14" s="98"/>
      <c r="FIX14" s="98"/>
      <c r="FIY14" s="98"/>
      <c r="FIZ14" s="98"/>
      <c r="FJA14" s="98"/>
      <c r="FJB14" s="98"/>
      <c r="FJC14" s="98"/>
      <c r="FJD14" s="98"/>
      <c r="FJE14" s="98"/>
      <c r="FJF14" s="98"/>
      <c r="FJG14" s="98"/>
      <c r="FJH14" s="98"/>
      <c r="FJI14" s="98"/>
      <c r="FJJ14" s="98"/>
      <c r="FJK14" s="98"/>
      <c r="FJL14" s="98"/>
      <c r="FJM14" s="98"/>
      <c r="FJN14" s="98"/>
      <c r="FJO14" s="98"/>
      <c r="FJP14" s="98"/>
      <c r="FJQ14" s="98"/>
      <c r="FJR14" s="98"/>
      <c r="FJS14" s="98"/>
      <c r="FJT14" s="98"/>
      <c r="FJU14" s="98"/>
      <c r="FJV14" s="98"/>
      <c r="FJW14" s="98"/>
      <c r="FJX14" s="98"/>
      <c r="FJY14" s="98"/>
      <c r="FJZ14" s="98"/>
      <c r="FKA14" s="98"/>
      <c r="FKB14" s="98"/>
      <c r="FKC14" s="98"/>
      <c r="FKD14" s="98"/>
      <c r="FKE14" s="98"/>
      <c r="FKF14" s="98"/>
      <c r="FKG14" s="98"/>
      <c r="FKH14" s="98"/>
      <c r="FKI14" s="98"/>
      <c r="FKJ14" s="98"/>
      <c r="FKK14" s="98"/>
      <c r="FKL14" s="98"/>
      <c r="FKM14" s="98"/>
      <c r="FKN14" s="98"/>
      <c r="FKO14" s="98"/>
      <c r="FKP14" s="98"/>
      <c r="FKQ14" s="98"/>
      <c r="FKR14" s="98"/>
      <c r="FKS14" s="98"/>
      <c r="FKT14" s="98"/>
      <c r="FKU14" s="98"/>
      <c r="FKV14" s="98"/>
      <c r="FKW14" s="98"/>
      <c r="FKX14" s="98"/>
      <c r="FKY14" s="98"/>
      <c r="FKZ14" s="98"/>
      <c r="FLA14" s="98"/>
      <c r="FLB14" s="98"/>
      <c r="FLC14" s="98"/>
      <c r="FLD14" s="98"/>
      <c r="FLE14" s="98"/>
      <c r="FLF14" s="98"/>
      <c r="FLG14" s="98"/>
      <c r="FLH14" s="98"/>
      <c r="FLI14" s="98"/>
      <c r="FLJ14" s="98"/>
      <c r="FLK14" s="98"/>
      <c r="FLL14" s="98"/>
      <c r="FLM14" s="98"/>
      <c r="FLN14" s="98"/>
      <c r="FLO14" s="98"/>
      <c r="FLP14" s="98"/>
      <c r="FLQ14" s="98"/>
      <c r="FLR14" s="98"/>
      <c r="FLS14" s="98"/>
      <c r="FLT14" s="98"/>
      <c r="FLU14" s="98"/>
      <c r="FLV14" s="98"/>
      <c r="FLW14" s="98"/>
      <c r="FLX14" s="98"/>
      <c r="FLY14" s="98"/>
      <c r="FLZ14" s="98"/>
      <c r="FMA14" s="98"/>
      <c r="FMB14" s="98"/>
      <c r="FMC14" s="98"/>
      <c r="FMD14" s="98"/>
      <c r="FME14" s="98"/>
      <c r="FMF14" s="98"/>
      <c r="FMG14" s="98"/>
      <c r="FMH14" s="98"/>
      <c r="FMI14" s="98"/>
      <c r="FMJ14" s="98"/>
      <c r="FMK14" s="98"/>
      <c r="FML14" s="98"/>
      <c r="FMM14" s="98"/>
      <c r="FMN14" s="98"/>
      <c r="FMO14" s="98"/>
      <c r="FMP14" s="98"/>
      <c r="FMQ14" s="98"/>
      <c r="FMR14" s="98"/>
      <c r="FMS14" s="98"/>
      <c r="FMT14" s="98"/>
      <c r="FMU14" s="98"/>
      <c r="FMV14" s="98"/>
      <c r="FMW14" s="98"/>
      <c r="FMX14" s="98"/>
      <c r="FMY14" s="98"/>
      <c r="FMZ14" s="98"/>
      <c r="FNA14" s="98"/>
      <c r="FNB14" s="98"/>
      <c r="FNC14" s="98"/>
      <c r="FND14" s="98"/>
      <c r="FNE14" s="98"/>
      <c r="FNF14" s="98"/>
      <c r="FNG14" s="98"/>
      <c r="FNH14" s="98"/>
      <c r="FNI14" s="98"/>
      <c r="FNJ14" s="98"/>
      <c r="FNK14" s="98"/>
      <c r="FNL14" s="98"/>
      <c r="FNM14" s="98"/>
      <c r="FNN14" s="98"/>
      <c r="FNO14" s="98"/>
      <c r="FNP14" s="98"/>
      <c r="FNQ14" s="98"/>
      <c r="FNR14" s="98"/>
      <c r="FNS14" s="98"/>
      <c r="FNT14" s="98"/>
      <c r="FNU14" s="98"/>
      <c r="FNV14" s="98"/>
      <c r="FNW14" s="98"/>
      <c r="FNX14" s="98"/>
      <c r="FNY14" s="98"/>
      <c r="FNZ14" s="98"/>
      <c r="FOA14" s="98"/>
      <c r="FOB14" s="98"/>
      <c r="FOC14" s="98"/>
      <c r="FOD14" s="98"/>
      <c r="FOE14" s="98"/>
      <c r="FOF14" s="98"/>
      <c r="FOG14" s="98"/>
      <c r="FOH14" s="98"/>
      <c r="FOI14" s="98"/>
      <c r="FOJ14" s="98"/>
      <c r="FOK14" s="98"/>
      <c r="FOL14" s="98"/>
      <c r="FOM14" s="98"/>
      <c r="FON14" s="98"/>
      <c r="FOO14" s="98"/>
      <c r="FOP14" s="98"/>
      <c r="FOQ14" s="98"/>
      <c r="FOR14" s="98"/>
      <c r="FOS14" s="98"/>
      <c r="FOT14" s="98"/>
      <c r="FOU14" s="98"/>
      <c r="FOV14" s="98"/>
      <c r="FOW14" s="98"/>
      <c r="FOX14" s="98"/>
      <c r="FOY14" s="98"/>
      <c r="FOZ14" s="98"/>
      <c r="FPA14" s="98"/>
      <c r="FPB14" s="98"/>
      <c r="FPC14" s="98"/>
      <c r="FPD14" s="98"/>
      <c r="FPE14" s="98"/>
      <c r="FPF14" s="98"/>
      <c r="FPG14" s="98"/>
      <c r="FPH14" s="98"/>
      <c r="FPI14" s="98"/>
      <c r="FPJ14" s="98"/>
      <c r="FPK14" s="98"/>
      <c r="FPL14" s="98"/>
      <c r="FPM14" s="98"/>
      <c r="FPN14" s="98"/>
      <c r="FPO14" s="98"/>
      <c r="FPP14" s="98"/>
      <c r="FPQ14" s="98"/>
      <c r="FPR14" s="98"/>
      <c r="FPS14" s="98"/>
      <c r="FPT14" s="98"/>
      <c r="FPU14" s="98"/>
      <c r="FPV14" s="98"/>
      <c r="FPW14" s="98"/>
      <c r="FPX14" s="98"/>
      <c r="FPY14" s="98"/>
      <c r="FPZ14" s="98"/>
      <c r="FQA14" s="98"/>
      <c r="FQB14" s="98"/>
      <c r="FQC14" s="98"/>
      <c r="FQD14" s="98"/>
      <c r="FQE14" s="98"/>
      <c r="FQF14" s="98"/>
      <c r="FQG14" s="98"/>
      <c r="FQH14" s="98"/>
      <c r="FQI14" s="98"/>
      <c r="FQJ14" s="98"/>
      <c r="FQK14" s="98"/>
      <c r="FQL14" s="98"/>
      <c r="FQM14" s="98"/>
      <c r="FQN14" s="98"/>
      <c r="FQO14" s="98"/>
      <c r="FQP14" s="98"/>
      <c r="FQQ14" s="98"/>
      <c r="FQR14" s="98"/>
      <c r="FQS14" s="98"/>
      <c r="FQT14" s="98"/>
      <c r="FQU14" s="98"/>
      <c r="FQV14" s="98"/>
      <c r="FQW14" s="98"/>
      <c r="FQX14" s="98"/>
      <c r="FQY14" s="98"/>
      <c r="FQZ14" s="98"/>
      <c r="FRA14" s="98"/>
      <c r="FRB14" s="98"/>
      <c r="FRC14" s="98"/>
      <c r="FRD14" s="98"/>
      <c r="FRE14" s="98"/>
      <c r="FRF14" s="98"/>
      <c r="FRG14" s="98"/>
      <c r="FRH14" s="98"/>
      <c r="FRI14" s="98"/>
      <c r="FRJ14" s="98"/>
      <c r="FRK14" s="98"/>
      <c r="FRL14" s="98"/>
      <c r="FRM14" s="98"/>
      <c r="FRN14" s="98"/>
      <c r="FRO14" s="98"/>
      <c r="FRP14" s="98"/>
      <c r="FRQ14" s="98"/>
      <c r="FRR14" s="98"/>
      <c r="FRS14" s="98"/>
      <c r="FRT14" s="98"/>
      <c r="FRU14" s="98"/>
      <c r="FRV14" s="98"/>
      <c r="FRW14" s="98"/>
      <c r="FRX14" s="98"/>
      <c r="FRY14" s="98"/>
      <c r="FRZ14" s="98"/>
      <c r="FSA14" s="98"/>
      <c r="FSB14" s="98"/>
      <c r="FSC14" s="98"/>
      <c r="FSD14" s="98"/>
      <c r="FSE14" s="98"/>
      <c r="FSF14" s="98"/>
      <c r="FSG14" s="98"/>
      <c r="FSH14" s="98"/>
      <c r="FSI14" s="98"/>
      <c r="FSJ14" s="98"/>
      <c r="FSK14" s="98"/>
      <c r="FSL14" s="98"/>
      <c r="FSM14" s="98"/>
      <c r="FSN14" s="98"/>
      <c r="FSO14" s="98"/>
      <c r="FSP14" s="98"/>
      <c r="FSQ14" s="98"/>
      <c r="FSR14" s="98"/>
      <c r="FSS14" s="98"/>
      <c r="FST14" s="98"/>
      <c r="FSU14" s="98"/>
      <c r="FSV14" s="98"/>
      <c r="FSW14" s="98"/>
      <c r="FSX14" s="98"/>
      <c r="FSY14" s="98"/>
      <c r="FSZ14" s="98"/>
      <c r="FTA14" s="98"/>
      <c r="FTB14" s="98"/>
      <c r="FTC14" s="98"/>
      <c r="FTD14" s="98"/>
      <c r="FTE14" s="98"/>
      <c r="FTF14" s="98"/>
      <c r="FTG14" s="98"/>
      <c r="FTH14" s="98"/>
      <c r="FTI14" s="98"/>
      <c r="FTJ14" s="98"/>
      <c r="FTK14" s="98"/>
      <c r="FTL14" s="98"/>
      <c r="FTM14" s="98"/>
      <c r="FTN14" s="98"/>
      <c r="FTO14" s="98"/>
      <c r="FTP14" s="98"/>
      <c r="FTQ14" s="98"/>
      <c r="FTR14" s="98"/>
      <c r="FTS14" s="98"/>
      <c r="FTT14" s="98"/>
      <c r="FTU14" s="98"/>
      <c r="FTV14" s="98"/>
      <c r="FTW14" s="98"/>
      <c r="FTX14" s="98"/>
      <c r="FTY14" s="98"/>
      <c r="FTZ14" s="98"/>
      <c r="FUA14" s="98"/>
      <c r="FUB14" s="98"/>
      <c r="FUC14" s="98"/>
      <c r="FUD14" s="98"/>
      <c r="FUE14" s="98"/>
      <c r="FUF14" s="98"/>
      <c r="FUG14" s="98"/>
      <c r="FUH14" s="98"/>
      <c r="FUI14" s="98"/>
      <c r="FUJ14" s="98"/>
      <c r="FUK14" s="98"/>
      <c r="FUL14" s="98"/>
      <c r="FUM14" s="98"/>
      <c r="FUN14" s="98"/>
      <c r="FUO14" s="98"/>
      <c r="FUP14" s="98"/>
      <c r="FUQ14" s="98"/>
      <c r="FUR14" s="98"/>
      <c r="FUS14" s="98"/>
      <c r="FUT14" s="98"/>
      <c r="FUU14" s="98"/>
      <c r="FUV14" s="98"/>
      <c r="FUW14" s="98"/>
      <c r="FUX14" s="98"/>
      <c r="FUY14" s="98"/>
      <c r="FUZ14" s="98"/>
      <c r="FVA14" s="98"/>
      <c r="FVB14" s="98"/>
      <c r="FVC14" s="98"/>
      <c r="FVD14" s="98"/>
      <c r="FVE14" s="98"/>
      <c r="FVF14" s="98"/>
      <c r="FVG14" s="98"/>
      <c r="FVH14" s="98"/>
      <c r="FVI14" s="98"/>
      <c r="FVJ14" s="98"/>
      <c r="FVK14" s="98"/>
      <c r="FVL14" s="98"/>
      <c r="FVM14" s="98"/>
      <c r="FVN14" s="98"/>
      <c r="FVO14" s="98"/>
      <c r="FVP14" s="98"/>
      <c r="FVQ14" s="98"/>
      <c r="FVR14" s="98"/>
      <c r="FVS14" s="98"/>
      <c r="FVT14" s="98"/>
      <c r="FVU14" s="98"/>
      <c r="FVV14" s="98"/>
      <c r="FVW14" s="98"/>
      <c r="FVX14" s="98"/>
      <c r="FVY14" s="98"/>
      <c r="FVZ14" s="98"/>
      <c r="FWA14" s="98"/>
      <c r="FWB14" s="98"/>
      <c r="FWC14" s="98"/>
      <c r="FWD14" s="98"/>
      <c r="FWE14" s="98"/>
      <c r="FWF14" s="98"/>
      <c r="FWG14" s="98"/>
      <c r="FWH14" s="98"/>
      <c r="FWI14" s="98"/>
      <c r="FWJ14" s="98"/>
      <c r="FWK14" s="98"/>
      <c r="FWL14" s="98"/>
      <c r="FWM14" s="98"/>
      <c r="FWN14" s="98"/>
      <c r="FWO14" s="98"/>
      <c r="FWP14" s="98"/>
      <c r="FWQ14" s="98"/>
      <c r="FWR14" s="98"/>
      <c r="FWS14" s="98"/>
      <c r="FWT14" s="98"/>
      <c r="FWU14" s="98"/>
      <c r="FWV14" s="98"/>
      <c r="FWW14" s="98"/>
      <c r="FWX14" s="98"/>
      <c r="FWY14" s="98"/>
      <c r="FWZ14" s="98"/>
      <c r="FXA14" s="98"/>
      <c r="FXB14" s="98"/>
      <c r="FXC14" s="98"/>
      <c r="FXD14" s="98"/>
      <c r="FXE14" s="98"/>
      <c r="FXF14" s="98"/>
      <c r="FXG14" s="98"/>
      <c r="FXH14" s="98"/>
      <c r="FXI14" s="98"/>
      <c r="FXJ14" s="98"/>
      <c r="FXK14" s="98"/>
      <c r="FXL14" s="98"/>
      <c r="FXM14" s="98"/>
      <c r="FXN14" s="98"/>
      <c r="FXO14" s="98"/>
      <c r="FXP14" s="98"/>
      <c r="FXQ14" s="98"/>
      <c r="FXR14" s="98"/>
      <c r="FXS14" s="98"/>
      <c r="FXT14" s="98"/>
      <c r="FXU14" s="98"/>
      <c r="FXV14" s="98"/>
      <c r="FXW14" s="98"/>
      <c r="FXX14" s="98"/>
      <c r="FXY14" s="98"/>
      <c r="FXZ14" s="98"/>
      <c r="FYA14" s="98"/>
      <c r="FYB14" s="98"/>
      <c r="FYC14" s="98"/>
      <c r="FYD14" s="98"/>
      <c r="FYE14" s="98"/>
      <c r="FYF14" s="98"/>
      <c r="FYG14" s="98"/>
      <c r="FYH14" s="98"/>
      <c r="FYI14" s="98"/>
      <c r="FYJ14" s="98"/>
      <c r="FYK14" s="98"/>
      <c r="FYL14" s="98"/>
      <c r="FYM14" s="98"/>
      <c r="FYN14" s="98"/>
      <c r="FYO14" s="98"/>
      <c r="FYP14" s="98"/>
      <c r="FYQ14" s="98"/>
      <c r="FYR14" s="98"/>
      <c r="FYS14" s="98"/>
      <c r="FYT14" s="98"/>
      <c r="FYU14" s="98"/>
      <c r="FYV14" s="98"/>
      <c r="FYW14" s="98"/>
      <c r="FYX14" s="98"/>
      <c r="FYY14" s="98"/>
      <c r="FYZ14" s="98"/>
      <c r="FZA14" s="98"/>
      <c r="FZB14" s="98"/>
      <c r="FZC14" s="98"/>
      <c r="FZD14" s="98"/>
      <c r="FZE14" s="98"/>
      <c r="FZF14" s="98"/>
      <c r="FZG14" s="98"/>
      <c r="FZH14" s="98"/>
      <c r="FZI14" s="98"/>
      <c r="FZJ14" s="98"/>
      <c r="FZK14" s="98"/>
      <c r="FZL14" s="98"/>
      <c r="FZM14" s="98"/>
      <c r="FZN14" s="98"/>
      <c r="FZO14" s="98"/>
      <c r="FZP14" s="98"/>
      <c r="FZQ14" s="98"/>
      <c r="FZR14" s="98"/>
      <c r="FZS14" s="98"/>
      <c r="FZT14" s="98"/>
      <c r="FZU14" s="98"/>
      <c r="FZV14" s="98"/>
      <c r="FZW14" s="98"/>
      <c r="FZX14" s="98"/>
      <c r="FZY14" s="98"/>
      <c r="FZZ14" s="98"/>
      <c r="GAA14" s="98"/>
      <c r="GAB14" s="98"/>
      <c r="GAC14" s="98"/>
      <c r="GAD14" s="98"/>
      <c r="GAE14" s="98"/>
      <c r="GAF14" s="98"/>
      <c r="GAG14" s="98"/>
      <c r="GAH14" s="98"/>
      <c r="GAI14" s="98"/>
      <c r="GAJ14" s="98"/>
      <c r="GAK14" s="98"/>
      <c r="GAL14" s="98"/>
      <c r="GAM14" s="98"/>
      <c r="GAN14" s="98"/>
      <c r="GAO14" s="98"/>
      <c r="GAP14" s="98"/>
      <c r="GAQ14" s="98"/>
      <c r="GAR14" s="98"/>
      <c r="GAS14" s="98"/>
      <c r="GAT14" s="98"/>
      <c r="GAU14" s="98"/>
      <c r="GAV14" s="98"/>
      <c r="GAW14" s="98"/>
      <c r="GAX14" s="98"/>
      <c r="GAY14" s="98"/>
      <c r="GAZ14" s="98"/>
      <c r="GBA14" s="98"/>
      <c r="GBB14" s="98"/>
      <c r="GBC14" s="98"/>
      <c r="GBD14" s="98"/>
      <c r="GBE14" s="98"/>
      <c r="GBF14" s="98"/>
      <c r="GBG14" s="98"/>
      <c r="GBH14" s="98"/>
      <c r="GBI14" s="98"/>
      <c r="GBJ14" s="98"/>
      <c r="GBK14" s="98"/>
      <c r="GBL14" s="98"/>
      <c r="GBM14" s="98"/>
      <c r="GBN14" s="98"/>
      <c r="GBO14" s="98"/>
      <c r="GBP14" s="98"/>
      <c r="GBQ14" s="98"/>
      <c r="GBR14" s="98"/>
      <c r="GBS14" s="98"/>
      <c r="GBT14" s="98"/>
      <c r="GBU14" s="98"/>
      <c r="GBV14" s="98"/>
      <c r="GBW14" s="98"/>
      <c r="GBX14" s="98"/>
      <c r="GBY14" s="98"/>
      <c r="GBZ14" s="98"/>
      <c r="GCA14" s="98"/>
      <c r="GCB14" s="98"/>
      <c r="GCC14" s="98"/>
      <c r="GCD14" s="98"/>
      <c r="GCE14" s="98"/>
      <c r="GCF14" s="98"/>
      <c r="GCG14" s="98"/>
      <c r="GCH14" s="98"/>
      <c r="GCI14" s="98"/>
      <c r="GCJ14" s="98"/>
      <c r="GCK14" s="98"/>
      <c r="GCL14" s="98"/>
      <c r="GCM14" s="98"/>
      <c r="GCN14" s="98"/>
      <c r="GCO14" s="98"/>
      <c r="GCP14" s="98"/>
      <c r="GCQ14" s="98"/>
      <c r="GCR14" s="98"/>
      <c r="GCS14" s="98"/>
      <c r="GCT14" s="98"/>
      <c r="GCU14" s="98"/>
      <c r="GCV14" s="98"/>
      <c r="GCW14" s="98"/>
      <c r="GCX14" s="98"/>
      <c r="GCY14" s="98"/>
      <c r="GCZ14" s="98"/>
      <c r="GDA14" s="98"/>
      <c r="GDB14" s="98"/>
      <c r="GDC14" s="98"/>
      <c r="GDD14" s="98"/>
      <c r="GDE14" s="98"/>
      <c r="GDF14" s="98"/>
      <c r="GDG14" s="98"/>
      <c r="GDH14" s="98"/>
      <c r="GDI14" s="98"/>
      <c r="GDJ14" s="98"/>
      <c r="GDK14" s="98"/>
      <c r="GDL14" s="98"/>
      <c r="GDM14" s="98"/>
      <c r="GDN14" s="98"/>
      <c r="GDO14" s="98"/>
      <c r="GDP14" s="98"/>
      <c r="GDQ14" s="98"/>
      <c r="GDR14" s="98"/>
      <c r="GDS14" s="98"/>
      <c r="GDT14" s="98"/>
      <c r="GDU14" s="98"/>
      <c r="GDV14" s="98"/>
      <c r="GDW14" s="98"/>
      <c r="GDX14" s="98"/>
      <c r="GDY14" s="98"/>
      <c r="GDZ14" s="98"/>
      <c r="GEA14" s="98"/>
      <c r="GEB14" s="98"/>
      <c r="GEC14" s="98"/>
      <c r="GED14" s="98"/>
      <c r="GEE14" s="98"/>
      <c r="GEF14" s="98"/>
      <c r="GEG14" s="98"/>
      <c r="GEH14" s="98"/>
      <c r="GEI14" s="98"/>
      <c r="GEJ14" s="98"/>
      <c r="GEK14" s="98"/>
      <c r="GEL14" s="98"/>
      <c r="GEM14" s="98"/>
      <c r="GEN14" s="98"/>
      <c r="GEO14" s="98"/>
      <c r="GEP14" s="98"/>
      <c r="GEQ14" s="98"/>
      <c r="GER14" s="98"/>
      <c r="GES14" s="98"/>
      <c r="GET14" s="98"/>
      <c r="GEU14" s="98"/>
      <c r="GEV14" s="98"/>
      <c r="GEW14" s="98"/>
      <c r="GEX14" s="98"/>
      <c r="GEY14" s="98"/>
      <c r="GEZ14" s="98"/>
      <c r="GFA14" s="98"/>
      <c r="GFB14" s="98"/>
      <c r="GFC14" s="98"/>
      <c r="GFD14" s="98"/>
      <c r="GFE14" s="98"/>
      <c r="GFF14" s="98"/>
      <c r="GFG14" s="98"/>
      <c r="GFH14" s="98"/>
      <c r="GFI14" s="98"/>
      <c r="GFJ14" s="98"/>
      <c r="GFK14" s="98"/>
      <c r="GFL14" s="98"/>
      <c r="GFM14" s="98"/>
      <c r="GFN14" s="98"/>
      <c r="GFO14" s="98"/>
      <c r="GFP14" s="98"/>
      <c r="GFQ14" s="98"/>
      <c r="GFR14" s="98"/>
      <c r="GFS14" s="98"/>
      <c r="GFT14" s="98"/>
      <c r="GFU14" s="98"/>
      <c r="GFV14" s="98"/>
      <c r="GFW14" s="98"/>
      <c r="GFX14" s="98"/>
      <c r="GFY14" s="98"/>
      <c r="GFZ14" s="98"/>
      <c r="GGA14" s="98"/>
      <c r="GGB14" s="98"/>
      <c r="GGC14" s="98"/>
      <c r="GGD14" s="98"/>
      <c r="GGE14" s="98"/>
      <c r="GGF14" s="98"/>
      <c r="GGG14" s="98"/>
      <c r="GGH14" s="98"/>
      <c r="GGI14" s="98"/>
      <c r="GGJ14" s="98"/>
      <c r="GGK14" s="98"/>
      <c r="GGL14" s="98"/>
      <c r="GGM14" s="98"/>
      <c r="GGN14" s="98"/>
      <c r="GGO14" s="98"/>
      <c r="GGP14" s="98"/>
      <c r="GGQ14" s="98"/>
      <c r="GGR14" s="98"/>
      <c r="GGS14" s="98"/>
      <c r="GGT14" s="98"/>
      <c r="GGU14" s="98"/>
      <c r="GGV14" s="98"/>
      <c r="GGW14" s="98"/>
      <c r="GGX14" s="98"/>
      <c r="GGY14" s="98"/>
      <c r="GGZ14" s="98"/>
      <c r="GHA14" s="98"/>
      <c r="GHB14" s="98"/>
      <c r="GHC14" s="98"/>
      <c r="GHD14" s="98"/>
      <c r="GHE14" s="98"/>
      <c r="GHF14" s="98"/>
      <c r="GHG14" s="98"/>
      <c r="GHH14" s="98"/>
      <c r="GHI14" s="98"/>
      <c r="GHJ14" s="98"/>
      <c r="GHK14" s="98"/>
      <c r="GHL14" s="98"/>
      <c r="GHM14" s="98"/>
      <c r="GHN14" s="98"/>
      <c r="GHO14" s="98"/>
      <c r="GHP14" s="98"/>
      <c r="GHQ14" s="98"/>
      <c r="GHR14" s="98"/>
      <c r="GHS14" s="98"/>
      <c r="GHT14" s="98"/>
      <c r="GHU14" s="98"/>
      <c r="GHV14" s="98"/>
      <c r="GHW14" s="98"/>
      <c r="GHX14" s="98"/>
      <c r="GHY14" s="98"/>
      <c r="GHZ14" s="98"/>
      <c r="GIA14" s="98"/>
      <c r="GIB14" s="98"/>
      <c r="GIC14" s="98"/>
      <c r="GID14" s="98"/>
      <c r="GIE14" s="98"/>
      <c r="GIF14" s="98"/>
      <c r="GIG14" s="98"/>
      <c r="GIH14" s="98"/>
      <c r="GII14" s="98"/>
      <c r="GIJ14" s="98"/>
      <c r="GIK14" s="98"/>
      <c r="GIL14" s="98"/>
      <c r="GIM14" s="98"/>
      <c r="GIN14" s="98"/>
      <c r="GIO14" s="98"/>
      <c r="GIP14" s="98"/>
      <c r="GIQ14" s="98"/>
      <c r="GIR14" s="98"/>
      <c r="GIS14" s="98"/>
      <c r="GIT14" s="98"/>
      <c r="GIU14" s="98"/>
      <c r="GIV14" s="98"/>
      <c r="GIW14" s="98"/>
      <c r="GIX14" s="98"/>
      <c r="GIY14" s="98"/>
      <c r="GIZ14" s="98"/>
      <c r="GJA14" s="98"/>
      <c r="GJB14" s="98"/>
      <c r="GJC14" s="98"/>
      <c r="GJD14" s="98"/>
      <c r="GJE14" s="98"/>
      <c r="GJF14" s="98"/>
      <c r="GJG14" s="98"/>
      <c r="GJH14" s="98"/>
      <c r="GJI14" s="98"/>
      <c r="GJJ14" s="98"/>
      <c r="GJK14" s="98"/>
      <c r="GJL14" s="98"/>
      <c r="GJM14" s="98"/>
      <c r="GJN14" s="98"/>
      <c r="GJO14" s="98"/>
      <c r="GJP14" s="98"/>
      <c r="GJQ14" s="98"/>
      <c r="GJR14" s="98"/>
      <c r="GJS14" s="98"/>
      <c r="GJT14" s="98"/>
      <c r="GJU14" s="98"/>
      <c r="GJV14" s="98"/>
      <c r="GJW14" s="98"/>
      <c r="GJX14" s="98"/>
      <c r="GJY14" s="98"/>
      <c r="GJZ14" s="98"/>
      <c r="GKA14" s="98"/>
      <c r="GKB14" s="98"/>
      <c r="GKC14" s="98"/>
      <c r="GKD14" s="98"/>
      <c r="GKE14" s="98"/>
      <c r="GKF14" s="98"/>
      <c r="GKG14" s="98"/>
      <c r="GKH14" s="98"/>
      <c r="GKI14" s="98"/>
      <c r="GKJ14" s="98"/>
      <c r="GKK14" s="98"/>
      <c r="GKL14" s="98"/>
      <c r="GKM14" s="98"/>
      <c r="GKN14" s="98"/>
      <c r="GKO14" s="98"/>
      <c r="GKP14" s="98"/>
      <c r="GKQ14" s="98"/>
      <c r="GKR14" s="98"/>
      <c r="GKS14" s="98"/>
      <c r="GKT14" s="98"/>
      <c r="GKU14" s="98"/>
      <c r="GKV14" s="98"/>
      <c r="GKW14" s="98"/>
      <c r="GKX14" s="98"/>
      <c r="GKY14" s="98"/>
      <c r="GKZ14" s="98"/>
      <c r="GLA14" s="98"/>
      <c r="GLB14" s="98"/>
      <c r="GLC14" s="98"/>
      <c r="GLD14" s="98"/>
      <c r="GLE14" s="98"/>
      <c r="GLF14" s="98"/>
      <c r="GLG14" s="98"/>
      <c r="GLH14" s="98"/>
      <c r="GLI14" s="98"/>
      <c r="GLJ14" s="98"/>
      <c r="GLK14" s="98"/>
      <c r="GLL14" s="98"/>
      <c r="GLM14" s="98"/>
      <c r="GLN14" s="98"/>
      <c r="GLO14" s="98"/>
      <c r="GLP14" s="98"/>
      <c r="GLQ14" s="98"/>
      <c r="GLR14" s="98"/>
      <c r="GLS14" s="98"/>
      <c r="GLT14" s="98"/>
      <c r="GLU14" s="98"/>
      <c r="GLV14" s="98"/>
      <c r="GLW14" s="98"/>
      <c r="GLX14" s="98"/>
      <c r="GLY14" s="98"/>
      <c r="GLZ14" s="98"/>
      <c r="GMA14" s="98"/>
      <c r="GMB14" s="98"/>
      <c r="GMC14" s="98"/>
      <c r="GMD14" s="98"/>
      <c r="GME14" s="98"/>
      <c r="GMF14" s="98"/>
      <c r="GMG14" s="98"/>
      <c r="GMH14" s="98"/>
      <c r="GMI14" s="98"/>
      <c r="GMJ14" s="98"/>
      <c r="GMK14" s="98"/>
      <c r="GML14" s="98"/>
      <c r="GMM14" s="98"/>
      <c r="GMN14" s="98"/>
      <c r="GMO14" s="98"/>
      <c r="GMP14" s="98"/>
      <c r="GMQ14" s="98"/>
      <c r="GMR14" s="98"/>
      <c r="GMS14" s="98"/>
      <c r="GMT14" s="98"/>
      <c r="GMU14" s="98"/>
      <c r="GMV14" s="98"/>
      <c r="GMW14" s="98"/>
      <c r="GMX14" s="98"/>
      <c r="GMY14" s="98"/>
      <c r="GMZ14" s="98"/>
      <c r="GNA14" s="98"/>
      <c r="GNB14" s="98"/>
      <c r="GNC14" s="98"/>
      <c r="GND14" s="98"/>
      <c r="GNE14" s="98"/>
      <c r="GNF14" s="98"/>
      <c r="GNG14" s="98"/>
      <c r="GNH14" s="98"/>
      <c r="GNI14" s="98"/>
      <c r="GNJ14" s="98"/>
      <c r="GNK14" s="98"/>
      <c r="GNL14" s="98"/>
      <c r="GNM14" s="98"/>
      <c r="GNN14" s="98"/>
      <c r="GNO14" s="98"/>
      <c r="GNP14" s="98"/>
      <c r="GNQ14" s="98"/>
      <c r="GNR14" s="98"/>
      <c r="GNS14" s="98"/>
      <c r="GNT14" s="98"/>
      <c r="GNU14" s="98"/>
      <c r="GNV14" s="98"/>
      <c r="GNW14" s="98"/>
      <c r="GNX14" s="98"/>
      <c r="GNY14" s="98"/>
      <c r="GNZ14" s="98"/>
      <c r="GOA14" s="98"/>
      <c r="GOB14" s="98"/>
      <c r="GOC14" s="98"/>
      <c r="GOD14" s="98"/>
      <c r="GOE14" s="98"/>
      <c r="GOF14" s="98"/>
      <c r="GOG14" s="98"/>
      <c r="GOH14" s="98"/>
      <c r="GOI14" s="98"/>
      <c r="GOJ14" s="98"/>
      <c r="GOK14" s="98"/>
      <c r="GOL14" s="98"/>
      <c r="GOM14" s="98"/>
      <c r="GON14" s="98"/>
      <c r="GOO14" s="98"/>
      <c r="GOP14" s="98"/>
      <c r="GOQ14" s="98"/>
      <c r="GOR14" s="98"/>
      <c r="GOS14" s="98"/>
      <c r="GOT14" s="98"/>
      <c r="GOU14" s="98"/>
      <c r="GOV14" s="98"/>
      <c r="GOW14" s="98"/>
      <c r="GOX14" s="98"/>
      <c r="GOY14" s="98"/>
      <c r="GOZ14" s="98"/>
      <c r="GPA14" s="98"/>
      <c r="GPB14" s="98"/>
      <c r="GPC14" s="98"/>
      <c r="GPD14" s="98"/>
      <c r="GPE14" s="98"/>
      <c r="GPF14" s="98"/>
      <c r="GPG14" s="98"/>
      <c r="GPH14" s="98"/>
      <c r="GPI14" s="98"/>
      <c r="GPJ14" s="98"/>
      <c r="GPK14" s="98"/>
      <c r="GPL14" s="98"/>
      <c r="GPM14" s="98"/>
      <c r="GPN14" s="98"/>
      <c r="GPO14" s="98"/>
      <c r="GPP14" s="98"/>
      <c r="GPQ14" s="98"/>
      <c r="GPR14" s="98"/>
      <c r="GPS14" s="98"/>
      <c r="GPT14" s="98"/>
      <c r="GPU14" s="98"/>
      <c r="GPV14" s="98"/>
      <c r="GPW14" s="98"/>
      <c r="GPX14" s="98"/>
      <c r="GPY14" s="98"/>
      <c r="GPZ14" s="98"/>
      <c r="GQA14" s="98"/>
      <c r="GQB14" s="98"/>
      <c r="GQC14" s="98"/>
      <c r="GQD14" s="98"/>
      <c r="GQE14" s="98"/>
      <c r="GQF14" s="98"/>
      <c r="GQG14" s="98"/>
      <c r="GQH14" s="98"/>
      <c r="GQI14" s="98"/>
      <c r="GQJ14" s="98"/>
      <c r="GQK14" s="98"/>
      <c r="GQL14" s="98"/>
      <c r="GQM14" s="98"/>
      <c r="GQN14" s="98"/>
      <c r="GQO14" s="98"/>
      <c r="GQP14" s="98"/>
      <c r="GQQ14" s="98"/>
      <c r="GQR14" s="98"/>
      <c r="GQS14" s="98"/>
      <c r="GQT14" s="98"/>
      <c r="GQU14" s="98"/>
      <c r="GQV14" s="98"/>
      <c r="GQW14" s="98"/>
      <c r="GQX14" s="98"/>
      <c r="GQY14" s="98"/>
      <c r="GQZ14" s="98"/>
      <c r="GRA14" s="98"/>
      <c r="GRB14" s="98"/>
      <c r="GRC14" s="98"/>
      <c r="GRD14" s="98"/>
      <c r="GRE14" s="98"/>
      <c r="GRF14" s="98"/>
      <c r="GRG14" s="98"/>
      <c r="GRH14" s="98"/>
      <c r="GRI14" s="98"/>
      <c r="GRJ14" s="98"/>
      <c r="GRK14" s="98"/>
      <c r="GRL14" s="98"/>
      <c r="GRM14" s="98"/>
      <c r="GRN14" s="98"/>
      <c r="GRO14" s="98"/>
      <c r="GRP14" s="98"/>
      <c r="GRQ14" s="98"/>
      <c r="GRR14" s="98"/>
      <c r="GRS14" s="98"/>
      <c r="GRT14" s="98"/>
      <c r="GRU14" s="98"/>
      <c r="GRV14" s="98"/>
      <c r="GRW14" s="98"/>
      <c r="GRX14" s="98"/>
      <c r="GRY14" s="98"/>
      <c r="GRZ14" s="98"/>
      <c r="GSA14" s="98"/>
      <c r="GSB14" s="98"/>
      <c r="GSC14" s="98"/>
      <c r="GSD14" s="98"/>
      <c r="GSE14" s="98"/>
      <c r="GSF14" s="98"/>
      <c r="GSG14" s="98"/>
      <c r="GSH14" s="98"/>
      <c r="GSI14" s="98"/>
      <c r="GSJ14" s="98"/>
      <c r="GSK14" s="98"/>
      <c r="GSL14" s="98"/>
      <c r="GSM14" s="98"/>
      <c r="GSN14" s="98"/>
      <c r="GSO14" s="98"/>
      <c r="GSP14" s="98"/>
      <c r="GSQ14" s="98"/>
      <c r="GSR14" s="98"/>
      <c r="GSS14" s="98"/>
      <c r="GST14" s="98"/>
      <c r="GSU14" s="98"/>
      <c r="GSV14" s="98"/>
      <c r="GSW14" s="98"/>
      <c r="GSX14" s="98"/>
      <c r="GSY14" s="98"/>
      <c r="GSZ14" s="98"/>
      <c r="GTA14" s="98"/>
      <c r="GTB14" s="98"/>
      <c r="GTC14" s="98"/>
      <c r="GTD14" s="98"/>
      <c r="GTE14" s="98"/>
      <c r="GTF14" s="98"/>
      <c r="GTG14" s="98"/>
      <c r="GTH14" s="98"/>
      <c r="GTI14" s="98"/>
      <c r="GTJ14" s="98"/>
      <c r="GTK14" s="98"/>
      <c r="GTL14" s="98"/>
      <c r="GTM14" s="98"/>
      <c r="GTN14" s="98"/>
      <c r="GTO14" s="98"/>
      <c r="GTP14" s="98"/>
      <c r="GTQ14" s="98"/>
      <c r="GTR14" s="98"/>
      <c r="GTS14" s="98"/>
      <c r="GTT14" s="98"/>
      <c r="GTU14" s="98"/>
      <c r="GTV14" s="98"/>
      <c r="GTW14" s="98"/>
      <c r="GTX14" s="98"/>
      <c r="GTY14" s="98"/>
      <c r="GTZ14" s="98"/>
      <c r="GUA14" s="98"/>
      <c r="GUB14" s="98"/>
      <c r="GUC14" s="98"/>
      <c r="GUD14" s="98"/>
      <c r="GUE14" s="98"/>
      <c r="GUF14" s="98"/>
      <c r="GUG14" s="98"/>
      <c r="GUH14" s="98"/>
      <c r="GUI14" s="98"/>
      <c r="GUJ14" s="98"/>
      <c r="GUK14" s="98"/>
      <c r="GUL14" s="98"/>
      <c r="GUM14" s="98"/>
      <c r="GUN14" s="98"/>
      <c r="GUO14" s="98"/>
      <c r="GUP14" s="98"/>
      <c r="GUQ14" s="98"/>
      <c r="GUR14" s="98"/>
      <c r="GUS14" s="98"/>
      <c r="GUT14" s="98"/>
      <c r="GUU14" s="98"/>
      <c r="GUV14" s="98"/>
      <c r="GUW14" s="98"/>
      <c r="GUX14" s="98"/>
      <c r="GUY14" s="98"/>
      <c r="GUZ14" s="98"/>
      <c r="GVA14" s="98"/>
      <c r="GVB14" s="98"/>
      <c r="GVC14" s="98"/>
      <c r="GVD14" s="98"/>
      <c r="GVE14" s="98"/>
      <c r="GVF14" s="98"/>
      <c r="GVG14" s="98"/>
      <c r="GVH14" s="98"/>
      <c r="GVI14" s="98"/>
      <c r="GVJ14" s="98"/>
      <c r="GVK14" s="98"/>
      <c r="GVL14" s="98"/>
      <c r="GVM14" s="98"/>
      <c r="GVN14" s="98"/>
      <c r="GVO14" s="98"/>
      <c r="GVP14" s="98"/>
      <c r="GVQ14" s="98"/>
      <c r="GVR14" s="98"/>
      <c r="GVS14" s="98"/>
      <c r="GVT14" s="98"/>
      <c r="GVU14" s="98"/>
      <c r="GVV14" s="98"/>
      <c r="GVW14" s="98"/>
      <c r="GVX14" s="98"/>
      <c r="GVY14" s="98"/>
      <c r="GVZ14" s="98"/>
      <c r="GWA14" s="98"/>
      <c r="GWB14" s="98"/>
      <c r="GWC14" s="98"/>
      <c r="GWD14" s="98"/>
      <c r="GWE14" s="98"/>
      <c r="GWF14" s="98"/>
      <c r="GWG14" s="98"/>
      <c r="GWH14" s="98"/>
      <c r="GWI14" s="98"/>
      <c r="GWJ14" s="98"/>
      <c r="GWK14" s="98"/>
      <c r="GWL14" s="98"/>
      <c r="GWM14" s="98"/>
      <c r="GWN14" s="98"/>
      <c r="GWO14" s="98"/>
      <c r="GWP14" s="98"/>
      <c r="GWQ14" s="98"/>
      <c r="GWR14" s="98"/>
      <c r="GWS14" s="98"/>
      <c r="GWT14" s="98"/>
      <c r="GWU14" s="98"/>
      <c r="GWV14" s="98"/>
      <c r="GWW14" s="98"/>
      <c r="GWX14" s="98"/>
      <c r="GWY14" s="98"/>
      <c r="GWZ14" s="98"/>
      <c r="GXA14" s="98"/>
      <c r="GXB14" s="98"/>
      <c r="GXC14" s="98"/>
      <c r="GXD14" s="98"/>
      <c r="GXE14" s="98"/>
      <c r="GXF14" s="98"/>
      <c r="GXG14" s="98"/>
      <c r="GXH14" s="98"/>
      <c r="GXI14" s="98"/>
      <c r="GXJ14" s="98"/>
      <c r="GXK14" s="98"/>
      <c r="GXL14" s="98"/>
      <c r="GXM14" s="98"/>
      <c r="GXN14" s="98"/>
      <c r="GXO14" s="98"/>
      <c r="GXP14" s="98"/>
      <c r="GXQ14" s="98"/>
      <c r="GXR14" s="98"/>
      <c r="GXS14" s="98"/>
      <c r="GXT14" s="98"/>
      <c r="GXU14" s="98"/>
      <c r="GXV14" s="98"/>
      <c r="GXW14" s="98"/>
      <c r="GXX14" s="98"/>
      <c r="GXY14" s="98"/>
      <c r="GXZ14" s="98"/>
      <c r="GYA14" s="98"/>
      <c r="GYB14" s="98"/>
      <c r="GYC14" s="98"/>
      <c r="GYD14" s="98"/>
      <c r="GYE14" s="98"/>
      <c r="GYF14" s="98"/>
      <c r="GYG14" s="98"/>
      <c r="GYH14" s="98"/>
      <c r="GYI14" s="98"/>
      <c r="GYJ14" s="98"/>
      <c r="GYK14" s="98"/>
      <c r="GYL14" s="98"/>
      <c r="GYM14" s="98"/>
      <c r="GYN14" s="98"/>
      <c r="GYO14" s="98"/>
      <c r="GYP14" s="98"/>
      <c r="GYQ14" s="98"/>
      <c r="GYR14" s="98"/>
      <c r="GYS14" s="98"/>
      <c r="GYT14" s="98"/>
      <c r="GYU14" s="98"/>
      <c r="GYV14" s="98"/>
      <c r="GYW14" s="98"/>
      <c r="GYX14" s="98"/>
      <c r="GYY14" s="98"/>
      <c r="GYZ14" s="98"/>
      <c r="GZA14" s="98"/>
      <c r="GZB14" s="98"/>
      <c r="GZC14" s="98"/>
      <c r="GZD14" s="98"/>
      <c r="GZE14" s="98"/>
      <c r="GZF14" s="98"/>
      <c r="GZG14" s="98"/>
      <c r="GZH14" s="98"/>
      <c r="GZI14" s="98"/>
      <c r="GZJ14" s="98"/>
      <c r="GZK14" s="98"/>
      <c r="GZL14" s="98"/>
      <c r="GZM14" s="98"/>
      <c r="GZN14" s="98"/>
      <c r="GZO14" s="98"/>
      <c r="GZP14" s="98"/>
      <c r="GZQ14" s="98"/>
      <c r="GZR14" s="98"/>
      <c r="GZS14" s="98"/>
      <c r="GZT14" s="98"/>
      <c r="GZU14" s="98"/>
      <c r="GZV14" s="98"/>
      <c r="GZW14" s="98"/>
      <c r="GZX14" s="98"/>
      <c r="GZY14" s="98"/>
      <c r="GZZ14" s="98"/>
      <c r="HAA14" s="98"/>
      <c r="HAB14" s="98"/>
      <c r="HAC14" s="98"/>
      <c r="HAD14" s="98"/>
      <c r="HAE14" s="98"/>
      <c r="HAF14" s="98"/>
      <c r="HAG14" s="98"/>
      <c r="HAH14" s="98"/>
      <c r="HAI14" s="98"/>
      <c r="HAJ14" s="98"/>
      <c r="HAK14" s="98"/>
      <c r="HAL14" s="98"/>
      <c r="HAM14" s="98"/>
      <c r="HAN14" s="98"/>
      <c r="HAO14" s="98"/>
      <c r="HAP14" s="98"/>
      <c r="HAQ14" s="98"/>
      <c r="HAR14" s="98"/>
      <c r="HAS14" s="98"/>
      <c r="HAT14" s="98"/>
      <c r="HAU14" s="98"/>
      <c r="HAV14" s="98"/>
      <c r="HAW14" s="98"/>
      <c r="HAX14" s="98"/>
      <c r="HAY14" s="98"/>
      <c r="HAZ14" s="98"/>
      <c r="HBA14" s="98"/>
      <c r="HBB14" s="98"/>
      <c r="HBC14" s="98"/>
      <c r="HBD14" s="98"/>
      <c r="HBE14" s="98"/>
      <c r="HBF14" s="98"/>
      <c r="HBG14" s="98"/>
      <c r="HBH14" s="98"/>
      <c r="HBI14" s="98"/>
      <c r="HBJ14" s="98"/>
      <c r="HBK14" s="98"/>
      <c r="HBL14" s="98"/>
      <c r="HBM14" s="98"/>
      <c r="HBN14" s="98"/>
      <c r="HBO14" s="98"/>
      <c r="HBP14" s="98"/>
      <c r="HBQ14" s="98"/>
      <c r="HBR14" s="98"/>
      <c r="HBS14" s="98"/>
      <c r="HBT14" s="98"/>
      <c r="HBU14" s="98"/>
      <c r="HBV14" s="98"/>
      <c r="HBW14" s="98"/>
      <c r="HBX14" s="98"/>
      <c r="HBY14" s="98"/>
      <c r="HBZ14" s="98"/>
      <c r="HCA14" s="98"/>
      <c r="HCB14" s="98"/>
      <c r="HCC14" s="98"/>
      <c r="HCD14" s="98"/>
      <c r="HCE14" s="98"/>
      <c r="HCF14" s="98"/>
      <c r="HCG14" s="98"/>
      <c r="HCH14" s="98"/>
      <c r="HCI14" s="98"/>
      <c r="HCJ14" s="98"/>
      <c r="HCK14" s="98"/>
      <c r="HCL14" s="98"/>
      <c r="HCM14" s="98"/>
      <c r="HCN14" s="98"/>
      <c r="HCO14" s="98"/>
      <c r="HCP14" s="98"/>
      <c r="HCQ14" s="98"/>
      <c r="HCR14" s="98"/>
      <c r="HCS14" s="98"/>
      <c r="HCT14" s="98"/>
      <c r="HCU14" s="98"/>
      <c r="HCV14" s="98"/>
      <c r="HCW14" s="98"/>
      <c r="HCX14" s="98"/>
      <c r="HCY14" s="98"/>
      <c r="HCZ14" s="98"/>
      <c r="HDA14" s="98"/>
      <c r="HDB14" s="98"/>
      <c r="HDC14" s="98"/>
      <c r="HDD14" s="98"/>
      <c r="HDE14" s="98"/>
      <c r="HDF14" s="98"/>
      <c r="HDG14" s="98"/>
      <c r="HDH14" s="98"/>
      <c r="HDI14" s="98"/>
      <c r="HDJ14" s="98"/>
      <c r="HDK14" s="98"/>
      <c r="HDL14" s="98"/>
      <c r="HDM14" s="98"/>
      <c r="HDN14" s="98"/>
      <c r="HDO14" s="98"/>
      <c r="HDP14" s="98"/>
      <c r="HDQ14" s="98"/>
      <c r="HDR14" s="98"/>
      <c r="HDS14" s="98"/>
      <c r="HDT14" s="98"/>
      <c r="HDU14" s="98"/>
      <c r="HDV14" s="98"/>
      <c r="HDW14" s="98"/>
      <c r="HDX14" s="98"/>
      <c r="HDY14" s="98"/>
      <c r="HDZ14" s="98"/>
      <c r="HEA14" s="98"/>
      <c r="HEB14" s="98"/>
      <c r="HEC14" s="98"/>
      <c r="HED14" s="98"/>
      <c r="HEE14" s="98"/>
      <c r="HEF14" s="98"/>
      <c r="HEG14" s="98"/>
      <c r="HEH14" s="98"/>
      <c r="HEI14" s="98"/>
      <c r="HEJ14" s="98"/>
      <c r="HEK14" s="98"/>
      <c r="HEL14" s="98"/>
      <c r="HEM14" s="98"/>
      <c r="HEN14" s="98"/>
      <c r="HEO14" s="98"/>
      <c r="HEP14" s="98"/>
      <c r="HEQ14" s="98"/>
      <c r="HER14" s="98"/>
      <c r="HES14" s="98"/>
      <c r="HET14" s="98"/>
      <c r="HEU14" s="98"/>
      <c r="HEV14" s="98"/>
      <c r="HEW14" s="98"/>
      <c r="HEX14" s="98"/>
      <c r="HEY14" s="98"/>
      <c r="HEZ14" s="98"/>
      <c r="HFA14" s="98"/>
      <c r="HFB14" s="98"/>
      <c r="HFC14" s="98"/>
      <c r="HFD14" s="98"/>
      <c r="HFE14" s="98"/>
      <c r="HFF14" s="98"/>
      <c r="HFG14" s="98"/>
      <c r="HFH14" s="98"/>
      <c r="HFI14" s="98"/>
      <c r="HFJ14" s="98"/>
      <c r="HFK14" s="98"/>
      <c r="HFL14" s="98"/>
      <c r="HFM14" s="98"/>
      <c r="HFN14" s="98"/>
      <c r="HFO14" s="98"/>
      <c r="HFP14" s="98"/>
      <c r="HFQ14" s="98"/>
      <c r="HFR14" s="98"/>
      <c r="HFS14" s="98"/>
      <c r="HFT14" s="98"/>
      <c r="HFU14" s="98"/>
      <c r="HFV14" s="98"/>
      <c r="HFW14" s="98"/>
      <c r="HFX14" s="98"/>
      <c r="HFY14" s="98"/>
      <c r="HFZ14" s="98"/>
      <c r="HGA14" s="98"/>
      <c r="HGB14" s="98"/>
      <c r="HGC14" s="98"/>
      <c r="HGD14" s="98"/>
      <c r="HGE14" s="98"/>
      <c r="HGF14" s="98"/>
      <c r="HGG14" s="98"/>
      <c r="HGH14" s="98"/>
      <c r="HGI14" s="98"/>
      <c r="HGJ14" s="98"/>
      <c r="HGK14" s="98"/>
      <c r="HGL14" s="98"/>
      <c r="HGM14" s="98"/>
      <c r="HGN14" s="98"/>
      <c r="HGO14" s="98"/>
      <c r="HGP14" s="98"/>
      <c r="HGQ14" s="98"/>
      <c r="HGR14" s="98"/>
      <c r="HGS14" s="98"/>
      <c r="HGT14" s="98"/>
      <c r="HGU14" s="98"/>
      <c r="HGV14" s="98"/>
      <c r="HGW14" s="98"/>
      <c r="HGX14" s="98"/>
      <c r="HGY14" s="98"/>
      <c r="HGZ14" s="98"/>
      <c r="HHA14" s="98"/>
      <c r="HHB14" s="98"/>
      <c r="HHC14" s="98"/>
      <c r="HHD14" s="98"/>
      <c r="HHE14" s="98"/>
      <c r="HHF14" s="98"/>
      <c r="HHG14" s="98"/>
      <c r="HHH14" s="98"/>
      <c r="HHI14" s="98"/>
      <c r="HHJ14" s="98"/>
      <c r="HHK14" s="98"/>
      <c r="HHL14" s="98"/>
      <c r="HHM14" s="98"/>
      <c r="HHN14" s="98"/>
      <c r="HHO14" s="98"/>
      <c r="HHP14" s="98"/>
      <c r="HHQ14" s="98"/>
      <c r="HHR14" s="98"/>
      <c r="HHS14" s="98"/>
      <c r="HHT14" s="98"/>
      <c r="HHU14" s="98"/>
      <c r="HHV14" s="98"/>
      <c r="HHW14" s="98"/>
      <c r="HHX14" s="98"/>
      <c r="HHY14" s="98"/>
      <c r="HHZ14" s="98"/>
      <c r="HIA14" s="98"/>
      <c r="HIB14" s="98"/>
      <c r="HIC14" s="98"/>
      <c r="HID14" s="98"/>
      <c r="HIE14" s="98"/>
      <c r="HIF14" s="98"/>
      <c r="HIG14" s="98"/>
      <c r="HIH14" s="98"/>
      <c r="HII14" s="98"/>
      <c r="HIJ14" s="98"/>
      <c r="HIK14" s="98"/>
      <c r="HIL14" s="98"/>
      <c r="HIM14" s="98"/>
      <c r="HIN14" s="98"/>
      <c r="HIO14" s="98"/>
      <c r="HIP14" s="98"/>
      <c r="HIQ14" s="98"/>
      <c r="HIR14" s="98"/>
      <c r="HIS14" s="98"/>
      <c r="HIT14" s="98"/>
      <c r="HIU14" s="98"/>
      <c r="HIV14" s="98"/>
      <c r="HIW14" s="98"/>
      <c r="HIX14" s="98"/>
      <c r="HIY14" s="98"/>
      <c r="HIZ14" s="98"/>
      <c r="HJA14" s="98"/>
      <c r="HJB14" s="98"/>
      <c r="HJC14" s="98"/>
      <c r="HJD14" s="98"/>
      <c r="HJE14" s="98"/>
      <c r="HJF14" s="98"/>
      <c r="HJG14" s="98"/>
      <c r="HJH14" s="98"/>
      <c r="HJI14" s="98"/>
      <c r="HJJ14" s="98"/>
      <c r="HJK14" s="98"/>
      <c r="HJL14" s="98"/>
      <c r="HJM14" s="98"/>
      <c r="HJN14" s="98"/>
      <c r="HJO14" s="98"/>
      <c r="HJP14" s="98"/>
      <c r="HJQ14" s="98"/>
      <c r="HJR14" s="98"/>
      <c r="HJS14" s="98"/>
      <c r="HJT14" s="98"/>
      <c r="HJU14" s="98"/>
      <c r="HJV14" s="98"/>
      <c r="HJW14" s="98"/>
      <c r="HJX14" s="98"/>
      <c r="HJY14" s="98"/>
      <c r="HJZ14" s="98"/>
      <c r="HKA14" s="98"/>
      <c r="HKB14" s="98"/>
      <c r="HKC14" s="98"/>
      <c r="HKD14" s="98"/>
      <c r="HKE14" s="98"/>
      <c r="HKF14" s="98"/>
      <c r="HKG14" s="98"/>
      <c r="HKH14" s="98"/>
      <c r="HKI14" s="98"/>
      <c r="HKJ14" s="98"/>
      <c r="HKK14" s="98"/>
      <c r="HKL14" s="98"/>
      <c r="HKM14" s="98"/>
      <c r="HKN14" s="98"/>
      <c r="HKO14" s="98"/>
      <c r="HKP14" s="98"/>
      <c r="HKQ14" s="98"/>
      <c r="HKR14" s="98"/>
      <c r="HKS14" s="98"/>
      <c r="HKT14" s="98"/>
      <c r="HKU14" s="98"/>
      <c r="HKV14" s="98"/>
      <c r="HKW14" s="98"/>
      <c r="HKX14" s="98"/>
      <c r="HKY14" s="98"/>
      <c r="HKZ14" s="98"/>
      <c r="HLA14" s="98"/>
      <c r="HLB14" s="98"/>
      <c r="HLC14" s="98"/>
      <c r="HLD14" s="98"/>
      <c r="HLE14" s="98"/>
      <c r="HLF14" s="98"/>
      <c r="HLG14" s="98"/>
      <c r="HLH14" s="98"/>
      <c r="HLI14" s="98"/>
      <c r="HLJ14" s="98"/>
      <c r="HLK14" s="98"/>
      <c r="HLL14" s="98"/>
      <c r="HLM14" s="98"/>
      <c r="HLN14" s="98"/>
      <c r="HLO14" s="98"/>
      <c r="HLP14" s="98"/>
      <c r="HLQ14" s="98"/>
      <c r="HLR14" s="98"/>
      <c r="HLS14" s="98"/>
      <c r="HLT14" s="98"/>
      <c r="HLU14" s="98"/>
      <c r="HLV14" s="98"/>
      <c r="HLW14" s="98"/>
      <c r="HLX14" s="98"/>
      <c r="HLY14" s="98"/>
      <c r="HLZ14" s="98"/>
      <c r="HMA14" s="98"/>
      <c r="HMB14" s="98"/>
      <c r="HMC14" s="98"/>
      <c r="HMD14" s="98"/>
      <c r="HME14" s="98"/>
      <c r="HMF14" s="98"/>
      <c r="HMG14" s="98"/>
      <c r="HMH14" s="98"/>
      <c r="HMI14" s="98"/>
      <c r="HMJ14" s="98"/>
      <c r="HMK14" s="98"/>
      <c r="HML14" s="98"/>
      <c r="HMM14" s="98"/>
      <c r="HMN14" s="98"/>
      <c r="HMO14" s="98"/>
      <c r="HMP14" s="98"/>
      <c r="HMQ14" s="98"/>
      <c r="HMR14" s="98"/>
      <c r="HMS14" s="98"/>
      <c r="HMT14" s="98"/>
      <c r="HMU14" s="98"/>
      <c r="HMV14" s="98"/>
      <c r="HMW14" s="98"/>
      <c r="HMX14" s="98"/>
      <c r="HMY14" s="98"/>
      <c r="HMZ14" s="98"/>
      <c r="HNA14" s="98"/>
      <c r="HNB14" s="98"/>
      <c r="HNC14" s="98"/>
      <c r="HND14" s="98"/>
      <c r="HNE14" s="98"/>
      <c r="HNF14" s="98"/>
      <c r="HNG14" s="98"/>
      <c r="HNH14" s="98"/>
      <c r="HNI14" s="98"/>
      <c r="HNJ14" s="98"/>
      <c r="HNK14" s="98"/>
      <c r="HNL14" s="98"/>
      <c r="HNM14" s="98"/>
      <c r="HNN14" s="98"/>
      <c r="HNO14" s="98"/>
      <c r="HNP14" s="98"/>
      <c r="HNQ14" s="98"/>
      <c r="HNR14" s="98"/>
      <c r="HNS14" s="98"/>
      <c r="HNT14" s="98"/>
      <c r="HNU14" s="98"/>
      <c r="HNV14" s="98"/>
      <c r="HNW14" s="98"/>
      <c r="HNX14" s="98"/>
      <c r="HNY14" s="98"/>
      <c r="HNZ14" s="98"/>
      <c r="HOA14" s="98"/>
      <c r="HOB14" s="98"/>
      <c r="HOC14" s="98"/>
      <c r="HOD14" s="98"/>
      <c r="HOE14" s="98"/>
      <c r="HOF14" s="98"/>
      <c r="HOG14" s="98"/>
      <c r="HOH14" s="98"/>
      <c r="HOI14" s="98"/>
      <c r="HOJ14" s="98"/>
      <c r="HOK14" s="98"/>
      <c r="HOL14" s="98"/>
      <c r="HOM14" s="98"/>
      <c r="HON14" s="98"/>
      <c r="HOO14" s="98"/>
      <c r="HOP14" s="98"/>
      <c r="HOQ14" s="98"/>
      <c r="HOR14" s="98"/>
      <c r="HOS14" s="98"/>
      <c r="HOT14" s="98"/>
      <c r="HOU14" s="98"/>
      <c r="HOV14" s="98"/>
      <c r="HOW14" s="98"/>
      <c r="HOX14" s="98"/>
      <c r="HOY14" s="98"/>
      <c r="HOZ14" s="98"/>
      <c r="HPA14" s="98"/>
      <c r="HPB14" s="98"/>
      <c r="HPC14" s="98"/>
      <c r="HPD14" s="98"/>
      <c r="HPE14" s="98"/>
      <c r="HPF14" s="98"/>
      <c r="HPG14" s="98"/>
      <c r="HPH14" s="98"/>
      <c r="HPI14" s="98"/>
      <c r="HPJ14" s="98"/>
      <c r="HPK14" s="98"/>
      <c r="HPL14" s="98"/>
      <c r="HPM14" s="98"/>
      <c r="HPN14" s="98"/>
      <c r="HPO14" s="98"/>
      <c r="HPP14" s="98"/>
      <c r="HPQ14" s="98"/>
      <c r="HPR14" s="98"/>
      <c r="HPS14" s="98"/>
      <c r="HPT14" s="98"/>
      <c r="HPU14" s="98"/>
      <c r="HPV14" s="98"/>
      <c r="HPW14" s="98"/>
      <c r="HPX14" s="98"/>
      <c r="HPY14" s="98"/>
      <c r="HPZ14" s="98"/>
      <c r="HQA14" s="98"/>
      <c r="HQB14" s="98"/>
      <c r="HQC14" s="98"/>
      <c r="HQD14" s="98"/>
      <c r="HQE14" s="98"/>
      <c r="HQF14" s="98"/>
      <c r="HQG14" s="98"/>
      <c r="HQH14" s="98"/>
      <c r="HQI14" s="98"/>
      <c r="HQJ14" s="98"/>
      <c r="HQK14" s="98"/>
      <c r="HQL14" s="98"/>
      <c r="HQM14" s="98"/>
      <c r="HQN14" s="98"/>
      <c r="HQO14" s="98"/>
      <c r="HQP14" s="98"/>
      <c r="HQQ14" s="98"/>
      <c r="HQR14" s="98"/>
      <c r="HQS14" s="98"/>
      <c r="HQT14" s="98"/>
      <c r="HQU14" s="98"/>
      <c r="HQV14" s="98"/>
      <c r="HQW14" s="98"/>
      <c r="HQX14" s="98"/>
      <c r="HQY14" s="98"/>
      <c r="HQZ14" s="98"/>
      <c r="HRA14" s="98"/>
      <c r="HRB14" s="98"/>
      <c r="HRC14" s="98"/>
      <c r="HRD14" s="98"/>
      <c r="HRE14" s="98"/>
      <c r="HRF14" s="98"/>
      <c r="HRG14" s="98"/>
      <c r="HRH14" s="98"/>
      <c r="HRI14" s="98"/>
      <c r="HRJ14" s="98"/>
      <c r="HRK14" s="98"/>
      <c r="HRL14" s="98"/>
      <c r="HRM14" s="98"/>
      <c r="HRN14" s="98"/>
      <c r="HRO14" s="98"/>
      <c r="HRP14" s="98"/>
      <c r="HRQ14" s="98"/>
      <c r="HRR14" s="98"/>
      <c r="HRS14" s="98"/>
      <c r="HRT14" s="98"/>
      <c r="HRU14" s="98"/>
      <c r="HRV14" s="98"/>
      <c r="HRW14" s="98"/>
      <c r="HRX14" s="98"/>
      <c r="HRY14" s="98"/>
      <c r="HRZ14" s="98"/>
      <c r="HSA14" s="98"/>
      <c r="HSB14" s="98"/>
      <c r="HSC14" s="98"/>
      <c r="HSD14" s="98"/>
      <c r="HSE14" s="98"/>
      <c r="HSF14" s="98"/>
      <c r="HSG14" s="98"/>
      <c r="HSH14" s="98"/>
      <c r="HSI14" s="98"/>
      <c r="HSJ14" s="98"/>
      <c r="HSK14" s="98"/>
      <c r="HSL14" s="98"/>
      <c r="HSM14" s="98"/>
      <c r="HSN14" s="98"/>
      <c r="HSO14" s="98"/>
      <c r="HSP14" s="98"/>
      <c r="HSQ14" s="98"/>
      <c r="HSR14" s="98"/>
      <c r="HSS14" s="98"/>
      <c r="HST14" s="98"/>
      <c r="HSU14" s="98"/>
      <c r="HSV14" s="98"/>
      <c r="HSW14" s="98"/>
      <c r="HSX14" s="98"/>
      <c r="HSY14" s="98"/>
      <c r="HSZ14" s="98"/>
      <c r="HTA14" s="98"/>
      <c r="HTB14" s="98"/>
      <c r="HTC14" s="98"/>
      <c r="HTD14" s="98"/>
      <c r="HTE14" s="98"/>
      <c r="HTF14" s="98"/>
      <c r="HTG14" s="98"/>
      <c r="HTH14" s="98"/>
      <c r="HTI14" s="98"/>
      <c r="HTJ14" s="98"/>
      <c r="HTK14" s="98"/>
      <c r="HTL14" s="98"/>
      <c r="HTM14" s="98"/>
      <c r="HTN14" s="98"/>
      <c r="HTO14" s="98"/>
      <c r="HTP14" s="98"/>
      <c r="HTQ14" s="98"/>
      <c r="HTR14" s="98"/>
      <c r="HTS14" s="98"/>
      <c r="HTT14" s="98"/>
      <c r="HTU14" s="98"/>
      <c r="HTV14" s="98"/>
      <c r="HTW14" s="98"/>
      <c r="HTX14" s="98"/>
      <c r="HTY14" s="98"/>
      <c r="HTZ14" s="98"/>
      <c r="HUA14" s="98"/>
      <c r="HUB14" s="98"/>
      <c r="HUC14" s="98"/>
      <c r="HUD14" s="98"/>
      <c r="HUE14" s="98"/>
      <c r="HUF14" s="98"/>
      <c r="HUG14" s="98"/>
      <c r="HUH14" s="98"/>
      <c r="HUI14" s="98"/>
      <c r="HUJ14" s="98"/>
      <c r="HUK14" s="98"/>
      <c r="HUL14" s="98"/>
      <c r="HUM14" s="98"/>
      <c r="HUN14" s="98"/>
      <c r="HUO14" s="98"/>
      <c r="HUP14" s="98"/>
      <c r="HUQ14" s="98"/>
      <c r="HUR14" s="98"/>
      <c r="HUS14" s="98"/>
      <c r="HUT14" s="98"/>
      <c r="HUU14" s="98"/>
      <c r="HUV14" s="98"/>
      <c r="HUW14" s="98"/>
      <c r="HUX14" s="98"/>
      <c r="HUY14" s="98"/>
      <c r="HUZ14" s="98"/>
      <c r="HVA14" s="98"/>
      <c r="HVB14" s="98"/>
      <c r="HVC14" s="98"/>
      <c r="HVD14" s="98"/>
      <c r="HVE14" s="98"/>
      <c r="HVF14" s="98"/>
      <c r="HVG14" s="98"/>
      <c r="HVH14" s="98"/>
      <c r="HVI14" s="98"/>
      <c r="HVJ14" s="98"/>
      <c r="HVK14" s="98"/>
      <c r="HVL14" s="98"/>
      <c r="HVM14" s="98"/>
      <c r="HVN14" s="98"/>
      <c r="HVO14" s="98"/>
      <c r="HVP14" s="98"/>
      <c r="HVQ14" s="98"/>
      <c r="HVR14" s="98"/>
      <c r="HVS14" s="98"/>
      <c r="HVT14" s="98"/>
      <c r="HVU14" s="98"/>
      <c r="HVV14" s="98"/>
      <c r="HVW14" s="98"/>
      <c r="HVX14" s="98"/>
      <c r="HVY14" s="98"/>
      <c r="HVZ14" s="98"/>
      <c r="HWA14" s="98"/>
      <c r="HWB14" s="98"/>
      <c r="HWC14" s="98"/>
      <c r="HWD14" s="98"/>
      <c r="HWE14" s="98"/>
      <c r="HWF14" s="98"/>
      <c r="HWG14" s="98"/>
      <c r="HWH14" s="98"/>
      <c r="HWI14" s="98"/>
      <c r="HWJ14" s="98"/>
      <c r="HWK14" s="98"/>
      <c r="HWL14" s="98"/>
      <c r="HWM14" s="98"/>
      <c r="HWN14" s="98"/>
      <c r="HWO14" s="98"/>
      <c r="HWP14" s="98"/>
      <c r="HWQ14" s="98"/>
      <c r="HWR14" s="98"/>
      <c r="HWS14" s="98"/>
      <c r="HWT14" s="98"/>
      <c r="HWU14" s="98"/>
      <c r="HWV14" s="98"/>
      <c r="HWW14" s="98"/>
      <c r="HWX14" s="98"/>
      <c r="HWY14" s="98"/>
      <c r="HWZ14" s="98"/>
      <c r="HXA14" s="98"/>
      <c r="HXB14" s="98"/>
      <c r="HXC14" s="98"/>
      <c r="HXD14" s="98"/>
      <c r="HXE14" s="98"/>
      <c r="HXF14" s="98"/>
      <c r="HXG14" s="98"/>
      <c r="HXH14" s="98"/>
      <c r="HXI14" s="98"/>
      <c r="HXJ14" s="98"/>
      <c r="HXK14" s="98"/>
      <c r="HXL14" s="98"/>
      <c r="HXM14" s="98"/>
      <c r="HXN14" s="98"/>
      <c r="HXO14" s="98"/>
      <c r="HXP14" s="98"/>
      <c r="HXQ14" s="98"/>
      <c r="HXR14" s="98"/>
      <c r="HXS14" s="98"/>
      <c r="HXT14" s="98"/>
      <c r="HXU14" s="98"/>
      <c r="HXV14" s="98"/>
      <c r="HXW14" s="98"/>
      <c r="HXX14" s="98"/>
      <c r="HXY14" s="98"/>
      <c r="HXZ14" s="98"/>
      <c r="HYA14" s="98"/>
      <c r="HYB14" s="98"/>
      <c r="HYC14" s="98"/>
      <c r="HYD14" s="98"/>
      <c r="HYE14" s="98"/>
      <c r="HYF14" s="98"/>
      <c r="HYG14" s="98"/>
      <c r="HYH14" s="98"/>
      <c r="HYI14" s="98"/>
      <c r="HYJ14" s="98"/>
      <c r="HYK14" s="98"/>
      <c r="HYL14" s="98"/>
      <c r="HYM14" s="98"/>
      <c r="HYN14" s="98"/>
      <c r="HYO14" s="98"/>
      <c r="HYP14" s="98"/>
      <c r="HYQ14" s="98"/>
      <c r="HYR14" s="98"/>
      <c r="HYS14" s="98"/>
      <c r="HYT14" s="98"/>
      <c r="HYU14" s="98"/>
      <c r="HYV14" s="98"/>
      <c r="HYW14" s="98"/>
      <c r="HYX14" s="98"/>
      <c r="HYY14" s="98"/>
      <c r="HYZ14" s="98"/>
      <c r="HZA14" s="98"/>
      <c r="HZB14" s="98"/>
      <c r="HZC14" s="98"/>
      <c r="HZD14" s="98"/>
      <c r="HZE14" s="98"/>
      <c r="HZF14" s="98"/>
      <c r="HZG14" s="98"/>
      <c r="HZH14" s="98"/>
      <c r="HZI14" s="98"/>
      <c r="HZJ14" s="98"/>
      <c r="HZK14" s="98"/>
      <c r="HZL14" s="98"/>
      <c r="HZM14" s="98"/>
      <c r="HZN14" s="98"/>
      <c r="HZO14" s="98"/>
      <c r="HZP14" s="98"/>
      <c r="HZQ14" s="98"/>
      <c r="HZR14" s="98"/>
      <c r="HZS14" s="98"/>
      <c r="HZT14" s="98"/>
      <c r="HZU14" s="98"/>
      <c r="HZV14" s="98"/>
      <c r="HZW14" s="98"/>
      <c r="HZX14" s="98"/>
      <c r="HZY14" s="98"/>
      <c r="HZZ14" s="98"/>
      <c r="IAA14" s="98"/>
      <c r="IAB14" s="98"/>
      <c r="IAC14" s="98"/>
      <c r="IAD14" s="98"/>
      <c r="IAE14" s="98"/>
      <c r="IAF14" s="98"/>
      <c r="IAG14" s="98"/>
      <c r="IAH14" s="98"/>
      <c r="IAI14" s="98"/>
      <c r="IAJ14" s="98"/>
      <c r="IAK14" s="98"/>
      <c r="IAL14" s="98"/>
      <c r="IAM14" s="98"/>
      <c r="IAN14" s="98"/>
      <c r="IAO14" s="98"/>
      <c r="IAP14" s="98"/>
      <c r="IAQ14" s="98"/>
      <c r="IAR14" s="98"/>
      <c r="IAS14" s="98"/>
      <c r="IAT14" s="98"/>
      <c r="IAU14" s="98"/>
      <c r="IAV14" s="98"/>
      <c r="IAW14" s="98"/>
      <c r="IAX14" s="98"/>
      <c r="IAY14" s="98"/>
      <c r="IAZ14" s="98"/>
      <c r="IBA14" s="98"/>
      <c r="IBB14" s="98"/>
      <c r="IBC14" s="98"/>
      <c r="IBD14" s="98"/>
      <c r="IBE14" s="98"/>
      <c r="IBF14" s="98"/>
      <c r="IBG14" s="98"/>
      <c r="IBH14" s="98"/>
      <c r="IBI14" s="98"/>
      <c r="IBJ14" s="98"/>
      <c r="IBK14" s="98"/>
      <c r="IBL14" s="98"/>
      <c r="IBM14" s="98"/>
      <c r="IBN14" s="98"/>
      <c r="IBO14" s="98"/>
      <c r="IBP14" s="98"/>
      <c r="IBQ14" s="98"/>
      <c r="IBR14" s="98"/>
      <c r="IBS14" s="98"/>
      <c r="IBT14" s="98"/>
      <c r="IBU14" s="98"/>
      <c r="IBV14" s="98"/>
      <c r="IBW14" s="98"/>
      <c r="IBX14" s="98"/>
      <c r="IBY14" s="98"/>
      <c r="IBZ14" s="98"/>
      <c r="ICA14" s="98"/>
      <c r="ICB14" s="98"/>
      <c r="ICC14" s="98"/>
      <c r="ICD14" s="98"/>
      <c r="ICE14" s="98"/>
      <c r="ICF14" s="98"/>
      <c r="ICG14" s="98"/>
      <c r="ICH14" s="98"/>
      <c r="ICI14" s="98"/>
      <c r="ICJ14" s="98"/>
      <c r="ICK14" s="98"/>
      <c r="ICL14" s="98"/>
      <c r="ICM14" s="98"/>
      <c r="ICN14" s="98"/>
      <c r="ICO14" s="98"/>
      <c r="ICP14" s="98"/>
      <c r="ICQ14" s="98"/>
      <c r="ICR14" s="98"/>
      <c r="ICS14" s="98"/>
      <c r="ICT14" s="98"/>
      <c r="ICU14" s="98"/>
      <c r="ICV14" s="98"/>
      <c r="ICW14" s="98"/>
      <c r="ICX14" s="98"/>
      <c r="ICY14" s="98"/>
      <c r="ICZ14" s="98"/>
      <c r="IDA14" s="98"/>
      <c r="IDB14" s="98"/>
      <c r="IDC14" s="98"/>
      <c r="IDD14" s="98"/>
      <c r="IDE14" s="98"/>
      <c r="IDF14" s="98"/>
      <c r="IDG14" s="98"/>
      <c r="IDH14" s="98"/>
      <c r="IDI14" s="98"/>
      <c r="IDJ14" s="98"/>
      <c r="IDK14" s="98"/>
      <c r="IDL14" s="98"/>
      <c r="IDM14" s="98"/>
      <c r="IDN14" s="98"/>
      <c r="IDO14" s="98"/>
      <c r="IDP14" s="98"/>
      <c r="IDQ14" s="98"/>
      <c r="IDR14" s="98"/>
      <c r="IDS14" s="98"/>
      <c r="IDT14" s="98"/>
      <c r="IDU14" s="98"/>
      <c r="IDV14" s="98"/>
      <c r="IDW14" s="98"/>
      <c r="IDX14" s="98"/>
      <c r="IDY14" s="98"/>
      <c r="IDZ14" s="98"/>
      <c r="IEA14" s="98"/>
      <c r="IEB14" s="98"/>
      <c r="IEC14" s="98"/>
      <c r="IED14" s="98"/>
      <c r="IEE14" s="98"/>
      <c r="IEF14" s="98"/>
      <c r="IEG14" s="98"/>
      <c r="IEH14" s="98"/>
      <c r="IEI14" s="98"/>
      <c r="IEJ14" s="98"/>
      <c r="IEK14" s="98"/>
      <c r="IEL14" s="98"/>
      <c r="IEM14" s="98"/>
      <c r="IEN14" s="98"/>
      <c r="IEO14" s="98"/>
      <c r="IEP14" s="98"/>
      <c r="IEQ14" s="98"/>
      <c r="IER14" s="98"/>
      <c r="IES14" s="98"/>
      <c r="IET14" s="98"/>
      <c r="IEU14" s="98"/>
      <c r="IEV14" s="98"/>
      <c r="IEW14" s="98"/>
      <c r="IEX14" s="98"/>
      <c r="IEY14" s="98"/>
      <c r="IEZ14" s="98"/>
      <c r="IFA14" s="98"/>
      <c r="IFB14" s="98"/>
      <c r="IFC14" s="98"/>
      <c r="IFD14" s="98"/>
      <c r="IFE14" s="98"/>
      <c r="IFF14" s="98"/>
      <c r="IFG14" s="98"/>
      <c r="IFH14" s="98"/>
      <c r="IFI14" s="98"/>
      <c r="IFJ14" s="98"/>
      <c r="IFK14" s="98"/>
      <c r="IFL14" s="98"/>
      <c r="IFM14" s="98"/>
      <c r="IFN14" s="98"/>
      <c r="IFO14" s="98"/>
      <c r="IFP14" s="98"/>
      <c r="IFQ14" s="98"/>
      <c r="IFR14" s="98"/>
      <c r="IFS14" s="98"/>
      <c r="IFT14" s="98"/>
      <c r="IFU14" s="98"/>
      <c r="IFV14" s="98"/>
      <c r="IFW14" s="98"/>
      <c r="IFX14" s="98"/>
      <c r="IFY14" s="98"/>
      <c r="IFZ14" s="98"/>
      <c r="IGA14" s="98"/>
      <c r="IGB14" s="98"/>
      <c r="IGC14" s="98"/>
      <c r="IGD14" s="98"/>
      <c r="IGE14" s="98"/>
      <c r="IGF14" s="98"/>
      <c r="IGG14" s="98"/>
      <c r="IGH14" s="98"/>
      <c r="IGI14" s="98"/>
      <c r="IGJ14" s="98"/>
      <c r="IGK14" s="98"/>
      <c r="IGL14" s="98"/>
      <c r="IGM14" s="98"/>
      <c r="IGN14" s="98"/>
      <c r="IGO14" s="98"/>
      <c r="IGP14" s="98"/>
      <c r="IGQ14" s="98"/>
      <c r="IGR14" s="98"/>
      <c r="IGS14" s="98"/>
      <c r="IGT14" s="98"/>
      <c r="IGU14" s="98"/>
      <c r="IGV14" s="98"/>
      <c r="IGW14" s="98"/>
      <c r="IGX14" s="98"/>
      <c r="IGY14" s="98"/>
      <c r="IGZ14" s="98"/>
      <c r="IHA14" s="98"/>
      <c r="IHB14" s="98"/>
      <c r="IHC14" s="98"/>
      <c r="IHD14" s="98"/>
      <c r="IHE14" s="98"/>
      <c r="IHF14" s="98"/>
      <c r="IHG14" s="98"/>
      <c r="IHH14" s="98"/>
      <c r="IHI14" s="98"/>
      <c r="IHJ14" s="98"/>
      <c r="IHK14" s="98"/>
      <c r="IHL14" s="98"/>
      <c r="IHM14" s="98"/>
      <c r="IHN14" s="98"/>
      <c r="IHO14" s="98"/>
      <c r="IHP14" s="98"/>
      <c r="IHQ14" s="98"/>
      <c r="IHR14" s="98"/>
      <c r="IHS14" s="98"/>
      <c r="IHT14" s="98"/>
      <c r="IHU14" s="98"/>
      <c r="IHV14" s="98"/>
      <c r="IHW14" s="98"/>
      <c r="IHX14" s="98"/>
      <c r="IHY14" s="98"/>
      <c r="IHZ14" s="98"/>
      <c r="IIA14" s="98"/>
      <c r="IIB14" s="98"/>
      <c r="IIC14" s="98"/>
      <c r="IID14" s="98"/>
      <c r="IIE14" s="98"/>
      <c r="IIF14" s="98"/>
      <c r="IIG14" s="98"/>
      <c r="IIH14" s="98"/>
      <c r="III14" s="98"/>
      <c r="IIJ14" s="98"/>
      <c r="IIK14" s="98"/>
      <c r="IIL14" s="98"/>
      <c r="IIM14" s="98"/>
      <c r="IIN14" s="98"/>
      <c r="IIO14" s="98"/>
      <c r="IIP14" s="98"/>
      <c r="IIQ14" s="98"/>
      <c r="IIR14" s="98"/>
      <c r="IIS14" s="98"/>
      <c r="IIT14" s="98"/>
      <c r="IIU14" s="98"/>
      <c r="IIV14" s="98"/>
      <c r="IIW14" s="98"/>
      <c r="IIX14" s="98"/>
      <c r="IIY14" s="98"/>
      <c r="IIZ14" s="98"/>
      <c r="IJA14" s="98"/>
      <c r="IJB14" s="98"/>
      <c r="IJC14" s="98"/>
      <c r="IJD14" s="98"/>
      <c r="IJE14" s="98"/>
      <c r="IJF14" s="98"/>
      <c r="IJG14" s="98"/>
      <c r="IJH14" s="98"/>
      <c r="IJI14" s="98"/>
      <c r="IJJ14" s="98"/>
      <c r="IJK14" s="98"/>
      <c r="IJL14" s="98"/>
      <c r="IJM14" s="98"/>
      <c r="IJN14" s="98"/>
      <c r="IJO14" s="98"/>
      <c r="IJP14" s="98"/>
      <c r="IJQ14" s="98"/>
      <c r="IJR14" s="98"/>
      <c r="IJS14" s="98"/>
      <c r="IJT14" s="98"/>
      <c r="IJU14" s="98"/>
      <c r="IJV14" s="98"/>
      <c r="IJW14" s="98"/>
      <c r="IJX14" s="98"/>
      <c r="IJY14" s="98"/>
      <c r="IJZ14" s="98"/>
      <c r="IKA14" s="98"/>
      <c r="IKB14" s="98"/>
      <c r="IKC14" s="98"/>
      <c r="IKD14" s="98"/>
      <c r="IKE14" s="98"/>
      <c r="IKF14" s="98"/>
      <c r="IKG14" s="98"/>
      <c r="IKH14" s="98"/>
      <c r="IKI14" s="98"/>
      <c r="IKJ14" s="98"/>
      <c r="IKK14" s="98"/>
      <c r="IKL14" s="98"/>
      <c r="IKM14" s="98"/>
      <c r="IKN14" s="98"/>
      <c r="IKO14" s="98"/>
      <c r="IKP14" s="98"/>
      <c r="IKQ14" s="98"/>
      <c r="IKR14" s="98"/>
      <c r="IKS14" s="98"/>
      <c r="IKT14" s="98"/>
      <c r="IKU14" s="98"/>
      <c r="IKV14" s="98"/>
      <c r="IKW14" s="98"/>
      <c r="IKX14" s="98"/>
      <c r="IKY14" s="98"/>
      <c r="IKZ14" s="98"/>
      <c r="ILA14" s="98"/>
      <c r="ILB14" s="98"/>
      <c r="ILC14" s="98"/>
      <c r="ILD14" s="98"/>
      <c r="ILE14" s="98"/>
      <c r="ILF14" s="98"/>
      <c r="ILG14" s="98"/>
      <c r="ILH14" s="98"/>
      <c r="ILI14" s="98"/>
      <c r="ILJ14" s="98"/>
      <c r="ILK14" s="98"/>
      <c r="ILL14" s="98"/>
      <c r="ILM14" s="98"/>
      <c r="ILN14" s="98"/>
      <c r="ILO14" s="98"/>
      <c r="ILP14" s="98"/>
      <c r="ILQ14" s="98"/>
      <c r="ILR14" s="98"/>
      <c r="ILS14" s="98"/>
      <c r="ILT14" s="98"/>
      <c r="ILU14" s="98"/>
      <c r="ILV14" s="98"/>
      <c r="ILW14" s="98"/>
      <c r="ILX14" s="98"/>
      <c r="ILY14" s="98"/>
      <c r="ILZ14" s="98"/>
      <c r="IMA14" s="98"/>
      <c r="IMB14" s="98"/>
      <c r="IMC14" s="98"/>
      <c r="IMD14" s="98"/>
      <c r="IME14" s="98"/>
      <c r="IMF14" s="98"/>
      <c r="IMG14" s="98"/>
      <c r="IMH14" s="98"/>
      <c r="IMI14" s="98"/>
      <c r="IMJ14" s="98"/>
      <c r="IMK14" s="98"/>
      <c r="IML14" s="98"/>
      <c r="IMM14" s="98"/>
      <c r="IMN14" s="98"/>
      <c r="IMO14" s="98"/>
      <c r="IMP14" s="98"/>
      <c r="IMQ14" s="98"/>
      <c r="IMR14" s="98"/>
      <c r="IMS14" s="98"/>
      <c r="IMT14" s="98"/>
      <c r="IMU14" s="98"/>
      <c r="IMV14" s="98"/>
      <c r="IMW14" s="98"/>
      <c r="IMX14" s="98"/>
      <c r="IMY14" s="98"/>
      <c r="IMZ14" s="98"/>
      <c r="INA14" s="98"/>
      <c r="INB14" s="98"/>
      <c r="INC14" s="98"/>
      <c r="IND14" s="98"/>
      <c r="INE14" s="98"/>
      <c r="INF14" s="98"/>
      <c r="ING14" s="98"/>
      <c r="INH14" s="98"/>
      <c r="INI14" s="98"/>
      <c r="INJ14" s="98"/>
      <c r="INK14" s="98"/>
      <c r="INL14" s="98"/>
      <c r="INM14" s="98"/>
      <c r="INN14" s="98"/>
      <c r="INO14" s="98"/>
      <c r="INP14" s="98"/>
      <c r="INQ14" s="98"/>
      <c r="INR14" s="98"/>
      <c r="INS14" s="98"/>
      <c r="INT14" s="98"/>
      <c r="INU14" s="98"/>
      <c r="INV14" s="98"/>
      <c r="INW14" s="98"/>
      <c r="INX14" s="98"/>
      <c r="INY14" s="98"/>
      <c r="INZ14" s="98"/>
      <c r="IOA14" s="98"/>
      <c r="IOB14" s="98"/>
      <c r="IOC14" s="98"/>
      <c r="IOD14" s="98"/>
      <c r="IOE14" s="98"/>
      <c r="IOF14" s="98"/>
      <c r="IOG14" s="98"/>
      <c r="IOH14" s="98"/>
      <c r="IOI14" s="98"/>
      <c r="IOJ14" s="98"/>
      <c r="IOK14" s="98"/>
      <c r="IOL14" s="98"/>
      <c r="IOM14" s="98"/>
      <c r="ION14" s="98"/>
      <c r="IOO14" s="98"/>
      <c r="IOP14" s="98"/>
      <c r="IOQ14" s="98"/>
      <c r="IOR14" s="98"/>
      <c r="IOS14" s="98"/>
      <c r="IOT14" s="98"/>
      <c r="IOU14" s="98"/>
      <c r="IOV14" s="98"/>
      <c r="IOW14" s="98"/>
      <c r="IOX14" s="98"/>
      <c r="IOY14" s="98"/>
      <c r="IOZ14" s="98"/>
      <c r="IPA14" s="98"/>
      <c r="IPB14" s="98"/>
      <c r="IPC14" s="98"/>
      <c r="IPD14" s="98"/>
      <c r="IPE14" s="98"/>
      <c r="IPF14" s="98"/>
      <c r="IPG14" s="98"/>
      <c r="IPH14" s="98"/>
      <c r="IPI14" s="98"/>
      <c r="IPJ14" s="98"/>
      <c r="IPK14" s="98"/>
      <c r="IPL14" s="98"/>
      <c r="IPM14" s="98"/>
      <c r="IPN14" s="98"/>
      <c r="IPO14" s="98"/>
      <c r="IPP14" s="98"/>
      <c r="IPQ14" s="98"/>
      <c r="IPR14" s="98"/>
      <c r="IPS14" s="98"/>
      <c r="IPT14" s="98"/>
      <c r="IPU14" s="98"/>
      <c r="IPV14" s="98"/>
      <c r="IPW14" s="98"/>
      <c r="IPX14" s="98"/>
      <c r="IPY14" s="98"/>
      <c r="IPZ14" s="98"/>
      <c r="IQA14" s="98"/>
      <c r="IQB14" s="98"/>
      <c r="IQC14" s="98"/>
      <c r="IQD14" s="98"/>
      <c r="IQE14" s="98"/>
      <c r="IQF14" s="98"/>
      <c r="IQG14" s="98"/>
      <c r="IQH14" s="98"/>
      <c r="IQI14" s="98"/>
      <c r="IQJ14" s="98"/>
      <c r="IQK14" s="98"/>
      <c r="IQL14" s="98"/>
      <c r="IQM14" s="98"/>
      <c r="IQN14" s="98"/>
      <c r="IQO14" s="98"/>
      <c r="IQP14" s="98"/>
      <c r="IQQ14" s="98"/>
      <c r="IQR14" s="98"/>
      <c r="IQS14" s="98"/>
      <c r="IQT14" s="98"/>
      <c r="IQU14" s="98"/>
      <c r="IQV14" s="98"/>
      <c r="IQW14" s="98"/>
      <c r="IQX14" s="98"/>
      <c r="IQY14" s="98"/>
      <c r="IQZ14" s="98"/>
      <c r="IRA14" s="98"/>
      <c r="IRB14" s="98"/>
      <c r="IRC14" s="98"/>
      <c r="IRD14" s="98"/>
      <c r="IRE14" s="98"/>
      <c r="IRF14" s="98"/>
      <c r="IRG14" s="98"/>
      <c r="IRH14" s="98"/>
      <c r="IRI14" s="98"/>
      <c r="IRJ14" s="98"/>
      <c r="IRK14" s="98"/>
      <c r="IRL14" s="98"/>
      <c r="IRM14" s="98"/>
      <c r="IRN14" s="98"/>
      <c r="IRO14" s="98"/>
      <c r="IRP14" s="98"/>
      <c r="IRQ14" s="98"/>
      <c r="IRR14" s="98"/>
      <c r="IRS14" s="98"/>
      <c r="IRT14" s="98"/>
      <c r="IRU14" s="98"/>
      <c r="IRV14" s="98"/>
      <c r="IRW14" s="98"/>
      <c r="IRX14" s="98"/>
      <c r="IRY14" s="98"/>
      <c r="IRZ14" s="98"/>
      <c r="ISA14" s="98"/>
      <c r="ISB14" s="98"/>
      <c r="ISC14" s="98"/>
      <c r="ISD14" s="98"/>
      <c r="ISE14" s="98"/>
      <c r="ISF14" s="98"/>
      <c r="ISG14" s="98"/>
      <c r="ISH14" s="98"/>
      <c r="ISI14" s="98"/>
      <c r="ISJ14" s="98"/>
      <c r="ISK14" s="98"/>
      <c r="ISL14" s="98"/>
      <c r="ISM14" s="98"/>
      <c r="ISN14" s="98"/>
      <c r="ISO14" s="98"/>
      <c r="ISP14" s="98"/>
      <c r="ISQ14" s="98"/>
      <c r="ISR14" s="98"/>
      <c r="ISS14" s="98"/>
      <c r="IST14" s="98"/>
      <c r="ISU14" s="98"/>
      <c r="ISV14" s="98"/>
      <c r="ISW14" s="98"/>
      <c r="ISX14" s="98"/>
      <c r="ISY14" s="98"/>
      <c r="ISZ14" s="98"/>
      <c r="ITA14" s="98"/>
      <c r="ITB14" s="98"/>
      <c r="ITC14" s="98"/>
      <c r="ITD14" s="98"/>
      <c r="ITE14" s="98"/>
      <c r="ITF14" s="98"/>
      <c r="ITG14" s="98"/>
      <c r="ITH14" s="98"/>
      <c r="ITI14" s="98"/>
      <c r="ITJ14" s="98"/>
      <c r="ITK14" s="98"/>
      <c r="ITL14" s="98"/>
      <c r="ITM14" s="98"/>
      <c r="ITN14" s="98"/>
      <c r="ITO14" s="98"/>
      <c r="ITP14" s="98"/>
      <c r="ITQ14" s="98"/>
      <c r="ITR14" s="98"/>
      <c r="ITS14" s="98"/>
      <c r="ITT14" s="98"/>
      <c r="ITU14" s="98"/>
      <c r="ITV14" s="98"/>
      <c r="ITW14" s="98"/>
      <c r="ITX14" s="98"/>
      <c r="ITY14" s="98"/>
      <c r="ITZ14" s="98"/>
      <c r="IUA14" s="98"/>
      <c r="IUB14" s="98"/>
      <c r="IUC14" s="98"/>
      <c r="IUD14" s="98"/>
      <c r="IUE14" s="98"/>
      <c r="IUF14" s="98"/>
      <c r="IUG14" s="98"/>
      <c r="IUH14" s="98"/>
      <c r="IUI14" s="98"/>
      <c r="IUJ14" s="98"/>
      <c r="IUK14" s="98"/>
      <c r="IUL14" s="98"/>
      <c r="IUM14" s="98"/>
      <c r="IUN14" s="98"/>
      <c r="IUO14" s="98"/>
      <c r="IUP14" s="98"/>
      <c r="IUQ14" s="98"/>
      <c r="IUR14" s="98"/>
      <c r="IUS14" s="98"/>
      <c r="IUT14" s="98"/>
      <c r="IUU14" s="98"/>
      <c r="IUV14" s="98"/>
      <c r="IUW14" s="98"/>
      <c r="IUX14" s="98"/>
      <c r="IUY14" s="98"/>
      <c r="IUZ14" s="98"/>
      <c r="IVA14" s="98"/>
      <c r="IVB14" s="98"/>
      <c r="IVC14" s="98"/>
      <c r="IVD14" s="98"/>
      <c r="IVE14" s="98"/>
      <c r="IVF14" s="98"/>
      <c r="IVG14" s="98"/>
      <c r="IVH14" s="98"/>
      <c r="IVI14" s="98"/>
      <c r="IVJ14" s="98"/>
      <c r="IVK14" s="98"/>
      <c r="IVL14" s="98"/>
      <c r="IVM14" s="98"/>
      <c r="IVN14" s="98"/>
      <c r="IVO14" s="98"/>
      <c r="IVP14" s="98"/>
      <c r="IVQ14" s="98"/>
      <c r="IVR14" s="98"/>
      <c r="IVS14" s="98"/>
      <c r="IVT14" s="98"/>
      <c r="IVU14" s="98"/>
      <c r="IVV14" s="98"/>
      <c r="IVW14" s="98"/>
      <c r="IVX14" s="98"/>
      <c r="IVY14" s="98"/>
      <c r="IVZ14" s="98"/>
      <c r="IWA14" s="98"/>
      <c r="IWB14" s="98"/>
      <c r="IWC14" s="98"/>
      <c r="IWD14" s="98"/>
      <c r="IWE14" s="98"/>
      <c r="IWF14" s="98"/>
      <c r="IWG14" s="98"/>
      <c r="IWH14" s="98"/>
      <c r="IWI14" s="98"/>
      <c r="IWJ14" s="98"/>
      <c r="IWK14" s="98"/>
      <c r="IWL14" s="98"/>
      <c r="IWM14" s="98"/>
      <c r="IWN14" s="98"/>
      <c r="IWO14" s="98"/>
      <c r="IWP14" s="98"/>
      <c r="IWQ14" s="98"/>
      <c r="IWR14" s="98"/>
      <c r="IWS14" s="98"/>
      <c r="IWT14" s="98"/>
      <c r="IWU14" s="98"/>
      <c r="IWV14" s="98"/>
      <c r="IWW14" s="98"/>
      <c r="IWX14" s="98"/>
      <c r="IWY14" s="98"/>
      <c r="IWZ14" s="98"/>
      <c r="IXA14" s="98"/>
      <c r="IXB14" s="98"/>
      <c r="IXC14" s="98"/>
      <c r="IXD14" s="98"/>
      <c r="IXE14" s="98"/>
      <c r="IXF14" s="98"/>
      <c r="IXG14" s="98"/>
      <c r="IXH14" s="98"/>
      <c r="IXI14" s="98"/>
      <c r="IXJ14" s="98"/>
      <c r="IXK14" s="98"/>
      <c r="IXL14" s="98"/>
      <c r="IXM14" s="98"/>
      <c r="IXN14" s="98"/>
      <c r="IXO14" s="98"/>
      <c r="IXP14" s="98"/>
      <c r="IXQ14" s="98"/>
      <c r="IXR14" s="98"/>
      <c r="IXS14" s="98"/>
      <c r="IXT14" s="98"/>
      <c r="IXU14" s="98"/>
      <c r="IXV14" s="98"/>
      <c r="IXW14" s="98"/>
      <c r="IXX14" s="98"/>
      <c r="IXY14" s="98"/>
      <c r="IXZ14" s="98"/>
      <c r="IYA14" s="98"/>
      <c r="IYB14" s="98"/>
      <c r="IYC14" s="98"/>
      <c r="IYD14" s="98"/>
      <c r="IYE14" s="98"/>
      <c r="IYF14" s="98"/>
      <c r="IYG14" s="98"/>
      <c r="IYH14" s="98"/>
      <c r="IYI14" s="98"/>
      <c r="IYJ14" s="98"/>
      <c r="IYK14" s="98"/>
      <c r="IYL14" s="98"/>
      <c r="IYM14" s="98"/>
      <c r="IYN14" s="98"/>
      <c r="IYO14" s="98"/>
      <c r="IYP14" s="98"/>
      <c r="IYQ14" s="98"/>
      <c r="IYR14" s="98"/>
      <c r="IYS14" s="98"/>
      <c r="IYT14" s="98"/>
      <c r="IYU14" s="98"/>
      <c r="IYV14" s="98"/>
      <c r="IYW14" s="98"/>
      <c r="IYX14" s="98"/>
      <c r="IYY14" s="98"/>
      <c r="IYZ14" s="98"/>
      <c r="IZA14" s="98"/>
      <c r="IZB14" s="98"/>
      <c r="IZC14" s="98"/>
      <c r="IZD14" s="98"/>
      <c r="IZE14" s="98"/>
      <c r="IZF14" s="98"/>
      <c r="IZG14" s="98"/>
      <c r="IZH14" s="98"/>
      <c r="IZI14" s="98"/>
      <c r="IZJ14" s="98"/>
      <c r="IZK14" s="98"/>
      <c r="IZL14" s="98"/>
      <c r="IZM14" s="98"/>
      <c r="IZN14" s="98"/>
      <c r="IZO14" s="98"/>
      <c r="IZP14" s="98"/>
      <c r="IZQ14" s="98"/>
      <c r="IZR14" s="98"/>
      <c r="IZS14" s="98"/>
      <c r="IZT14" s="98"/>
      <c r="IZU14" s="98"/>
      <c r="IZV14" s="98"/>
      <c r="IZW14" s="98"/>
      <c r="IZX14" s="98"/>
      <c r="IZY14" s="98"/>
      <c r="IZZ14" s="98"/>
      <c r="JAA14" s="98"/>
      <c r="JAB14" s="98"/>
      <c r="JAC14" s="98"/>
      <c r="JAD14" s="98"/>
      <c r="JAE14" s="98"/>
      <c r="JAF14" s="98"/>
      <c r="JAG14" s="98"/>
      <c r="JAH14" s="98"/>
      <c r="JAI14" s="98"/>
      <c r="JAJ14" s="98"/>
      <c r="JAK14" s="98"/>
      <c r="JAL14" s="98"/>
      <c r="JAM14" s="98"/>
      <c r="JAN14" s="98"/>
      <c r="JAO14" s="98"/>
      <c r="JAP14" s="98"/>
      <c r="JAQ14" s="98"/>
      <c r="JAR14" s="98"/>
      <c r="JAS14" s="98"/>
      <c r="JAT14" s="98"/>
      <c r="JAU14" s="98"/>
      <c r="JAV14" s="98"/>
      <c r="JAW14" s="98"/>
      <c r="JAX14" s="98"/>
      <c r="JAY14" s="98"/>
      <c r="JAZ14" s="98"/>
      <c r="JBA14" s="98"/>
      <c r="JBB14" s="98"/>
      <c r="JBC14" s="98"/>
      <c r="JBD14" s="98"/>
      <c r="JBE14" s="98"/>
      <c r="JBF14" s="98"/>
      <c r="JBG14" s="98"/>
      <c r="JBH14" s="98"/>
      <c r="JBI14" s="98"/>
      <c r="JBJ14" s="98"/>
      <c r="JBK14" s="98"/>
      <c r="JBL14" s="98"/>
      <c r="JBM14" s="98"/>
      <c r="JBN14" s="98"/>
      <c r="JBO14" s="98"/>
      <c r="JBP14" s="98"/>
      <c r="JBQ14" s="98"/>
      <c r="JBR14" s="98"/>
      <c r="JBS14" s="98"/>
      <c r="JBT14" s="98"/>
      <c r="JBU14" s="98"/>
      <c r="JBV14" s="98"/>
      <c r="JBW14" s="98"/>
      <c r="JBX14" s="98"/>
      <c r="JBY14" s="98"/>
      <c r="JBZ14" s="98"/>
      <c r="JCA14" s="98"/>
      <c r="JCB14" s="98"/>
      <c r="JCC14" s="98"/>
      <c r="JCD14" s="98"/>
      <c r="JCE14" s="98"/>
      <c r="JCF14" s="98"/>
      <c r="JCG14" s="98"/>
      <c r="JCH14" s="98"/>
      <c r="JCI14" s="98"/>
      <c r="JCJ14" s="98"/>
      <c r="JCK14" s="98"/>
      <c r="JCL14" s="98"/>
      <c r="JCM14" s="98"/>
      <c r="JCN14" s="98"/>
      <c r="JCO14" s="98"/>
      <c r="JCP14" s="98"/>
      <c r="JCQ14" s="98"/>
      <c r="JCR14" s="98"/>
      <c r="JCS14" s="98"/>
      <c r="JCT14" s="98"/>
      <c r="JCU14" s="98"/>
      <c r="JCV14" s="98"/>
      <c r="JCW14" s="98"/>
      <c r="JCX14" s="98"/>
      <c r="JCY14" s="98"/>
      <c r="JCZ14" s="98"/>
      <c r="JDA14" s="98"/>
      <c r="JDB14" s="98"/>
      <c r="JDC14" s="98"/>
      <c r="JDD14" s="98"/>
      <c r="JDE14" s="98"/>
      <c r="JDF14" s="98"/>
      <c r="JDG14" s="98"/>
      <c r="JDH14" s="98"/>
      <c r="JDI14" s="98"/>
      <c r="JDJ14" s="98"/>
      <c r="JDK14" s="98"/>
      <c r="JDL14" s="98"/>
      <c r="JDM14" s="98"/>
      <c r="JDN14" s="98"/>
      <c r="JDO14" s="98"/>
      <c r="JDP14" s="98"/>
      <c r="JDQ14" s="98"/>
      <c r="JDR14" s="98"/>
      <c r="JDS14" s="98"/>
      <c r="JDT14" s="98"/>
      <c r="JDU14" s="98"/>
      <c r="JDV14" s="98"/>
      <c r="JDW14" s="98"/>
      <c r="JDX14" s="98"/>
      <c r="JDY14" s="98"/>
      <c r="JDZ14" s="98"/>
      <c r="JEA14" s="98"/>
      <c r="JEB14" s="98"/>
      <c r="JEC14" s="98"/>
      <c r="JED14" s="98"/>
      <c r="JEE14" s="98"/>
      <c r="JEF14" s="98"/>
      <c r="JEG14" s="98"/>
      <c r="JEH14" s="98"/>
      <c r="JEI14" s="98"/>
      <c r="JEJ14" s="98"/>
      <c r="JEK14" s="98"/>
      <c r="JEL14" s="98"/>
      <c r="JEM14" s="98"/>
      <c r="JEN14" s="98"/>
      <c r="JEO14" s="98"/>
      <c r="JEP14" s="98"/>
      <c r="JEQ14" s="98"/>
      <c r="JER14" s="98"/>
      <c r="JES14" s="98"/>
      <c r="JET14" s="98"/>
      <c r="JEU14" s="98"/>
      <c r="JEV14" s="98"/>
      <c r="JEW14" s="98"/>
      <c r="JEX14" s="98"/>
      <c r="JEY14" s="98"/>
      <c r="JEZ14" s="98"/>
      <c r="JFA14" s="98"/>
      <c r="JFB14" s="98"/>
      <c r="JFC14" s="98"/>
      <c r="JFD14" s="98"/>
      <c r="JFE14" s="98"/>
      <c r="JFF14" s="98"/>
      <c r="JFG14" s="98"/>
      <c r="JFH14" s="98"/>
      <c r="JFI14" s="98"/>
      <c r="JFJ14" s="98"/>
      <c r="JFK14" s="98"/>
      <c r="JFL14" s="98"/>
      <c r="JFM14" s="98"/>
      <c r="JFN14" s="98"/>
      <c r="JFO14" s="98"/>
      <c r="JFP14" s="98"/>
      <c r="JFQ14" s="98"/>
      <c r="JFR14" s="98"/>
      <c r="JFS14" s="98"/>
      <c r="JFT14" s="98"/>
      <c r="JFU14" s="98"/>
      <c r="JFV14" s="98"/>
      <c r="JFW14" s="98"/>
      <c r="JFX14" s="98"/>
      <c r="JFY14" s="98"/>
      <c r="JFZ14" s="98"/>
      <c r="JGA14" s="98"/>
      <c r="JGB14" s="98"/>
      <c r="JGC14" s="98"/>
      <c r="JGD14" s="98"/>
      <c r="JGE14" s="98"/>
      <c r="JGF14" s="98"/>
      <c r="JGG14" s="98"/>
      <c r="JGH14" s="98"/>
      <c r="JGI14" s="98"/>
      <c r="JGJ14" s="98"/>
      <c r="JGK14" s="98"/>
      <c r="JGL14" s="98"/>
      <c r="JGM14" s="98"/>
      <c r="JGN14" s="98"/>
      <c r="JGO14" s="98"/>
      <c r="JGP14" s="98"/>
      <c r="JGQ14" s="98"/>
      <c r="JGR14" s="98"/>
      <c r="JGS14" s="98"/>
      <c r="JGT14" s="98"/>
      <c r="JGU14" s="98"/>
      <c r="JGV14" s="98"/>
      <c r="JGW14" s="98"/>
      <c r="JGX14" s="98"/>
      <c r="JGY14" s="98"/>
      <c r="JGZ14" s="98"/>
      <c r="JHA14" s="98"/>
      <c r="JHB14" s="98"/>
      <c r="JHC14" s="98"/>
      <c r="JHD14" s="98"/>
      <c r="JHE14" s="98"/>
      <c r="JHF14" s="98"/>
      <c r="JHG14" s="98"/>
      <c r="JHH14" s="98"/>
      <c r="JHI14" s="98"/>
      <c r="JHJ14" s="98"/>
      <c r="JHK14" s="98"/>
      <c r="JHL14" s="98"/>
      <c r="JHM14" s="98"/>
      <c r="JHN14" s="98"/>
      <c r="JHO14" s="98"/>
      <c r="JHP14" s="98"/>
      <c r="JHQ14" s="98"/>
      <c r="JHR14" s="98"/>
      <c r="JHS14" s="98"/>
      <c r="JHT14" s="98"/>
      <c r="JHU14" s="98"/>
      <c r="JHV14" s="98"/>
      <c r="JHW14" s="98"/>
      <c r="JHX14" s="98"/>
      <c r="JHY14" s="98"/>
      <c r="JHZ14" s="98"/>
      <c r="JIA14" s="98"/>
      <c r="JIB14" s="98"/>
      <c r="JIC14" s="98"/>
      <c r="JID14" s="98"/>
      <c r="JIE14" s="98"/>
      <c r="JIF14" s="98"/>
      <c r="JIG14" s="98"/>
      <c r="JIH14" s="98"/>
      <c r="JII14" s="98"/>
      <c r="JIJ14" s="98"/>
      <c r="JIK14" s="98"/>
      <c r="JIL14" s="98"/>
      <c r="JIM14" s="98"/>
      <c r="JIN14" s="98"/>
      <c r="JIO14" s="98"/>
      <c r="JIP14" s="98"/>
      <c r="JIQ14" s="98"/>
      <c r="JIR14" s="98"/>
      <c r="JIS14" s="98"/>
      <c r="JIT14" s="98"/>
      <c r="JIU14" s="98"/>
      <c r="JIV14" s="98"/>
      <c r="JIW14" s="98"/>
      <c r="JIX14" s="98"/>
      <c r="JIY14" s="98"/>
      <c r="JIZ14" s="98"/>
      <c r="JJA14" s="98"/>
      <c r="JJB14" s="98"/>
      <c r="JJC14" s="98"/>
      <c r="JJD14" s="98"/>
      <c r="JJE14" s="98"/>
      <c r="JJF14" s="98"/>
      <c r="JJG14" s="98"/>
      <c r="JJH14" s="98"/>
      <c r="JJI14" s="98"/>
      <c r="JJJ14" s="98"/>
      <c r="JJK14" s="98"/>
      <c r="JJL14" s="98"/>
      <c r="JJM14" s="98"/>
      <c r="JJN14" s="98"/>
      <c r="JJO14" s="98"/>
      <c r="JJP14" s="98"/>
      <c r="JJQ14" s="98"/>
      <c r="JJR14" s="98"/>
      <c r="JJS14" s="98"/>
      <c r="JJT14" s="98"/>
      <c r="JJU14" s="98"/>
      <c r="JJV14" s="98"/>
      <c r="JJW14" s="98"/>
      <c r="JJX14" s="98"/>
      <c r="JJY14" s="98"/>
      <c r="JJZ14" s="98"/>
      <c r="JKA14" s="98"/>
      <c r="JKB14" s="98"/>
      <c r="JKC14" s="98"/>
      <c r="JKD14" s="98"/>
      <c r="JKE14" s="98"/>
      <c r="JKF14" s="98"/>
      <c r="JKG14" s="98"/>
      <c r="JKH14" s="98"/>
      <c r="JKI14" s="98"/>
      <c r="JKJ14" s="98"/>
      <c r="JKK14" s="98"/>
      <c r="JKL14" s="98"/>
      <c r="JKM14" s="98"/>
      <c r="JKN14" s="98"/>
      <c r="JKO14" s="98"/>
      <c r="JKP14" s="98"/>
      <c r="JKQ14" s="98"/>
      <c r="JKR14" s="98"/>
      <c r="JKS14" s="98"/>
      <c r="JKT14" s="98"/>
      <c r="JKU14" s="98"/>
      <c r="JKV14" s="98"/>
      <c r="JKW14" s="98"/>
      <c r="JKX14" s="98"/>
      <c r="JKY14" s="98"/>
      <c r="JKZ14" s="98"/>
      <c r="JLA14" s="98"/>
      <c r="JLB14" s="98"/>
      <c r="JLC14" s="98"/>
      <c r="JLD14" s="98"/>
      <c r="JLE14" s="98"/>
      <c r="JLF14" s="98"/>
      <c r="JLG14" s="98"/>
      <c r="JLH14" s="98"/>
      <c r="JLI14" s="98"/>
      <c r="JLJ14" s="98"/>
      <c r="JLK14" s="98"/>
      <c r="JLL14" s="98"/>
      <c r="JLM14" s="98"/>
      <c r="JLN14" s="98"/>
      <c r="JLO14" s="98"/>
      <c r="JLP14" s="98"/>
      <c r="JLQ14" s="98"/>
      <c r="JLR14" s="98"/>
      <c r="JLS14" s="98"/>
      <c r="JLT14" s="98"/>
      <c r="JLU14" s="98"/>
      <c r="JLV14" s="98"/>
      <c r="JLW14" s="98"/>
      <c r="JLX14" s="98"/>
      <c r="JLY14" s="98"/>
      <c r="JLZ14" s="98"/>
      <c r="JMA14" s="98"/>
      <c r="JMB14" s="98"/>
      <c r="JMC14" s="98"/>
      <c r="JMD14" s="98"/>
      <c r="JME14" s="98"/>
      <c r="JMF14" s="98"/>
      <c r="JMG14" s="98"/>
      <c r="JMH14" s="98"/>
      <c r="JMI14" s="98"/>
      <c r="JMJ14" s="98"/>
      <c r="JMK14" s="98"/>
      <c r="JML14" s="98"/>
      <c r="JMM14" s="98"/>
      <c r="JMN14" s="98"/>
      <c r="JMO14" s="98"/>
      <c r="JMP14" s="98"/>
      <c r="JMQ14" s="98"/>
      <c r="JMR14" s="98"/>
      <c r="JMS14" s="98"/>
      <c r="JMT14" s="98"/>
      <c r="JMU14" s="98"/>
      <c r="JMV14" s="98"/>
      <c r="JMW14" s="98"/>
      <c r="JMX14" s="98"/>
      <c r="JMY14" s="98"/>
      <c r="JMZ14" s="98"/>
      <c r="JNA14" s="98"/>
      <c r="JNB14" s="98"/>
      <c r="JNC14" s="98"/>
      <c r="JND14" s="98"/>
      <c r="JNE14" s="98"/>
      <c r="JNF14" s="98"/>
      <c r="JNG14" s="98"/>
      <c r="JNH14" s="98"/>
      <c r="JNI14" s="98"/>
      <c r="JNJ14" s="98"/>
      <c r="JNK14" s="98"/>
      <c r="JNL14" s="98"/>
      <c r="JNM14" s="98"/>
      <c r="JNN14" s="98"/>
      <c r="JNO14" s="98"/>
      <c r="JNP14" s="98"/>
      <c r="JNQ14" s="98"/>
      <c r="JNR14" s="98"/>
      <c r="JNS14" s="98"/>
      <c r="JNT14" s="98"/>
      <c r="JNU14" s="98"/>
      <c r="JNV14" s="98"/>
      <c r="JNW14" s="98"/>
      <c r="JNX14" s="98"/>
      <c r="JNY14" s="98"/>
      <c r="JNZ14" s="98"/>
      <c r="JOA14" s="98"/>
      <c r="JOB14" s="98"/>
      <c r="JOC14" s="98"/>
      <c r="JOD14" s="98"/>
      <c r="JOE14" s="98"/>
      <c r="JOF14" s="98"/>
      <c r="JOG14" s="98"/>
      <c r="JOH14" s="98"/>
      <c r="JOI14" s="98"/>
      <c r="JOJ14" s="98"/>
      <c r="JOK14" s="98"/>
      <c r="JOL14" s="98"/>
      <c r="JOM14" s="98"/>
      <c r="JON14" s="98"/>
      <c r="JOO14" s="98"/>
      <c r="JOP14" s="98"/>
      <c r="JOQ14" s="98"/>
      <c r="JOR14" s="98"/>
      <c r="JOS14" s="98"/>
      <c r="JOT14" s="98"/>
      <c r="JOU14" s="98"/>
      <c r="JOV14" s="98"/>
      <c r="JOW14" s="98"/>
      <c r="JOX14" s="98"/>
      <c r="JOY14" s="98"/>
      <c r="JOZ14" s="98"/>
      <c r="JPA14" s="98"/>
      <c r="JPB14" s="98"/>
      <c r="JPC14" s="98"/>
      <c r="JPD14" s="98"/>
      <c r="JPE14" s="98"/>
      <c r="JPF14" s="98"/>
      <c r="JPG14" s="98"/>
      <c r="JPH14" s="98"/>
      <c r="JPI14" s="98"/>
      <c r="JPJ14" s="98"/>
      <c r="JPK14" s="98"/>
      <c r="JPL14" s="98"/>
      <c r="JPM14" s="98"/>
      <c r="JPN14" s="98"/>
      <c r="JPO14" s="98"/>
      <c r="JPP14" s="98"/>
      <c r="JPQ14" s="98"/>
      <c r="JPR14" s="98"/>
      <c r="JPS14" s="98"/>
      <c r="JPT14" s="98"/>
      <c r="JPU14" s="98"/>
      <c r="JPV14" s="98"/>
      <c r="JPW14" s="98"/>
      <c r="JPX14" s="98"/>
      <c r="JPY14" s="98"/>
      <c r="JPZ14" s="98"/>
      <c r="JQA14" s="98"/>
      <c r="JQB14" s="98"/>
      <c r="JQC14" s="98"/>
      <c r="JQD14" s="98"/>
      <c r="JQE14" s="98"/>
      <c r="JQF14" s="98"/>
      <c r="JQG14" s="98"/>
      <c r="JQH14" s="98"/>
      <c r="JQI14" s="98"/>
      <c r="JQJ14" s="98"/>
      <c r="JQK14" s="98"/>
      <c r="JQL14" s="98"/>
      <c r="JQM14" s="98"/>
      <c r="JQN14" s="98"/>
      <c r="JQO14" s="98"/>
      <c r="JQP14" s="98"/>
      <c r="JQQ14" s="98"/>
      <c r="JQR14" s="98"/>
      <c r="JQS14" s="98"/>
      <c r="JQT14" s="98"/>
      <c r="JQU14" s="98"/>
      <c r="JQV14" s="98"/>
      <c r="JQW14" s="98"/>
      <c r="JQX14" s="98"/>
      <c r="JQY14" s="98"/>
      <c r="JQZ14" s="98"/>
      <c r="JRA14" s="98"/>
      <c r="JRB14" s="98"/>
      <c r="JRC14" s="98"/>
      <c r="JRD14" s="98"/>
      <c r="JRE14" s="98"/>
      <c r="JRF14" s="98"/>
      <c r="JRG14" s="98"/>
      <c r="JRH14" s="98"/>
      <c r="JRI14" s="98"/>
      <c r="JRJ14" s="98"/>
      <c r="JRK14" s="98"/>
      <c r="JRL14" s="98"/>
      <c r="JRM14" s="98"/>
      <c r="JRN14" s="98"/>
      <c r="JRO14" s="98"/>
      <c r="JRP14" s="98"/>
      <c r="JRQ14" s="98"/>
      <c r="JRR14" s="98"/>
      <c r="JRS14" s="98"/>
      <c r="JRT14" s="98"/>
      <c r="JRU14" s="98"/>
      <c r="JRV14" s="98"/>
      <c r="JRW14" s="98"/>
      <c r="JRX14" s="98"/>
      <c r="JRY14" s="98"/>
      <c r="JRZ14" s="98"/>
      <c r="JSA14" s="98"/>
      <c r="JSB14" s="98"/>
      <c r="JSC14" s="98"/>
      <c r="JSD14" s="98"/>
      <c r="JSE14" s="98"/>
      <c r="JSF14" s="98"/>
      <c r="JSG14" s="98"/>
      <c r="JSH14" s="98"/>
      <c r="JSI14" s="98"/>
      <c r="JSJ14" s="98"/>
      <c r="JSK14" s="98"/>
      <c r="JSL14" s="98"/>
      <c r="JSM14" s="98"/>
      <c r="JSN14" s="98"/>
      <c r="JSO14" s="98"/>
      <c r="JSP14" s="98"/>
      <c r="JSQ14" s="98"/>
      <c r="JSR14" s="98"/>
      <c r="JSS14" s="98"/>
      <c r="JST14" s="98"/>
      <c r="JSU14" s="98"/>
      <c r="JSV14" s="98"/>
      <c r="JSW14" s="98"/>
      <c r="JSX14" s="98"/>
      <c r="JSY14" s="98"/>
      <c r="JSZ14" s="98"/>
      <c r="JTA14" s="98"/>
      <c r="JTB14" s="98"/>
      <c r="JTC14" s="98"/>
      <c r="JTD14" s="98"/>
      <c r="JTE14" s="98"/>
      <c r="JTF14" s="98"/>
      <c r="JTG14" s="98"/>
      <c r="JTH14" s="98"/>
      <c r="JTI14" s="98"/>
      <c r="JTJ14" s="98"/>
      <c r="JTK14" s="98"/>
      <c r="JTL14" s="98"/>
      <c r="JTM14" s="98"/>
      <c r="JTN14" s="98"/>
      <c r="JTO14" s="98"/>
      <c r="JTP14" s="98"/>
      <c r="JTQ14" s="98"/>
      <c r="JTR14" s="98"/>
      <c r="JTS14" s="98"/>
      <c r="JTT14" s="98"/>
      <c r="JTU14" s="98"/>
      <c r="JTV14" s="98"/>
      <c r="JTW14" s="98"/>
      <c r="JTX14" s="98"/>
      <c r="JTY14" s="98"/>
      <c r="JTZ14" s="98"/>
      <c r="JUA14" s="98"/>
      <c r="JUB14" s="98"/>
      <c r="JUC14" s="98"/>
      <c r="JUD14" s="98"/>
      <c r="JUE14" s="98"/>
      <c r="JUF14" s="98"/>
      <c r="JUG14" s="98"/>
      <c r="JUH14" s="98"/>
      <c r="JUI14" s="98"/>
      <c r="JUJ14" s="98"/>
      <c r="JUK14" s="98"/>
      <c r="JUL14" s="98"/>
      <c r="JUM14" s="98"/>
      <c r="JUN14" s="98"/>
      <c r="JUO14" s="98"/>
      <c r="JUP14" s="98"/>
      <c r="JUQ14" s="98"/>
      <c r="JUR14" s="98"/>
      <c r="JUS14" s="98"/>
      <c r="JUT14" s="98"/>
      <c r="JUU14" s="98"/>
      <c r="JUV14" s="98"/>
      <c r="JUW14" s="98"/>
      <c r="JUX14" s="98"/>
      <c r="JUY14" s="98"/>
      <c r="JUZ14" s="98"/>
      <c r="JVA14" s="98"/>
      <c r="JVB14" s="98"/>
      <c r="JVC14" s="98"/>
      <c r="JVD14" s="98"/>
      <c r="JVE14" s="98"/>
      <c r="JVF14" s="98"/>
      <c r="JVG14" s="98"/>
      <c r="JVH14" s="98"/>
      <c r="JVI14" s="98"/>
      <c r="JVJ14" s="98"/>
      <c r="JVK14" s="98"/>
      <c r="JVL14" s="98"/>
      <c r="JVM14" s="98"/>
      <c r="JVN14" s="98"/>
      <c r="JVO14" s="98"/>
      <c r="JVP14" s="98"/>
      <c r="JVQ14" s="98"/>
      <c r="JVR14" s="98"/>
      <c r="JVS14" s="98"/>
      <c r="JVT14" s="98"/>
      <c r="JVU14" s="98"/>
      <c r="JVV14" s="98"/>
      <c r="JVW14" s="98"/>
      <c r="JVX14" s="98"/>
      <c r="JVY14" s="98"/>
      <c r="JVZ14" s="98"/>
      <c r="JWA14" s="98"/>
      <c r="JWB14" s="98"/>
      <c r="JWC14" s="98"/>
      <c r="JWD14" s="98"/>
      <c r="JWE14" s="98"/>
      <c r="JWF14" s="98"/>
      <c r="JWG14" s="98"/>
      <c r="JWH14" s="98"/>
      <c r="JWI14" s="98"/>
      <c r="JWJ14" s="98"/>
      <c r="JWK14" s="98"/>
      <c r="JWL14" s="98"/>
      <c r="JWM14" s="98"/>
      <c r="JWN14" s="98"/>
      <c r="JWO14" s="98"/>
      <c r="JWP14" s="98"/>
      <c r="JWQ14" s="98"/>
      <c r="JWR14" s="98"/>
      <c r="JWS14" s="98"/>
      <c r="JWT14" s="98"/>
      <c r="JWU14" s="98"/>
      <c r="JWV14" s="98"/>
      <c r="JWW14" s="98"/>
      <c r="JWX14" s="98"/>
      <c r="JWY14" s="98"/>
      <c r="JWZ14" s="98"/>
      <c r="JXA14" s="98"/>
      <c r="JXB14" s="98"/>
      <c r="JXC14" s="98"/>
      <c r="JXD14" s="98"/>
      <c r="JXE14" s="98"/>
      <c r="JXF14" s="98"/>
      <c r="JXG14" s="98"/>
      <c r="JXH14" s="98"/>
      <c r="JXI14" s="98"/>
      <c r="JXJ14" s="98"/>
      <c r="JXK14" s="98"/>
      <c r="JXL14" s="98"/>
      <c r="JXM14" s="98"/>
      <c r="JXN14" s="98"/>
      <c r="JXO14" s="98"/>
      <c r="JXP14" s="98"/>
      <c r="JXQ14" s="98"/>
      <c r="JXR14" s="98"/>
      <c r="JXS14" s="98"/>
      <c r="JXT14" s="98"/>
      <c r="JXU14" s="98"/>
      <c r="JXV14" s="98"/>
      <c r="JXW14" s="98"/>
      <c r="JXX14" s="98"/>
      <c r="JXY14" s="98"/>
      <c r="JXZ14" s="98"/>
      <c r="JYA14" s="98"/>
      <c r="JYB14" s="98"/>
      <c r="JYC14" s="98"/>
      <c r="JYD14" s="98"/>
      <c r="JYE14" s="98"/>
      <c r="JYF14" s="98"/>
      <c r="JYG14" s="98"/>
      <c r="JYH14" s="98"/>
      <c r="JYI14" s="98"/>
      <c r="JYJ14" s="98"/>
      <c r="JYK14" s="98"/>
      <c r="JYL14" s="98"/>
      <c r="JYM14" s="98"/>
      <c r="JYN14" s="98"/>
      <c r="JYO14" s="98"/>
      <c r="JYP14" s="98"/>
      <c r="JYQ14" s="98"/>
      <c r="JYR14" s="98"/>
      <c r="JYS14" s="98"/>
      <c r="JYT14" s="98"/>
      <c r="JYU14" s="98"/>
      <c r="JYV14" s="98"/>
      <c r="JYW14" s="98"/>
      <c r="JYX14" s="98"/>
      <c r="JYY14" s="98"/>
      <c r="JYZ14" s="98"/>
      <c r="JZA14" s="98"/>
      <c r="JZB14" s="98"/>
      <c r="JZC14" s="98"/>
      <c r="JZD14" s="98"/>
      <c r="JZE14" s="98"/>
      <c r="JZF14" s="98"/>
      <c r="JZG14" s="98"/>
      <c r="JZH14" s="98"/>
      <c r="JZI14" s="98"/>
      <c r="JZJ14" s="98"/>
      <c r="JZK14" s="98"/>
      <c r="JZL14" s="98"/>
      <c r="JZM14" s="98"/>
      <c r="JZN14" s="98"/>
      <c r="JZO14" s="98"/>
      <c r="JZP14" s="98"/>
      <c r="JZQ14" s="98"/>
      <c r="JZR14" s="98"/>
      <c r="JZS14" s="98"/>
      <c r="JZT14" s="98"/>
      <c r="JZU14" s="98"/>
      <c r="JZV14" s="98"/>
      <c r="JZW14" s="98"/>
      <c r="JZX14" s="98"/>
      <c r="JZY14" s="98"/>
      <c r="JZZ14" s="98"/>
      <c r="KAA14" s="98"/>
      <c r="KAB14" s="98"/>
      <c r="KAC14" s="98"/>
      <c r="KAD14" s="98"/>
      <c r="KAE14" s="98"/>
      <c r="KAF14" s="98"/>
      <c r="KAG14" s="98"/>
      <c r="KAH14" s="98"/>
      <c r="KAI14" s="98"/>
      <c r="KAJ14" s="98"/>
      <c r="KAK14" s="98"/>
      <c r="KAL14" s="98"/>
      <c r="KAM14" s="98"/>
      <c r="KAN14" s="98"/>
      <c r="KAO14" s="98"/>
      <c r="KAP14" s="98"/>
      <c r="KAQ14" s="98"/>
      <c r="KAR14" s="98"/>
      <c r="KAS14" s="98"/>
      <c r="KAT14" s="98"/>
      <c r="KAU14" s="98"/>
      <c r="KAV14" s="98"/>
      <c r="KAW14" s="98"/>
      <c r="KAX14" s="98"/>
      <c r="KAY14" s="98"/>
      <c r="KAZ14" s="98"/>
      <c r="KBA14" s="98"/>
      <c r="KBB14" s="98"/>
      <c r="KBC14" s="98"/>
      <c r="KBD14" s="98"/>
      <c r="KBE14" s="98"/>
      <c r="KBF14" s="98"/>
      <c r="KBG14" s="98"/>
      <c r="KBH14" s="98"/>
      <c r="KBI14" s="98"/>
      <c r="KBJ14" s="98"/>
      <c r="KBK14" s="98"/>
      <c r="KBL14" s="98"/>
      <c r="KBM14" s="98"/>
      <c r="KBN14" s="98"/>
      <c r="KBO14" s="98"/>
      <c r="KBP14" s="98"/>
      <c r="KBQ14" s="98"/>
      <c r="KBR14" s="98"/>
      <c r="KBS14" s="98"/>
      <c r="KBT14" s="98"/>
      <c r="KBU14" s="98"/>
      <c r="KBV14" s="98"/>
      <c r="KBW14" s="98"/>
      <c r="KBX14" s="98"/>
      <c r="KBY14" s="98"/>
      <c r="KBZ14" s="98"/>
      <c r="KCA14" s="98"/>
      <c r="KCB14" s="98"/>
      <c r="KCC14" s="98"/>
      <c r="KCD14" s="98"/>
      <c r="KCE14" s="98"/>
      <c r="KCF14" s="98"/>
      <c r="KCG14" s="98"/>
      <c r="KCH14" s="98"/>
      <c r="KCI14" s="98"/>
      <c r="KCJ14" s="98"/>
      <c r="KCK14" s="98"/>
      <c r="KCL14" s="98"/>
      <c r="KCM14" s="98"/>
      <c r="KCN14" s="98"/>
      <c r="KCO14" s="98"/>
      <c r="KCP14" s="98"/>
      <c r="KCQ14" s="98"/>
      <c r="KCR14" s="98"/>
      <c r="KCS14" s="98"/>
      <c r="KCT14" s="98"/>
      <c r="KCU14" s="98"/>
      <c r="KCV14" s="98"/>
      <c r="KCW14" s="98"/>
      <c r="KCX14" s="98"/>
      <c r="KCY14" s="98"/>
      <c r="KCZ14" s="98"/>
      <c r="KDA14" s="98"/>
      <c r="KDB14" s="98"/>
      <c r="KDC14" s="98"/>
      <c r="KDD14" s="98"/>
      <c r="KDE14" s="98"/>
      <c r="KDF14" s="98"/>
      <c r="KDG14" s="98"/>
      <c r="KDH14" s="98"/>
      <c r="KDI14" s="98"/>
      <c r="KDJ14" s="98"/>
      <c r="KDK14" s="98"/>
      <c r="KDL14" s="98"/>
      <c r="KDM14" s="98"/>
      <c r="KDN14" s="98"/>
      <c r="KDO14" s="98"/>
      <c r="KDP14" s="98"/>
      <c r="KDQ14" s="98"/>
      <c r="KDR14" s="98"/>
      <c r="KDS14" s="98"/>
      <c r="KDT14" s="98"/>
      <c r="KDU14" s="98"/>
      <c r="KDV14" s="98"/>
      <c r="KDW14" s="98"/>
      <c r="KDX14" s="98"/>
      <c r="KDY14" s="98"/>
      <c r="KDZ14" s="98"/>
      <c r="KEA14" s="98"/>
      <c r="KEB14" s="98"/>
      <c r="KEC14" s="98"/>
      <c r="KED14" s="98"/>
      <c r="KEE14" s="98"/>
      <c r="KEF14" s="98"/>
      <c r="KEG14" s="98"/>
      <c r="KEH14" s="98"/>
      <c r="KEI14" s="98"/>
      <c r="KEJ14" s="98"/>
      <c r="KEK14" s="98"/>
      <c r="KEL14" s="98"/>
      <c r="KEM14" s="98"/>
      <c r="KEN14" s="98"/>
      <c r="KEO14" s="98"/>
      <c r="KEP14" s="98"/>
      <c r="KEQ14" s="98"/>
      <c r="KER14" s="98"/>
      <c r="KES14" s="98"/>
      <c r="KET14" s="98"/>
      <c r="KEU14" s="98"/>
      <c r="KEV14" s="98"/>
      <c r="KEW14" s="98"/>
      <c r="KEX14" s="98"/>
      <c r="KEY14" s="98"/>
      <c r="KEZ14" s="98"/>
      <c r="KFA14" s="98"/>
      <c r="KFB14" s="98"/>
      <c r="KFC14" s="98"/>
      <c r="KFD14" s="98"/>
      <c r="KFE14" s="98"/>
      <c r="KFF14" s="98"/>
      <c r="KFG14" s="98"/>
      <c r="KFH14" s="98"/>
      <c r="KFI14" s="98"/>
      <c r="KFJ14" s="98"/>
      <c r="KFK14" s="98"/>
      <c r="KFL14" s="98"/>
      <c r="KFM14" s="98"/>
      <c r="KFN14" s="98"/>
      <c r="KFO14" s="98"/>
      <c r="KFP14" s="98"/>
      <c r="KFQ14" s="98"/>
      <c r="KFR14" s="98"/>
      <c r="KFS14" s="98"/>
      <c r="KFT14" s="98"/>
      <c r="KFU14" s="98"/>
      <c r="KFV14" s="98"/>
      <c r="KFW14" s="98"/>
      <c r="KFX14" s="98"/>
      <c r="KFY14" s="98"/>
      <c r="KFZ14" s="98"/>
      <c r="KGA14" s="98"/>
      <c r="KGB14" s="98"/>
      <c r="KGC14" s="98"/>
      <c r="KGD14" s="98"/>
      <c r="KGE14" s="98"/>
      <c r="KGF14" s="98"/>
      <c r="KGG14" s="98"/>
      <c r="KGH14" s="98"/>
      <c r="KGI14" s="98"/>
      <c r="KGJ14" s="98"/>
      <c r="KGK14" s="98"/>
      <c r="KGL14" s="98"/>
      <c r="KGM14" s="98"/>
      <c r="KGN14" s="98"/>
      <c r="KGO14" s="98"/>
      <c r="KGP14" s="98"/>
      <c r="KGQ14" s="98"/>
      <c r="KGR14" s="98"/>
      <c r="KGS14" s="98"/>
      <c r="KGT14" s="98"/>
      <c r="KGU14" s="98"/>
      <c r="KGV14" s="98"/>
      <c r="KGW14" s="98"/>
      <c r="KGX14" s="98"/>
      <c r="KGY14" s="98"/>
      <c r="KGZ14" s="98"/>
      <c r="KHA14" s="98"/>
      <c r="KHB14" s="98"/>
      <c r="KHC14" s="98"/>
      <c r="KHD14" s="98"/>
      <c r="KHE14" s="98"/>
      <c r="KHF14" s="98"/>
      <c r="KHG14" s="98"/>
      <c r="KHH14" s="98"/>
      <c r="KHI14" s="98"/>
      <c r="KHJ14" s="98"/>
      <c r="KHK14" s="98"/>
      <c r="KHL14" s="98"/>
      <c r="KHM14" s="98"/>
      <c r="KHN14" s="98"/>
      <c r="KHO14" s="98"/>
      <c r="KHP14" s="98"/>
      <c r="KHQ14" s="98"/>
      <c r="KHR14" s="98"/>
      <c r="KHS14" s="98"/>
      <c r="KHT14" s="98"/>
      <c r="KHU14" s="98"/>
      <c r="KHV14" s="98"/>
      <c r="KHW14" s="98"/>
      <c r="KHX14" s="98"/>
      <c r="KHY14" s="98"/>
      <c r="KHZ14" s="98"/>
      <c r="KIA14" s="98"/>
      <c r="KIB14" s="98"/>
      <c r="KIC14" s="98"/>
      <c r="KID14" s="98"/>
      <c r="KIE14" s="98"/>
      <c r="KIF14" s="98"/>
      <c r="KIG14" s="98"/>
      <c r="KIH14" s="98"/>
      <c r="KII14" s="98"/>
      <c r="KIJ14" s="98"/>
      <c r="KIK14" s="98"/>
      <c r="KIL14" s="98"/>
      <c r="KIM14" s="98"/>
      <c r="KIN14" s="98"/>
      <c r="KIO14" s="98"/>
      <c r="KIP14" s="98"/>
      <c r="KIQ14" s="98"/>
      <c r="KIR14" s="98"/>
      <c r="KIS14" s="98"/>
      <c r="KIT14" s="98"/>
      <c r="KIU14" s="98"/>
      <c r="KIV14" s="98"/>
      <c r="KIW14" s="98"/>
      <c r="KIX14" s="98"/>
      <c r="KIY14" s="98"/>
      <c r="KIZ14" s="98"/>
      <c r="KJA14" s="98"/>
      <c r="KJB14" s="98"/>
      <c r="KJC14" s="98"/>
      <c r="KJD14" s="98"/>
      <c r="KJE14" s="98"/>
      <c r="KJF14" s="98"/>
      <c r="KJG14" s="98"/>
      <c r="KJH14" s="98"/>
      <c r="KJI14" s="98"/>
      <c r="KJJ14" s="98"/>
      <c r="KJK14" s="98"/>
      <c r="KJL14" s="98"/>
      <c r="KJM14" s="98"/>
      <c r="KJN14" s="98"/>
      <c r="KJO14" s="98"/>
      <c r="KJP14" s="98"/>
      <c r="KJQ14" s="98"/>
      <c r="KJR14" s="98"/>
      <c r="KJS14" s="98"/>
      <c r="KJT14" s="98"/>
      <c r="KJU14" s="98"/>
      <c r="KJV14" s="98"/>
      <c r="KJW14" s="98"/>
      <c r="KJX14" s="98"/>
      <c r="KJY14" s="98"/>
      <c r="KJZ14" s="98"/>
      <c r="KKA14" s="98"/>
      <c r="KKB14" s="98"/>
      <c r="KKC14" s="98"/>
      <c r="KKD14" s="98"/>
      <c r="KKE14" s="98"/>
      <c r="KKF14" s="98"/>
      <c r="KKG14" s="98"/>
      <c r="KKH14" s="98"/>
      <c r="KKI14" s="98"/>
      <c r="KKJ14" s="98"/>
      <c r="KKK14" s="98"/>
      <c r="KKL14" s="98"/>
      <c r="KKM14" s="98"/>
      <c r="KKN14" s="98"/>
      <c r="KKO14" s="98"/>
      <c r="KKP14" s="98"/>
      <c r="KKQ14" s="98"/>
      <c r="KKR14" s="98"/>
      <c r="KKS14" s="98"/>
      <c r="KKT14" s="98"/>
      <c r="KKU14" s="98"/>
      <c r="KKV14" s="98"/>
      <c r="KKW14" s="98"/>
      <c r="KKX14" s="98"/>
      <c r="KKY14" s="98"/>
      <c r="KKZ14" s="98"/>
      <c r="KLA14" s="98"/>
      <c r="KLB14" s="98"/>
      <c r="KLC14" s="98"/>
      <c r="KLD14" s="98"/>
      <c r="KLE14" s="98"/>
      <c r="KLF14" s="98"/>
      <c r="KLG14" s="98"/>
      <c r="KLH14" s="98"/>
      <c r="KLI14" s="98"/>
      <c r="KLJ14" s="98"/>
      <c r="KLK14" s="98"/>
      <c r="KLL14" s="98"/>
      <c r="KLM14" s="98"/>
      <c r="KLN14" s="98"/>
      <c r="KLO14" s="98"/>
      <c r="KLP14" s="98"/>
      <c r="KLQ14" s="98"/>
      <c r="KLR14" s="98"/>
      <c r="KLS14" s="98"/>
      <c r="KLT14" s="98"/>
      <c r="KLU14" s="98"/>
      <c r="KLV14" s="98"/>
      <c r="KLW14" s="98"/>
      <c r="KLX14" s="98"/>
      <c r="KLY14" s="98"/>
      <c r="KLZ14" s="98"/>
      <c r="KMA14" s="98"/>
      <c r="KMB14" s="98"/>
      <c r="KMC14" s="98"/>
      <c r="KMD14" s="98"/>
      <c r="KME14" s="98"/>
      <c r="KMF14" s="98"/>
      <c r="KMG14" s="98"/>
      <c r="KMH14" s="98"/>
      <c r="KMI14" s="98"/>
      <c r="KMJ14" s="98"/>
      <c r="KMK14" s="98"/>
      <c r="KML14" s="98"/>
      <c r="KMM14" s="98"/>
      <c r="KMN14" s="98"/>
      <c r="KMO14" s="98"/>
      <c r="KMP14" s="98"/>
      <c r="KMQ14" s="98"/>
      <c r="KMR14" s="98"/>
      <c r="KMS14" s="98"/>
      <c r="KMT14" s="98"/>
      <c r="KMU14" s="98"/>
      <c r="KMV14" s="98"/>
      <c r="KMW14" s="98"/>
      <c r="KMX14" s="98"/>
      <c r="KMY14" s="98"/>
      <c r="KMZ14" s="98"/>
      <c r="KNA14" s="98"/>
      <c r="KNB14" s="98"/>
      <c r="KNC14" s="98"/>
      <c r="KND14" s="98"/>
      <c r="KNE14" s="98"/>
      <c r="KNF14" s="98"/>
      <c r="KNG14" s="98"/>
      <c r="KNH14" s="98"/>
      <c r="KNI14" s="98"/>
      <c r="KNJ14" s="98"/>
      <c r="KNK14" s="98"/>
      <c r="KNL14" s="98"/>
      <c r="KNM14" s="98"/>
      <c r="KNN14" s="98"/>
      <c r="KNO14" s="98"/>
      <c r="KNP14" s="98"/>
      <c r="KNQ14" s="98"/>
      <c r="KNR14" s="98"/>
      <c r="KNS14" s="98"/>
      <c r="KNT14" s="98"/>
      <c r="KNU14" s="98"/>
      <c r="KNV14" s="98"/>
      <c r="KNW14" s="98"/>
      <c r="KNX14" s="98"/>
      <c r="KNY14" s="98"/>
      <c r="KNZ14" s="98"/>
      <c r="KOA14" s="98"/>
      <c r="KOB14" s="98"/>
      <c r="KOC14" s="98"/>
      <c r="KOD14" s="98"/>
      <c r="KOE14" s="98"/>
      <c r="KOF14" s="98"/>
      <c r="KOG14" s="98"/>
      <c r="KOH14" s="98"/>
      <c r="KOI14" s="98"/>
      <c r="KOJ14" s="98"/>
      <c r="KOK14" s="98"/>
      <c r="KOL14" s="98"/>
      <c r="KOM14" s="98"/>
      <c r="KON14" s="98"/>
      <c r="KOO14" s="98"/>
      <c r="KOP14" s="98"/>
      <c r="KOQ14" s="98"/>
      <c r="KOR14" s="98"/>
      <c r="KOS14" s="98"/>
      <c r="KOT14" s="98"/>
      <c r="KOU14" s="98"/>
      <c r="KOV14" s="98"/>
      <c r="KOW14" s="98"/>
      <c r="KOX14" s="98"/>
      <c r="KOY14" s="98"/>
      <c r="KOZ14" s="98"/>
      <c r="KPA14" s="98"/>
      <c r="KPB14" s="98"/>
      <c r="KPC14" s="98"/>
      <c r="KPD14" s="98"/>
      <c r="KPE14" s="98"/>
      <c r="KPF14" s="98"/>
      <c r="KPG14" s="98"/>
      <c r="KPH14" s="98"/>
      <c r="KPI14" s="98"/>
      <c r="KPJ14" s="98"/>
      <c r="KPK14" s="98"/>
      <c r="KPL14" s="98"/>
      <c r="KPM14" s="98"/>
      <c r="KPN14" s="98"/>
      <c r="KPO14" s="98"/>
      <c r="KPP14" s="98"/>
      <c r="KPQ14" s="98"/>
      <c r="KPR14" s="98"/>
      <c r="KPS14" s="98"/>
      <c r="KPT14" s="98"/>
      <c r="KPU14" s="98"/>
      <c r="KPV14" s="98"/>
      <c r="KPW14" s="98"/>
      <c r="KPX14" s="98"/>
      <c r="KPY14" s="98"/>
      <c r="KPZ14" s="98"/>
      <c r="KQA14" s="98"/>
      <c r="KQB14" s="98"/>
      <c r="KQC14" s="98"/>
      <c r="KQD14" s="98"/>
      <c r="KQE14" s="98"/>
      <c r="KQF14" s="98"/>
      <c r="KQG14" s="98"/>
      <c r="KQH14" s="98"/>
      <c r="KQI14" s="98"/>
      <c r="KQJ14" s="98"/>
      <c r="KQK14" s="98"/>
      <c r="KQL14" s="98"/>
      <c r="KQM14" s="98"/>
      <c r="KQN14" s="98"/>
      <c r="KQO14" s="98"/>
      <c r="KQP14" s="98"/>
      <c r="KQQ14" s="98"/>
      <c r="KQR14" s="98"/>
      <c r="KQS14" s="98"/>
      <c r="KQT14" s="98"/>
      <c r="KQU14" s="98"/>
      <c r="KQV14" s="98"/>
      <c r="KQW14" s="98"/>
      <c r="KQX14" s="98"/>
      <c r="KQY14" s="98"/>
      <c r="KQZ14" s="98"/>
      <c r="KRA14" s="98"/>
      <c r="KRB14" s="98"/>
      <c r="KRC14" s="98"/>
      <c r="KRD14" s="98"/>
      <c r="KRE14" s="98"/>
      <c r="KRF14" s="98"/>
      <c r="KRG14" s="98"/>
      <c r="KRH14" s="98"/>
      <c r="KRI14" s="98"/>
      <c r="KRJ14" s="98"/>
      <c r="KRK14" s="98"/>
      <c r="KRL14" s="98"/>
      <c r="KRM14" s="98"/>
      <c r="KRN14" s="98"/>
      <c r="KRO14" s="98"/>
      <c r="KRP14" s="98"/>
      <c r="KRQ14" s="98"/>
      <c r="KRR14" s="98"/>
      <c r="KRS14" s="98"/>
      <c r="KRT14" s="98"/>
      <c r="KRU14" s="98"/>
      <c r="KRV14" s="98"/>
      <c r="KRW14" s="98"/>
      <c r="KRX14" s="98"/>
      <c r="KRY14" s="98"/>
      <c r="KRZ14" s="98"/>
      <c r="KSA14" s="98"/>
      <c r="KSB14" s="98"/>
      <c r="KSC14" s="98"/>
      <c r="KSD14" s="98"/>
      <c r="KSE14" s="98"/>
      <c r="KSF14" s="98"/>
      <c r="KSG14" s="98"/>
      <c r="KSH14" s="98"/>
      <c r="KSI14" s="98"/>
      <c r="KSJ14" s="98"/>
      <c r="KSK14" s="98"/>
      <c r="KSL14" s="98"/>
      <c r="KSM14" s="98"/>
      <c r="KSN14" s="98"/>
      <c r="KSO14" s="98"/>
      <c r="KSP14" s="98"/>
      <c r="KSQ14" s="98"/>
      <c r="KSR14" s="98"/>
      <c r="KSS14" s="98"/>
      <c r="KST14" s="98"/>
      <c r="KSU14" s="98"/>
      <c r="KSV14" s="98"/>
      <c r="KSW14" s="98"/>
      <c r="KSX14" s="98"/>
      <c r="KSY14" s="98"/>
      <c r="KSZ14" s="98"/>
      <c r="KTA14" s="98"/>
      <c r="KTB14" s="98"/>
      <c r="KTC14" s="98"/>
      <c r="KTD14" s="98"/>
      <c r="KTE14" s="98"/>
      <c r="KTF14" s="98"/>
      <c r="KTG14" s="98"/>
      <c r="KTH14" s="98"/>
      <c r="KTI14" s="98"/>
      <c r="KTJ14" s="98"/>
      <c r="KTK14" s="98"/>
      <c r="KTL14" s="98"/>
      <c r="KTM14" s="98"/>
      <c r="KTN14" s="98"/>
      <c r="KTO14" s="98"/>
      <c r="KTP14" s="98"/>
      <c r="KTQ14" s="98"/>
      <c r="KTR14" s="98"/>
      <c r="KTS14" s="98"/>
      <c r="KTT14" s="98"/>
      <c r="KTU14" s="98"/>
      <c r="KTV14" s="98"/>
      <c r="KTW14" s="98"/>
      <c r="KTX14" s="98"/>
      <c r="KTY14" s="98"/>
      <c r="KTZ14" s="98"/>
      <c r="KUA14" s="98"/>
      <c r="KUB14" s="98"/>
      <c r="KUC14" s="98"/>
      <c r="KUD14" s="98"/>
      <c r="KUE14" s="98"/>
      <c r="KUF14" s="98"/>
      <c r="KUG14" s="98"/>
      <c r="KUH14" s="98"/>
      <c r="KUI14" s="98"/>
      <c r="KUJ14" s="98"/>
      <c r="KUK14" s="98"/>
      <c r="KUL14" s="98"/>
      <c r="KUM14" s="98"/>
      <c r="KUN14" s="98"/>
      <c r="KUO14" s="98"/>
      <c r="KUP14" s="98"/>
      <c r="KUQ14" s="98"/>
      <c r="KUR14" s="98"/>
      <c r="KUS14" s="98"/>
      <c r="KUT14" s="98"/>
      <c r="KUU14" s="98"/>
      <c r="KUV14" s="98"/>
      <c r="KUW14" s="98"/>
      <c r="KUX14" s="98"/>
      <c r="KUY14" s="98"/>
      <c r="KUZ14" s="98"/>
      <c r="KVA14" s="98"/>
      <c r="KVB14" s="98"/>
      <c r="KVC14" s="98"/>
      <c r="KVD14" s="98"/>
      <c r="KVE14" s="98"/>
      <c r="KVF14" s="98"/>
      <c r="KVG14" s="98"/>
      <c r="KVH14" s="98"/>
      <c r="KVI14" s="98"/>
      <c r="KVJ14" s="98"/>
      <c r="KVK14" s="98"/>
      <c r="KVL14" s="98"/>
      <c r="KVM14" s="98"/>
      <c r="KVN14" s="98"/>
      <c r="KVO14" s="98"/>
      <c r="KVP14" s="98"/>
      <c r="KVQ14" s="98"/>
      <c r="KVR14" s="98"/>
      <c r="KVS14" s="98"/>
      <c r="KVT14" s="98"/>
      <c r="KVU14" s="98"/>
      <c r="KVV14" s="98"/>
      <c r="KVW14" s="98"/>
      <c r="KVX14" s="98"/>
      <c r="KVY14" s="98"/>
      <c r="KVZ14" s="98"/>
      <c r="KWA14" s="98"/>
      <c r="KWB14" s="98"/>
      <c r="KWC14" s="98"/>
      <c r="KWD14" s="98"/>
      <c r="KWE14" s="98"/>
      <c r="KWF14" s="98"/>
      <c r="KWG14" s="98"/>
      <c r="KWH14" s="98"/>
      <c r="KWI14" s="98"/>
      <c r="KWJ14" s="98"/>
      <c r="KWK14" s="98"/>
      <c r="KWL14" s="98"/>
      <c r="KWM14" s="98"/>
      <c r="KWN14" s="98"/>
      <c r="KWO14" s="98"/>
      <c r="KWP14" s="98"/>
      <c r="KWQ14" s="98"/>
      <c r="KWR14" s="98"/>
      <c r="KWS14" s="98"/>
      <c r="KWT14" s="98"/>
      <c r="KWU14" s="98"/>
      <c r="KWV14" s="98"/>
      <c r="KWW14" s="98"/>
      <c r="KWX14" s="98"/>
      <c r="KWY14" s="98"/>
      <c r="KWZ14" s="98"/>
      <c r="KXA14" s="98"/>
      <c r="KXB14" s="98"/>
      <c r="KXC14" s="98"/>
      <c r="KXD14" s="98"/>
      <c r="KXE14" s="98"/>
      <c r="KXF14" s="98"/>
      <c r="KXG14" s="98"/>
      <c r="KXH14" s="98"/>
      <c r="KXI14" s="98"/>
      <c r="KXJ14" s="98"/>
      <c r="KXK14" s="98"/>
      <c r="KXL14" s="98"/>
      <c r="KXM14" s="98"/>
      <c r="KXN14" s="98"/>
      <c r="KXO14" s="98"/>
      <c r="KXP14" s="98"/>
      <c r="KXQ14" s="98"/>
      <c r="KXR14" s="98"/>
      <c r="KXS14" s="98"/>
      <c r="KXT14" s="98"/>
      <c r="KXU14" s="98"/>
      <c r="KXV14" s="98"/>
      <c r="KXW14" s="98"/>
      <c r="KXX14" s="98"/>
      <c r="KXY14" s="98"/>
      <c r="KXZ14" s="98"/>
      <c r="KYA14" s="98"/>
      <c r="KYB14" s="98"/>
      <c r="KYC14" s="98"/>
      <c r="KYD14" s="98"/>
      <c r="KYE14" s="98"/>
      <c r="KYF14" s="98"/>
      <c r="KYG14" s="98"/>
      <c r="KYH14" s="98"/>
      <c r="KYI14" s="98"/>
      <c r="KYJ14" s="98"/>
      <c r="KYK14" s="98"/>
      <c r="KYL14" s="98"/>
      <c r="KYM14" s="98"/>
      <c r="KYN14" s="98"/>
      <c r="KYO14" s="98"/>
      <c r="KYP14" s="98"/>
      <c r="KYQ14" s="98"/>
      <c r="KYR14" s="98"/>
      <c r="KYS14" s="98"/>
      <c r="KYT14" s="98"/>
      <c r="KYU14" s="98"/>
      <c r="KYV14" s="98"/>
      <c r="KYW14" s="98"/>
      <c r="KYX14" s="98"/>
      <c r="KYY14" s="98"/>
      <c r="KYZ14" s="98"/>
      <c r="KZA14" s="98"/>
      <c r="KZB14" s="98"/>
      <c r="KZC14" s="98"/>
      <c r="KZD14" s="98"/>
      <c r="KZE14" s="98"/>
      <c r="KZF14" s="98"/>
      <c r="KZG14" s="98"/>
      <c r="KZH14" s="98"/>
      <c r="KZI14" s="98"/>
      <c r="KZJ14" s="98"/>
      <c r="KZK14" s="98"/>
      <c r="KZL14" s="98"/>
      <c r="KZM14" s="98"/>
      <c r="KZN14" s="98"/>
      <c r="KZO14" s="98"/>
      <c r="KZP14" s="98"/>
      <c r="KZQ14" s="98"/>
      <c r="KZR14" s="98"/>
      <c r="KZS14" s="98"/>
      <c r="KZT14" s="98"/>
      <c r="KZU14" s="98"/>
      <c r="KZV14" s="98"/>
      <c r="KZW14" s="98"/>
      <c r="KZX14" s="98"/>
      <c r="KZY14" s="98"/>
      <c r="KZZ14" s="98"/>
      <c r="LAA14" s="98"/>
      <c r="LAB14" s="98"/>
      <c r="LAC14" s="98"/>
      <c r="LAD14" s="98"/>
      <c r="LAE14" s="98"/>
      <c r="LAF14" s="98"/>
      <c r="LAG14" s="98"/>
      <c r="LAH14" s="98"/>
      <c r="LAI14" s="98"/>
      <c r="LAJ14" s="98"/>
      <c r="LAK14" s="98"/>
      <c r="LAL14" s="98"/>
      <c r="LAM14" s="98"/>
      <c r="LAN14" s="98"/>
      <c r="LAO14" s="98"/>
      <c r="LAP14" s="98"/>
      <c r="LAQ14" s="98"/>
      <c r="LAR14" s="98"/>
      <c r="LAS14" s="98"/>
      <c r="LAT14" s="98"/>
      <c r="LAU14" s="98"/>
      <c r="LAV14" s="98"/>
      <c r="LAW14" s="98"/>
      <c r="LAX14" s="98"/>
      <c r="LAY14" s="98"/>
      <c r="LAZ14" s="98"/>
      <c r="LBA14" s="98"/>
      <c r="LBB14" s="98"/>
      <c r="LBC14" s="98"/>
      <c r="LBD14" s="98"/>
      <c r="LBE14" s="98"/>
      <c r="LBF14" s="98"/>
      <c r="LBG14" s="98"/>
      <c r="LBH14" s="98"/>
      <c r="LBI14" s="98"/>
      <c r="LBJ14" s="98"/>
      <c r="LBK14" s="98"/>
      <c r="LBL14" s="98"/>
      <c r="LBM14" s="98"/>
      <c r="LBN14" s="98"/>
      <c r="LBO14" s="98"/>
      <c r="LBP14" s="98"/>
      <c r="LBQ14" s="98"/>
      <c r="LBR14" s="98"/>
      <c r="LBS14" s="98"/>
      <c r="LBT14" s="98"/>
      <c r="LBU14" s="98"/>
      <c r="LBV14" s="98"/>
      <c r="LBW14" s="98"/>
      <c r="LBX14" s="98"/>
      <c r="LBY14" s="98"/>
      <c r="LBZ14" s="98"/>
      <c r="LCA14" s="98"/>
      <c r="LCB14" s="98"/>
      <c r="LCC14" s="98"/>
      <c r="LCD14" s="98"/>
      <c r="LCE14" s="98"/>
      <c r="LCF14" s="98"/>
      <c r="LCG14" s="98"/>
      <c r="LCH14" s="98"/>
      <c r="LCI14" s="98"/>
      <c r="LCJ14" s="98"/>
      <c r="LCK14" s="98"/>
      <c r="LCL14" s="98"/>
      <c r="LCM14" s="98"/>
      <c r="LCN14" s="98"/>
      <c r="LCO14" s="98"/>
      <c r="LCP14" s="98"/>
      <c r="LCQ14" s="98"/>
      <c r="LCR14" s="98"/>
      <c r="LCS14" s="98"/>
      <c r="LCT14" s="98"/>
      <c r="LCU14" s="98"/>
      <c r="LCV14" s="98"/>
      <c r="LCW14" s="98"/>
      <c r="LCX14" s="98"/>
      <c r="LCY14" s="98"/>
      <c r="LCZ14" s="98"/>
      <c r="LDA14" s="98"/>
      <c r="LDB14" s="98"/>
      <c r="LDC14" s="98"/>
      <c r="LDD14" s="98"/>
      <c r="LDE14" s="98"/>
      <c r="LDF14" s="98"/>
      <c r="LDG14" s="98"/>
      <c r="LDH14" s="98"/>
      <c r="LDI14" s="98"/>
      <c r="LDJ14" s="98"/>
      <c r="LDK14" s="98"/>
      <c r="LDL14" s="98"/>
      <c r="LDM14" s="98"/>
      <c r="LDN14" s="98"/>
      <c r="LDO14" s="98"/>
      <c r="LDP14" s="98"/>
      <c r="LDQ14" s="98"/>
      <c r="LDR14" s="98"/>
      <c r="LDS14" s="98"/>
      <c r="LDT14" s="98"/>
      <c r="LDU14" s="98"/>
      <c r="LDV14" s="98"/>
      <c r="LDW14" s="98"/>
      <c r="LDX14" s="98"/>
      <c r="LDY14" s="98"/>
      <c r="LDZ14" s="98"/>
      <c r="LEA14" s="98"/>
      <c r="LEB14" s="98"/>
      <c r="LEC14" s="98"/>
      <c r="LED14" s="98"/>
      <c r="LEE14" s="98"/>
      <c r="LEF14" s="98"/>
      <c r="LEG14" s="98"/>
      <c r="LEH14" s="98"/>
      <c r="LEI14" s="98"/>
      <c r="LEJ14" s="98"/>
      <c r="LEK14" s="98"/>
      <c r="LEL14" s="98"/>
      <c r="LEM14" s="98"/>
      <c r="LEN14" s="98"/>
      <c r="LEO14" s="98"/>
      <c r="LEP14" s="98"/>
      <c r="LEQ14" s="98"/>
      <c r="LER14" s="98"/>
      <c r="LES14" s="98"/>
      <c r="LET14" s="98"/>
      <c r="LEU14" s="98"/>
      <c r="LEV14" s="98"/>
      <c r="LEW14" s="98"/>
      <c r="LEX14" s="98"/>
      <c r="LEY14" s="98"/>
      <c r="LEZ14" s="98"/>
      <c r="LFA14" s="98"/>
      <c r="LFB14" s="98"/>
      <c r="LFC14" s="98"/>
      <c r="LFD14" s="98"/>
      <c r="LFE14" s="98"/>
      <c r="LFF14" s="98"/>
      <c r="LFG14" s="98"/>
      <c r="LFH14" s="98"/>
      <c r="LFI14" s="98"/>
      <c r="LFJ14" s="98"/>
      <c r="LFK14" s="98"/>
      <c r="LFL14" s="98"/>
      <c r="LFM14" s="98"/>
      <c r="LFN14" s="98"/>
      <c r="LFO14" s="98"/>
      <c r="LFP14" s="98"/>
      <c r="LFQ14" s="98"/>
      <c r="LFR14" s="98"/>
      <c r="LFS14" s="98"/>
      <c r="LFT14" s="98"/>
      <c r="LFU14" s="98"/>
      <c r="LFV14" s="98"/>
      <c r="LFW14" s="98"/>
      <c r="LFX14" s="98"/>
      <c r="LFY14" s="98"/>
      <c r="LFZ14" s="98"/>
      <c r="LGA14" s="98"/>
      <c r="LGB14" s="98"/>
      <c r="LGC14" s="98"/>
      <c r="LGD14" s="98"/>
      <c r="LGE14" s="98"/>
      <c r="LGF14" s="98"/>
      <c r="LGG14" s="98"/>
      <c r="LGH14" s="98"/>
      <c r="LGI14" s="98"/>
      <c r="LGJ14" s="98"/>
      <c r="LGK14" s="98"/>
      <c r="LGL14" s="98"/>
      <c r="LGM14" s="98"/>
      <c r="LGN14" s="98"/>
      <c r="LGO14" s="98"/>
      <c r="LGP14" s="98"/>
      <c r="LGQ14" s="98"/>
      <c r="LGR14" s="98"/>
      <c r="LGS14" s="98"/>
      <c r="LGT14" s="98"/>
      <c r="LGU14" s="98"/>
      <c r="LGV14" s="98"/>
      <c r="LGW14" s="98"/>
      <c r="LGX14" s="98"/>
      <c r="LGY14" s="98"/>
      <c r="LGZ14" s="98"/>
      <c r="LHA14" s="98"/>
      <c r="LHB14" s="98"/>
      <c r="LHC14" s="98"/>
      <c r="LHD14" s="98"/>
      <c r="LHE14" s="98"/>
      <c r="LHF14" s="98"/>
      <c r="LHG14" s="98"/>
      <c r="LHH14" s="98"/>
      <c r="LHI14" s="98"/>
      <c r="LHJ14" s="98"/>
      <c r="LHK14" s="98"/>
      <c r="LHL14" s="98"/>
      <c r="LHM14" s="98"/>
      <c r="LHN14" s="98"/>
      <c r="LHO14" s="98"/>
      <c r="LHP14" s="98"/>
      <c r="LHQ14" s="98"/>
      <c r="LHR14" s="98"/>
      <c r="LHS14" s="98"/>
      <c r="LHT14" s="98"/>
      <c r="LHU14" s="98"/>
      <c r="LHV14" s="98"/>
      <c r="LHW14" s="98"/>
      <c r="LHX14" s="98"/>
      <c r="LHY14" s="98"/>
      <c r="LHZ14" s="98"/>
      <c r="LIA14" s="98"/>
      <c r="LIB14" s="98"/>
      <c r="LIC14" s="98"/>
      <c r="LID14" s="98"/>
      <c r="LIE14" s="98"/>
      <c r="LIF14" s="98"/>
      <c r="LIG14" s="98"/>
      <c r="LIH14" s="98"/>
      <c r="LII14" s="98"/>
      <c r="LIJ14" s="98"/>
      <c r="LIK14" s="98"/>
      <c r="LIL14" s="98"/>
      <c r="LIM14" s="98"/>
      <c r="LIN14" s="98"/>
      <c r="LIO14" s="98"/>
      <c r="LIP14" s="98"/>
      <c r="LIQ14" s="98"/>
      <c r="LIR14" s="98"/>
      <c r="LIS14" s="98"/>
      <c r="LIT14" s="98"/>
      <c r="LIU14" s="98"/>
      <c r="LIV14" s="98"/>
      <c r="LIW14" s="98"/>
      <c r="LIX14" s="98"/>
      <c r="LIY14" s="98"/>
      <c r="LIZ14" s="98"/>
      <c r="LJA14" s="98"/>
      <c r="LJB14" s="98"/>
      <c r="LJC14" s="98"/>
      <c r="LJD14" s="98"/>
      <c r="LJE14" s="98"/>
      <c r="LJF14" s="98"/>
      <c r="LJG14" s="98"/>
      <c r="LJH14" s="98"/>
      <c r="LJI14" s="98"/>
      <c r="LJJ14" s="98"/>
      <c r="LJK14" s="98"/>
      <c r="LJL14" s="98"/>
      <c r="LJM14" s="98"/>
      <c r="LJN14" s="98"/>
      <c r="LJO14" s="98"/>
      <c r="LJP14" s="98"/>
      <c r="LJQ14" s="98"/>
      <c r="LJR14" s="98"/>
      <c r="LJS14" s="98"/>
      <c r="LJT14" s="98"/>
      <c r="LJU14" s="98"/>
      <c r="LJV14" s="98"/>
      <c r="LJW14" s="98"/>
      <c r="LJX14" s="98"/>
      <c r="LJY14" s="98"/>
      <c r="LJZ14" s="98"/>
      <c r="LKA14" s="98"/>
      <c r="LKB14" s="98"/>
      <c r="LKC14" s="98"/>
      <c r="LKD14" s="98"/>
      <c r="LKE14" s="98"/>
      <c r="LKF14" s="98"/>
      <c r="LKG14" s="98"/>
      <c r="LKH14" s="98"/>
      <c r="LKI14" s="98"/>
      <c r="LKJ14" s="98"/>
      <c r="LKK14" s="98"/>
      <c r="LKL14" s="98"/>
      <c r="LKM14" s="98"/>
      <c r="LKN14" s="98"/>
      <c r="LKO14" s="98"/>
      <c r="LKP14" s="98"/>
      <c r="LKQ14" s="98"/>
      <c r="LKR14" s="98"/>
      <c r="LKS14" s="98"/>
      <c r="LKT14" s="98"/>
      <c r="LKU14" s="98"/>
      <c r="LKV14" s="98"/>
      <c r="LKW14" s="98"/>
      <c r="LKX14" s="98"/>
      <c r="LKY14" s="98"/>
      <c r="LKZ14" s="98"/>
      <c r="LLA14" s="98"/>
      <c r="LLB14" s="98"/>
      <c r="LLC14" s="98"/>
      <c r="LLD14" s="98"/>
      <c r="LLE14" s="98"/>
      <c r="LLF14" s="98"/>
      <c r="LLG14" s="98"/>
      <c r="LLH14" s="98"/>
      <c r="LLI14" s="98"/>
      <c r="LLJ14" s="98"/>
      <c r="LLK14" s="98"/>
      <c r="LLL14" s="98"/>
      <c r="LLM14" s="98"/>
      <c r="LLN14" s="98"/>
      <c r="LLO14" s="98"/>
      <c r="LLP14" s="98"/>
      <c r="LLQ14" s="98"/>
      <c r="LLR14" s="98"/>
      <c r="LLS14" s="98"/>
      <c r="LLT14" s="98"/>
      <c r="LLU14" s="98"/>
      <c r="LLV14" s="98"/>
      <c r="LLW14" s="98"/>
      <c r="LLX14" s="98"/>
      <c r="LLY14" s="98"/>
      <c r="LLZ14" s="98"/>
      <c r="LMA14" s="98"/>
      <c r="LMB14" s="98"/>
      <c r="LMC14" s="98"/>
      <c r="LMD14" s="98"/>
      <c r="LME14" s="98"/>
      <c r="LMF14" s="98"/>
      <c r="LMG14" s="98"/>
      <c r="LMH14" s="98"/>
      <c r="LMI14" s="98"/>
      <c r="LMJ14" s="98"/>
      <c r="LMK14" s="98"/>
      <c r="LML14" s="98"/>
      <c r="LMM14" s="98"/>
      <c r="LMN14" s="98"/>
      <c r="LMO14" s="98"/>
      <c r="LMP14" s="98"/>
      <c r="LMQ14" s="98"/>
      <c r="LMR14" s="98"/>
      <c r="LMS14" s="98"/>
      <c r="LMT14" s="98"/>
      <c r="LMU14" s="98"/>
      <c r="LMV14" s="98"/>
      <c r="LMW14" s="98"/>
      <c r="LMX14" s="98"/>
      <c r="LMY14" s="98"/>
      <c r="LMZ14" s="98"/>
      <c r="LNA14" s="98"/>
      <c r="LNB14" s="98"/>
      <c r="LNC14" s="98"/>
      <c r="LND14" s="98"/>
      <c r="LNE14" s="98"/>
      <c r="LNF14" s="98"/>
      <c r="LNG14" s="98"/>
      <c r="LNH14" s="98"/>
      <c r="LNI14" s="98"/>
      <c r="LNJ14" s="98"/>
      <c r="LNK14" s="98"/>
      <c r="LNL14" s="98"/>
      <c r="LNM14" s="98"/>
      <c r="LNN14" s="98"/>
      <c r="LNO14" s="98"/>
      <c r="LNP14" s="98"/>
      <c r="LNQ14" s="98"/>
      <c r="LNR14" s="98"/>
      <c r="LNS14" s="98"/>
      <c r="LNT14" s="98"/>
      <c r="LNU14" s="98"/>
      <c r="LNV14" s="98"/>
      <c r="LNW14" s="98"/>
      <c r="LNX14" s="98"/>
      <c r="LNY14" s="98"/>
      <c r="LNZ14" s="98"/>
      <c r="LOA14" s="98"/>
      <c r="LOB14" s="98"/>
      <c r="LOC14" s="98"/>
      <c r="LOD14" s="98"/>
      <c r="LOE14" s="98"/>
      <c r="LOF14" s="98"/>
      <c r="LOG14" s="98"/>
      <c r="LOH14" s="98"/>
      <c r="LOI14" s="98"/>
      <c r="LOJ14" s="98"/>
      <c r="LOK14" s="98"/>
      <c r="LOL14" s="98"/>
      <c r="LOM14" s="98"/>
      <c r="LON14" s="98"/>
      <c r="LOO14" s="98"/>
      <c r="LOP14" s="98"/>
      <c r="LOQ14" s="98"/>
      <c r="LOR14" s="98"/>
      <c r="LOS14" s="98"/>
      <c r="LOT14" s="98"/>
      <c r="LOU14" s="98"/>
      <c r="LOV14" s="98"/>
      <c r="LOW14" s="98"/>
      <c r="LOX14" s="98"/>
      <c r="LOY14" s="98"/>
      <c r="LOZ14" s="98"/>
      <c r="LPA14" s="98"/>
      <c r="LPB14" s="98"/>
      <c r="LPC14" s="98"/>
      <c r="LPD14" s="98"/>
      <c r="LPE14" s="98"/>
      <c r="LPF14" s="98"/>
      <c r="LPG14" s="98"/>
      <c r="LPH14" s="98"/>
      <c r="LPI14" s="98"/>
      <c r="LPJ14" s="98"/>
      <c r="LPK14" s="98"/>
      <c r="LPL14" s="98"/>
      <c r="LPM14" s="98"/>
      <c r="LPN14" s="98"/>
      <c r="LPO14" s="98"/>
      <c r="LPP14" s="98"/>
      <c r="LPQ14" s="98"/>
      <c r="LPR14" s="98"/>
      <c r="LPS14" s="98"/>
      <c r="LPT14" s="98"/>
      <c r="LPU14" s="98"/>
      <c r="LPV14" s="98"/>
      <c r="LPW14" s="98"/>
      <c r="LPX14" s="98"/>
      <c r="LPY14" s="98"/>
      <c r="LPZ14" s="98"/>
      <c r="LQA14" s="98"/>
      <c r="LQB14" s="98"/>
      <c r="LQC14" s="98"/>
      <c r="LQD14" s="98"/>
      <c r="LQE14" s="98"/>
      <c r="LQF14" s="98"/>
      <c r="LQG14" s="98"/>
      <c r="LQH14" s="98"/>
      <c r="LQI14" s="98"/>
      <c r="LQJ14" s="98"/>
      <c r="LQK14" s="98"/>
      <c r="LQL14" s="98"/>
      <c r="LQM14" s="98"/>
      <c r="LQN14" s="98"/>
      <c r="LQO14" s="98"/>
      <c r="LQP14" s="98"/>
      <c r="LQQ14" s="98"/>
      <c r="LQR14" s="98"/>
      <c r="LQS14" s="98"/>
      <c r="LQT14" s="98"/>
      <c r="LQU14" s="98"/>
      <c r="LQV14" s="98"/>
      <c r="LQW14" s="98"/>
      <c r="LQX14" s="98"/>
      <c r="LQY14" s="98"/>
      <c r="LQZ14" s="98"/>
      <c r="LRA14" s="98"/>
      <c r="LRB14" s="98"/>
      <c r="LRC14" s="98"/>
      <c r="LRD14" s="98"/>
      <c r="LRE14" s="98"/>
      <c r="LRF14" s="98"/>
      <c r="LRG14" s="98"/>
      <c r="LRH14" s="98"/>
      <c r="LRI14" s="98"/>
      <c r="LRJ14" s="98"/>
      <c r="LRK14" s="98"/>
      <c r="LRL14" s="98"/>
      <c r="LRM14" s="98"/>
      <c r="LRN14" s="98"/>
      <c r="LRO14" s="98"/>
      <c r="LRP14" s="98"/>
      <c r="LRQ14" s="98"/>
      <c r="LRR14" s="98"/>
      <c r="LRS14" s="98"/>
      <c r="LRT14" s="98"/>
      <c r="LRU14" s="98"/>
      <c r="LRV14" s="98"/>
      <c r="LRW14" s="98"/>
      <c r="LRX14" s="98"/>
      <c r="LRY14" s="98"/>
      <c r="LRZ14" s="98"/>
      <c r="LSA14" s="98"/>
      <c r="LSB14" s="98"/>
      <c r="LSC14" s="98"/>
      <c r="LSD14" s="98"/>
      <c r="LSE14" s="98"/>
      <c r="LSF14" s="98"/>
      <c r="LSG14" s="98"/>
      <c r="LSH14" s="98"/>
      <c r="LSI14" s="98"/>
      <c r="LSJ14" s="98"/>
      <c r="LSK14" s="98"/>
      <c r="LSL14" s="98"/>
      <c r="LSM14" s="98"/>
      <c r="LSN14" s="98"/>
      <c r="LSO14" s="98"/>
      <c r="LSP14" s="98"/>
      <c r="LSQ14" s="98"/>
      <c r="LSR14" s="98"/>
      <c r="LSS14" s="98"/>
      <c r="LST14" s="98"/>
      <c r="LSU14" s="98"/>
      <c r="LSV14" s="98"/>
      <c r="LSW14" s="98"/>
      <c r="LSX14" s="98"/>
      <c r="LSY14" s="98"/>
      <c r="LSZ14" s="98"/>
      <c r="LTA14" s="98"/>
      <c r="LTB14" s="98"/>
      <c r="LTC14" s="98"/>
      <c r="LTD14" s="98"/>
      <c r="LTE14" s="98"/>
      <c r="LTF14" s="98"/>
      <c r="LTG14" s="98"/>
      <c r="LTH14" s="98"/>
      <c r="LTI14" s="98"/>
      <c r="LTJ14" s="98"/>
      <c r="LTK14" s="98"/>
      <c r="LTL14" s="98"/>
      <c r="LTM14" s="98"/>
      <c r="LTN14" s="98"/>
      <c r="LTO14" s="98"/>
      <c r="LTP14" s="98"/>
      <c r="LTQ14" s="98"/>
      <c r="LTR14" s="98"/>
      <c r="LTS14" s="98"/>
      <c r="LTT14" s="98"/>
      <c r="LTU14" s="98"/>
      <c r="LTV14" s="98"/>
      <c r="LTW14" s="98"/>
      <c r="LTX14" s="98"/>
      <c r="LTY14" s="98"/>
      <c r="LTZ14" s="98"/>
      <c r="LUA14" s="98"/>
      <c r="LUB14" s="98"/>
      <c r="LUC14" s="98"/>
      <c r="LUD14" s="98"/>
      <c r="LUE14" s="98"/>
      <c r="LUF14" s="98"/>
      <c r="LUG14" s="98"/>
      <c r="LUH14" s="98"/>
      <c r="LUI14" s="98"/>
      <c r="LUJ14" s="98"/>
      <c r="LUK14" s="98"/>
      <c r="LUL14" s="98"/>
      <c r="LUM14" s="98"/>
      <c r="LUN14" s="98"/>
      <c r="LUO14" s="98"/>
      <c r="LUP14" s="98"/>
      <c r="LUQ14" s="98"/>
      <c r="LUR14" s="98"/>
      <c r="LUS14" s="98"/>
      <c r="LUT14" s="98"/>
      <c r="LUU14" s="98"/>
      <c r="LUV14" s="98"/>
      <c r="LUW14" s="98"/>
      <c r="LUX14" s="98"/>
      <c r="LUY14" s="98"/>
      <c r="LUZ14" s="98"/>
      <c r="LVA14" s="98"/>
      <c r="LVB14" s="98"/>
      <c r="LVC14" s="98"/>
      <c r="LVD14" s="98"/>
      <c r="LVE14" s="98"/>
      <c r="LVF14" s="98"/>
      <c r="LVG14" s="98"/>
      <c r="LVH14" s="98"/>
      <c r="LVI14" s="98"/>
      <c r="LVJ14" s="98"/>
      <c r="LVK14" s="98"/>
      <c r="LVL14" s="98"/>
      <c r="LVM14" s="98"/>
      <c r="LVN14" s="98"/>
      <c r="LVO14" s="98"/>
      <c r="LVP14" s="98"/>
      <c r="LVQ14" s="98"/>
      <c r="LVR14" s="98"/>
      <c r="LVS14" s="98"/>
      <c r="LVT14" s="98"/>
      <c r="LVU14" s="98"/>
      <c r="LVV14" s="98"/>
      <c r="LVW14" s="98"/>
      <c r="LVX14" s="98"/>
      <c r="LVY14" s="98"/>
      <c r="LVZ14" s="98"/>
      <c r="LWA14" s="98"/>
      <c r="LWB14" s="98"/>
      <c r="LWC14" s="98"/>
      <c r="LWD14" s="98"/>
      <c r="LWE14" s="98"/>
      <c r="LWF14" s="98"/>
      <c r="LWG14" s="98"/>
      <c r="LWH14" s="98"/>
      <c r="LWI14" s="98"/>
      <c r="LWJ14" s="98"/>
      <c r="LWK14" s="98"/>
      <c r="LWL14" s="98"/>
      <c r="LWM14" s="98"/>
      <c r="LWN14" s="98"/>
      <c r="LWO14" s="98"/>
      <c r="LWP14" s="98"/>
      <c r="LWQ14" s="98"/>
      <c r="LWR14" s="98"/>
      <c r="LWS14" s="98"/>
      <c r="LWT14" s="98"/>
      <c r="LWU14" s="98"/>
      <c r="LWV14" s="98"/>
      <c r="LWW14" s="98"/>
      <c r="LWX14" s="98"/>
      <c r="LWY14" s="98"/>
      <c r="LWZ14" s="98"/>
      <c r="LXA14" s="98"/>
      <c r="LXB14" s="98"/>
      <c r="LXC14" s="98"/>
      <c r="LXD14" s="98"/>
      <c r="LXE14" s="98"/>
      <c r="LXF14" s="98"/>
      <c r="LXG14" s="98"/>
      <c r="LXH14" s="98"/>
      <c r="LXI14" s="98"/>
      <c r="LXJ14" s="98"/>
      <c r="LXK14" s="98"/>
      <c r="LXL14" s="98"/>
      <c r="LXM14" s="98"/>
      <c r="LXN14" s="98"/>
      <c r="LXO14" s="98"/>
      <c r="LXP14" s="98"/>
      <c r="LXQ14" s="98"/>
      <c r="LXR14" s="98"/>
      <c r="LXS14" s="98"/>
      <c r="LXT14" s="98"/>
      <c r="LXU14" s="98"/>
      <c r="LXV14" s="98"/>
      <c r="LXW14" s="98"/>
      <c r="LXX14" s="98"/>
      <c r="LXY14" s="98"/>
      <c r="LXZ14" s="98"/>
      <c r="LYA14" s="98"/>
      <c r="LYB14" s="98"/>
      <c r="LYC14" s="98"/>
      <c r="LYD14" s="98"/>
      <c r="LYE14" s="98"/>
      <c r="LYF14" s="98"/>
      <c r="LYG14" s="98"/>
      <c r="LYH14" s="98"/>
      <c r="LYI14" s="98"/>
      <c r="LYJ14" s="98"/>
      <c r="LYK14" s="98"/>
      <c r="LYL14" s="98"/>
      <c r="LYM14" s="98"/>
      <c r="LYN14" s="98"/>
      <c r="LYO14" s="98"/>
      <c r="LYP14" s="98"/>
      <c r="LYQ14" s="98"/>
      <c r="LYR14" s="98"/>
      <c r="LYS14" s="98"/>
      <c r="LYT14" s="98"/>
      <c r="LYU14" s="98"/>
      <c r="LYV14" s="98"/>
      <c r="LYW14" s="98"/>
      <c r="LYX14" s="98"/>
      <c r="LYY14" s="98"/>
      <c r="LYZ14" s="98"/>
      <c r="LZA14" s="98"/>
      <c r="LZB14" s="98"/>
      <c r="LZC14" s="98"/>
      <c r="LZD14" s="98"/>
      <c r="LZE14" s="98"/>
      <c r="LZF14" s="98"/>
      <c r="LZG14" s="98"/>
      <c r="LZH14" s="98"/>
      <c r="LZI14" s="98"/>
      <c r="LZJ14" s="98"/>
      <c r="LZK14" s="98"/>
      <c r="LZL14" s="98"/>
      <c r="LZM14" s="98"/>
      <c r="LZN14" s="98"/>
      <c r="LZO14" s="98"/>
      <c r="LZP14" s="98"/>
      <c r="LZQ14" s="98"/>
      <c r="LZR14" s="98"/>
      <c r="LZS14" s="98"/>
      <c r="LZT14" s="98"/>
      <c r="LZU14" s="98"/>
      <c r="LZV14" s="98"/>
      <c r="LZW14" s="98"/>
      <c r="LZX14" s="98"/>
      <c r="LZY14" s="98"/>
      <c r="LZZ14" s="98"/>
      <c r="MAA14" s="98"/>
      <c r="MAB14" s="98"/>
      <c r="MAC14" s="98"/>
      <c r="MAD14" s="98"/>
      <c r="MAE14" s="98"/>
      <c r="MAF14" s="98"/>
      <c r="MAG14" s="98"/>
      <c r="MAH14" s="98"/>
      <c r="MAI14" s="98"/>
      <c r="MAJ14" s="98"/>
      <c r="MAK14" s="98"/>
      <c r="MAL14" s="98"/>
      <c r="MAM14" s="98"/>
      <c r="MAN14" s="98"/>
      <c r="MAO14" s="98"/>
      <c r="MAP14" s="98"/>
      <c r="MAQ14" s="98"/>
      <c r="MAR14" s="98"/>
      <c r="MAS14" s="98"/>
      <c r="MAT14" s="98"/>
      <c r="MAU14" s="98"/>
      <c r="MAV14" s="98"/>
      <c r="MAW14" s="98"/>
      <c r="MAX14" s="98"/>
      <c r="MAY14" s="98"/>
      <c r="MAZ14" s="98"/>
      <c r="MBA14" s="98"/>
      <c r="MBB14" s="98"/>
      <c r="MBC14" s="98"/>
      <c r="MBD14" s="98"/>
      <c r="MBE14" s="98"/>
      <c r="MBF14" s="98"/>
      <c r="MBG14" s="98"/>
      <c r="MBH14" s="98"/>
      <c r="MBI14" s="98"/>
      <c r="MBJ14" s="98"/>
      <c r="MBK14" s="98"/>
      <c r="MBL14" s="98"/>
      <c r="MBM14" s="98"/>
      <c r="MBN14" s="98"/>
      <c r="MBO14" s="98"/>
      <c r="MBP14" s="98"/>
      <c r="MBQ14" s="98"/>
      <c r="MBR14" s="98"/>
      <c r="MBS14" s="98"/>
      <c r="MBT14" s="98"/>
      <c r="MBU14" s="98"/>
      <c r="MBV14" s="98"/>
      <c r="MBW14" s="98"/>
      <c r="MBX14" s="98"/>
      <c r="MBY14" s="98"/>
      <c r="MBZ14" s="98"/>
      <c r="MCA14" s="98"/>
      <c r="MCB14" s="98"/>
      <c r="MCC14" s="98"/>
      <c r="MCD14" s="98"/>
      <c r="MCE14" s="98"/>
      <c r="MCF14" s="98"/>
      <c r="MCG14" s="98"/>
      <c r="MCH14" s="98"/>
      <c r="MCI14" s="98"/>
      <c r="MCJ14" s="98"/>
      <c r="MCK14" s="98"/>
      <c r="MCL14" s="98"/>
      <c r="MCM14" s="98"/>
      <c r="MCN14" s="98"/>
      <c r="MCO14" s="98"/>
      <c r="MCP14" s="98"/>
      <c r="MCQ14" s="98"/>
      <c r="MCR14" s="98"/>
      <c r="MCS14" s="98"/>
      <c r="MCT14" s="98"/>
      <c r="MCU14" s="98"/>
      <c r="MCV14" s="98"/>
      <c r="MCW14" s="98"/>
      <c r="MCX14" s="98"/>
      <c r="MCY14" s="98"/>
      <c r="MCZ14" s="98"/>
      <c r="MDA14" s="98"/>
      <c r="MDB14" s="98"/>
      <c r="MDC14" s="98"/>
      <c r="MDD14" s="98"/>
      <c r="MDE14" s="98"/>
      <c r="MDF14" s="98"/>
      <c r="MDG14" s="98"/>
      <c r="MDH14" s="98"/>
      <c r="MDI14" s="98"/>
      <c r="MDJ14" s="98"/>
      <c r="MDK14" s="98"/>
      <c r="MDL14" s="98"/>
      <c r="MDM14" s="98"/>
      <c r="MDN14" s="98"/>
      <c r="MDO14" s="98"/>
      <c r="MDP14" s="98"/>
      <c r="MDQ14" s="98"/>
      <c r="MDR14" s="98"/>
      <c r="MDS14" s="98"/>
      <c r="MDT14" s="98"/>
      <c r="MDU14" s="98"/>
      <c r="MDV14" s="98"/>
      <c r="MDW14" s="98"/>
      <c r="MDX14" s="98"/>
      <c r="MDY14" s="98"/>
      <c r="MDZ14" s="98"/>
      <c r="MEA14" s="98"/>
      <c r="MEB14" s="98"/>
      <c r="MEC14" s="98"/>
      <c r="MED14" s="98"/>
      <c r="MEE14" s="98"/>
      <c r="MEF14" s="98"/>
      <c r="MEG14" s="98"/>
      <c r="MEH14" s="98"/>
      <c r="MEI14" s="98"/>
      <c r="MEJ14" s="98"/>
      <c r="MEK14" s="98"/>
      <c r="MEL14" s="98"/>
      <c r="MEM14" s="98"/>
      <c r="MEN14" s="98"/>
      <c r="MEO14" s="98"/>
      <c r="MEP14" s="98"/>
      <c r="MEQ14" s="98"/>
      <c r="MER14" s="98"/>
      <c r="MES14" s="98"/>
      <c r="MET14" s="98"/>
      <c r="MEU14" s="98"/>
      <c r="MEV14" s="98"/>
      <c r="MEW14" s="98"/>
      <c r="MEX14" s="98"/>
      <c r="MEY14" s="98"/>
      <c r="MEZ14" s="98"/>
      <c r="MFA14" s="98"/>
      <c r="MFB14" s="98"/>
      <c r="MFC14" s="98"/>
      <c r="MFD14" s="98"/>
      <c r="MFE14" s="98"/>
      <c r="MFF14" s="98"/>
      <c r="MFG14" s="98"/>
      <c r="MFH14" s="98"/>
      <c r="MFI14" s="98"/>
      <c r="MFJ14" s="98"/>
      <c r="MFK14" s="98"/>
      <c r="MFL14" s="98"/>
      <c r="MFM14" s="98"/>
      <c r="MFN14" s="98"/>
      <c r="MFO14" s="98"/>
      <c r="MFP14" s="98"/>
      <c r="MFQ14" s="98"/>
      <c r="MFR14" s="98"/>
      <c r="MFS14" s="98"/>
      <c r="MFT14" s="98"/>
      <c r="MFU14" s="98"/>
      <c r="MFV14" s="98"/>
      <c r="MFW14" s="98"/>
      <c r="MFX14" s="98"/>
      <c r="MFY14" s="98"/>
      <c r="MFZ14" s="98"/>
      <c r="MGA14" s="98"/>
      <c r="MGB14" s="98"/>
      <c r="MGC14" s="98"/>
      <c r="MGD14" s="98"/>
      <c r="MGE14" s="98"/>
      <c r="MGF14" s="98"/>
      <c r="MGG14" s="98"/>
      <c r="MGH14" s="98"/>
      <c r="MGI14" s="98"/>
      <c r="MGJ14" s="98"/>
      <c r="MGK14" s="98"/>
      <c r="MGL14" s="98"/>
      <c r="MGM14" s="98"/>
      <c r="MGN14" s="98"/>
      <c r="MGO14" s="98"/>
      <c r="MGP14" s="98"/>
      <c r="MGQ14" s="98"/>
      <c r="MGR14" s="98"/>
      <c r="MGS14" s="98"/>
      <c r="MGT14" s="98"/>
      <c r="MGU14" s="98"/>
      <c r="MGV14" s="98"/>
      <c r="MGW14" s="98"/>
      <c r="MGX14" s="98"/>
      <c r="MGY14" s="98"/>
      <c r="MGZ14" s="98"/>
      <c r="MHA14" s="98"/>
      <c r="MHB14" s="98"/>
      <c r="MHC14" s="98"/>
      <c r="MHD14" s="98"/>
      <c r="MHE14" s="98"/>
      <c r="MHF14" s="98"/>
      <c r="MHG14" s="98"/>
      <c r="MHH14" s="98"/>
      <c r="MHI14" s="98"/>
      <c r="MHJ14" s="98"/>
      <c r="MHK14" s="98"/>
      <c r="MHL14" s="98"/>
      <c r="MHM14" s="98"/>
      <c r="MHN14" s="98"/>
      <c r="MHO14" s="98"/>
      <c r="MHP14" s="98"/>
      <c r="MHQ14" s="98"/>
      <c r="MHR14" s="98"/>
      <c r="MHS14" s="98"/>
      <c r="MHT14" s="98"/>
      <c r="MHU14" s="98"/>
      <c r="MHV14" s="98"/>
      <c r="MHW14" s="98"/>
      <c r="MHX14" s="98"/>
      <c r="MHY14" s="98"/>
      <c r="MHZ14" s="98"/>
      <c r="MIA14" s="98"/>
      <c r="MIB14" s="98"/>
      <c r="MIC14" s="98"/>
      <c r="MID14" s="98"/>
      <c r="MIE14" s="98"/>
      <c r="MIF14" s="98"/>
      <c r="MIG14" s="98"/>
      <c r="MIH14" s="98"/>
      <c r="MII14" s="98"/>
      <c r="MIJ14" s="98"/>
      <c r="MIK14" s="98"/>
      <c r="MIL14" s="98"/>
      <c r="MIM14" s="98"/>
      <c r="MIN14" s="98"/>
      <c r="MIO14" s="98"/>
      <c r="MIP14" s="98"/>
      <c r="MIQ14" s="98"/>
      <c r="MIR14" s="98"/>
      <c r="MIS14" s="98"/>
      <c r="MIT14" s="98"/>
      <c r="MIU14" s="98"/>
      <c r="MIV14" s="98"/>
      <c r="MIW14" s="98"/>
      <c r="MIX14" s="98"/>
      <c r="MIY14" s="98"/>
      <c r="MIZ14" s="98"/>
      <c r="MJA14" s="98"/>
      <c r="MJB14" s="98"/>
      <c r="MJC14" s="98"/>
      <c r="MJD14" s="98"/>
      <c r="MJE14" s="98"/>
      <c r="MJF14" s="98"/>
      <c r="MJG14" s="98"/>
      <c r="MJH14" s="98"/>
      <c r="MJI14" s="98"/>
      <c r="MJJ14" s="98"/>
      <c r="MJK14" s="98"/>
      <c r="MJL14" s="98"/>
      <c r="MJM14" s="98"/>
      <c r="MJN14" s="98"/>
      <c r="MJO14" s="98"/>
      <c r="MJP14" s="98"/>
      <c r="MJQ14" s="98"/>
      <c r="MJR14" s="98"/>
      <c r="MJS14" s="98"/>
      <c r="MJT14" s="98"/>
      <c r="MJU14" s="98"/>
      <c r="MJV14" s="98"/>
      <c r="MJW14" s="98"/>
      <c r="MJX14" s="98"/>
      <c r="MJY14" s="98"/>
      <c r="MJZ14" s="98"/>
      <c r="MKA14" s="98"/>
      <c r="MKB14" s="98"/>
      <c r="MKC14" s="98"/>
      <c r="MKD14" s="98"/>
      <c r="MKE14" s="98"/>
      <c r="MKF14" s="98"/>
      <c r="MKG14" s="98"/>
      <c r="MKH14" s="98"/>
      <c r="MKI14" s="98"/>
      <c r="MKJ14" s="98"/>
      <c r="MKK14" s="98"/>
      <c r="MKL14" s="98"/>
      <c r="MKM14" s="98"/>
      <c r="MKN14" s="98"/>
      <c r="MKO14" s="98"/>
      <c r="MKP14" s="98"/>
      <c r="MKQ14" s="98"/>
      <c r="MKR14" s="98"/>
      <c r="MKS14" s="98"/>
      <c r="MKT14" s="98"/>
      <c r="MKU14" s="98"/>
      <c r="MKV14" s="98"/>
      <c r="MKW14" s="98"/>
      <c r="MKX14" s="98"/>
      <c r="MKY14" s="98"/>
      <c r="MKZ14" s="98"/>
      <c r="MLA14" s="98"/>
      <c r="MLB14" s="98"/>
      <c r="MLC14" s="98"/>
      <c r="MLD14" s="98"/>
      <c r="MLE14" s="98"/>
      <c r="MLF14" s="98"/>
      <c r="MLG14" s="98"/>
      <c r="MLH14" s="98"/>
      <c r="MLI14" s="98"/>
      <c r="MLJ14" s="98"/>
      <c r="MLK14" s="98"/>
      <c r="MLL14" s="98"/>
      <c r="MLM14" s="98"/>
      <c r="MLN14" s="98"/>
      <c r="MLO14" s="98"/>
      <c r="MLP14" s="98"/>
      <c r="MLQ14" s="98"/>
      <c r="MLR14" s="98"/>
      <c r="MLS14" s="98"/>
      <c r="MLT14" s="98"/>
      <c r="MLU14" s="98"/>
      <c r="MLV14" s="98"/>
      <c r="MLW14" s="98"/>
      <c r="MLX14" s="98"/>
      <c r="MLY14" s="98"/>
      <c r="MLZ14" s="98"/>
      <c r="MMA14" s="98"/>
      <c r="MMB14" s="98"/>
      <c r="MMC14" s="98"/>
      <c r="MMD14" s="98"/>
      <c r="MME14" s="98"/>
      <c r="MMF14" s="98"/>
      <c r="MMG14" s="98"/>
      <c r="MMH14" s="98"/>
      <c r="MMI14" s="98"/>
      <c r="MMJ14" s="98"/>
      <c r="MMK14" s="98"/>
      <c r="MML14" s="98"/>
      <c r="MMM14" s="98"/>
      <c r="MMN14" s="98"/>
      <c r="MMO14" s="98"/>
      <c r="MMP14" s="98"/>
      <c r="MMQ14" s="98"/>
      <c r="MMR14" s="98"/>
      <c r="MMS14" s="98"/>
      <c r="MMT14" s="98"/>
      <c r="MMU14" s="98"/>
      <c r="MMV14" s="98"/>
      <c r="MMW14" s="98"/>
      <c r="MMX14" s="98"/>
      <c r="MMY14" s="98"/>
      <c r="MMZ14" s="98"/>
      <c r="MNA14" s="98"/>
      <c r="MNB14" s="98"/>
      <c r="MNC14" s="98"/>
      <c r="MND14" s="98"/>
      <c r="MNE14" s="98"/>
      <c r="MNF14" s="98"/>
      <c r="MNG14" s="98"/>
      <c r="MNH14" s="98"/>
      <c r="MNI14" s="98"/>
      <c r="MNJ14" s="98"/>
      <c r="MNK14" s="98"/>
      <c r="MNL14" s="98"/>
      <c r="MNM14" s="98"/>
      <c r="MNN14" s="98"/>
      <c r="MNO14" s="98"/>
      <c r="MNP14" s="98"/>
      <c r="MNQ14" s="98"/>
      <c r="MNR14" s="98"/>
      <c r="MNS14" s="98"/>
      <c r="MNT14" s="98"/>
      <c r="MNU14" s="98"/>
      <c r="MNV14" s="98"/>
      <c r="MNW14" s="98"/>
      <c r="MNX14" s="98"/>
      <c r="MNY14" s="98"/>
      <c r="MNZ14" s="98"/>
      <c r="MOA14" s="98"/>
      <c r="MOB14" s="98"/>
      <c r="MOC14" s="98"/>
      <c r="MOD14" s="98"/>
      <c r="MOE14" s="98"/>
      <c r="MOF14" s="98"/>
      <c r="MOG14" s="98"/>
      <c r="MOH14" s="98"/>
      <c r="MOI14" s="98"/>
      <c r="MOJ14" s="98"/>
      <c r="MOK14" s="98"/>
      <c r="MOL14" s="98"/>
      <c r="MOM14" s="98"/>
      <c r="MON14" s="98"/>
      <c r="MOO14" s="98"/>
      <c r="MOP14" s="98"/>
      <c r="MOQ14" s="98"/>
      <c r="MOR14" s="98"/>
      <c r="MOS14" s="98"/>
      <c r="MOT14" s="98"/>
      <c r="MOU14" s="98"/>
      <c r="MOV14" s="98"/>
      <c r="MOW14" s="98"/>
      <c r="MOX14" s="98"/>
      <c r="MOY14" s="98"/>
      <c r="MOZ14" s="98"/>
      <c r="MPA14" s="98"/>
      <c r="MPB14" s="98"/>
      <c r="MPC14" s="98"/>
      <c r="MPD14" s="98"/>
      <c r="MPE14" s="98"/>
      <c r="MPF14" s="98"/>
      <c r="MPG14" s="98"/>
      <c r="MPH14" s="98"/>
      <c r="MPI14" s="98"/>
      <c r="MPJ14" s="98"/>
      <c r="MPK14" s="98"/>
      <c r="MPL14" s="98"/>
      <c r="MPM14" s="98"/>
      <c r="MPN14" s="98"/>
      <c r="MPO14" s="98"/>
      <c r="MPP14" s="98"/>
      <c r="MPQ14" s="98"/>
      <c r="MPR14" s="98"/>
      <c r="MPS14" s="98"/>
      <c r="MPT14" s="98"/>
      <c r="MPU14" s="98"/>
      <c r="MPV14" s="98"/>
      <c r="MPW14" s="98"/>
      <c r="MPX14" s="98"/>
      <c r="MPY14" s="98"/>
      <c r="MPZ14" s="98"/>
      <c r="MQA14" s="98"/>
      <c r="MQB14" s="98"/>
      <c r="MQC14" s="98"/>
      <c r="MQD14" s="98"/>
      <c r="MQE14" s="98"/>
      <c r="MQF14" s="98"/>
      <c r="MQG14" s="98"/>
      <c r="MQH14" s="98"/>
      <c r="MQI14" s="98"/>
      <c r="MQJ14" s="98"/>
      <c r="MQK14" s="98"/>
      <c r="MQL14" s="98"/>
      <c r="MQM14" s="98"/>
      <c r="MQN14" s="98"/>
      <c r="MQO14" s="98"/>
      <c r="MQP14" s="98"/>
      <c r="MQQ14" s="98"/>
      <c r="MQR14" s="98"/>
      <c r="MQS14" s="98"/>
      <c r="MQT14" s="98"/>
      <c r="MQU14" s="98"/>
      <c r="MQV14" s="98"/>
      <c r="MQW14" s="98"/>
      <c r="MQX14" s="98"/>
      <c r="MQY14" s="98"/>
      <c r="MQZ14" s="98"/>
      <c r="MRA14" s="98"/>
      <c r="MRB14" s="98"/>
      <c r="MRC14" s="98"/>
      <c r="MRD14" s="98"/>
      <c r="MRE14" s="98"/>
      <c r="MRF14" s="98"/>
      <c r="MRG14" s="98"/>
      <c r="MRH14" s="98"/>
      <c r="MRI14" s="98"/>
      <c r="MRJ14" s="98"/>
      <c r="MRK14" s="98"/>
      <c r="MRL14" s="98"/>
      <c r="MRM14" s="98"/>
      <c r="MRN14" s="98"/>
      <c r="MRO14" s="98"/>
      <c r="MRP14" s="98"/>
      <c r="MRQ14" s="98"/>
      <c r="MRR14" s="98"/>
      <c r="MRS14" s="98"/>
      <c r="MRT14" s="98"/>
      <c r="MRU14" s="98"/>
      <c r="MRV14" s="98"/>
      <c r="MRW14" s="98"/>
      <c r="MRX14" s="98"/>
      <c r="MRY14" s="98"/>
      <c r="MRZ14" s="98"/>
      <c r="MSA14" s="98"/>
      <c r="MSB14" s="98"/>
      <c r="MSC14" s="98"/>
      <c r="MSD14" s="98"/>
      <c r="MSE14" s="98"/>
      <c r="MSF14" s="98"/>
      <c r="MSG14" s="98"/>
      <c r="MSH14" s="98"/>
      <c r="MSI14" s="98"/>
      <c r="MSJ14" s="98"/>
      <c r="MSK14" s="98"/>
      <c r="MSL14" s="98"/>
      <c r="MSM14" s="98"/>
      <c r="MSN14" s="98"/>
      <c r="MSO14" s="98"/>
      <c r="MSP14" s="98"/>
      <c r="MSQ14" s="98"/>
      <c r="MSR14" s="98"/>
      <c r="MSS14" s="98"/>
      <c r="MST14" s="98"/>
      <c r="MSU14" s="98"/>
      <c r="MSV14" s="98"/>
      <c r="MSW14" s="98"/>
      <c r="MSX14" s="98"/>
      <c r="MSY14" s="98"/>
      <c r="MSZ14" s="98"/>
      <c r="MTA14" s="98"/>
      <c r="MTB14" s="98"/>
      <c r="MTC14" s="98"/>
      <c r="MTD14" s="98"/>
      <c r="MTE14" s="98"/>
      <c r="MTF14" s="98"/>
      <c r="MTG14" s="98"/>
      <c r="MTH14" s="98"/>
      <c r="MTI14" s="98"/>
      <c r="MTJ14" s="98"/>
      <c r="MTK14" s="98"/>
      <c r="MTL14" s="98"/>
      <c r="MTM14" s="98"/>
      <c r="MTN14" s="98"/>
      <c r="MTO14" s="98"/>
      <c r="MTP14" s="98"/>
      <c r="MTQ14" s="98"/>
      <c r="MTR14" s="98"/>
      <c r="MTS14" s="98"/>
      <c r="MTT14" s="98"/>
      <c r="MTU14" s="98"/>
      <c r="MTV14" s="98"/>
      <c r="MTW14" s="98"/>
      <c r="MTX14" s="98"/>
      <c r="MTY14" s="98"/>
      <c r="MTZ14" s="98"/>
      <c r="MUA14" s="98"/>
      <c r="MUB14" s="98"/>
      <c r="MUC14" s="98"/>
      <c r="MUD14" s="98"/>
      <c r="MUE14" s="98"/>
      <c r="MUF14" s="98"/>
      <c r="MUG14" s="98"/>
      <c r="MUH14" s="98"/>
      <c r="MUI14" s="98"/>
      <c r="MUJ14" s="98"/>
      <c r="MUK14" s="98"/>
      <c r="MUL14" s="98"/>
      <c r="MUM14" s="98"/>
      <c r="MUN14" s="98"/>
      <c r="MUO14" s="98"/>
      <c r="MUP14" s="98"/>
      <c r="MUQ14" s="98"/>
      <c r="MUR14" s="98"/>
      <c r="MUS14" s="98"/>
      <c r="MUT14" s="98"/>
      <c r="MUU14" s="98"/>
      <c r="MUV14" s="98"/>
      <c r="MUW14" s="98"/>
      <c r="MUX14" s="98"/>
      <c r="MUY14" s="98"/>
      <c r="MUZ14" s="98"/>
      <c r="MVA14" s="98"/>
      <c r="MVB14" s="98"/>
      <c r="MVC14" s="98"/>
      <c r="MVD14" s="98"/>
      <c r="MVE14" s="98"/>
      <c r="MVF14" s="98"/>
      <c r="MVG14" s="98"/>
      <c r="MVH14" s="98"/>
      <c r="MVI14" s="98"/>
      <c r="MVJ14" s="98"/>
      <c r="MVK14" s="98"/>
      <c r="MVL14" s="98"/>
      <c r="MVM14" s="98"/>
      <c r="MVN14" s="98"/>
      <c r="MVO14" s="98"/>
      <c r="MVP14" s="98"/>
      <c r="MVQ14" s="98"/>
      <c r="MVR14" s="98"/>
      <c r="MVS14" s="98"/>
      <c r="MVT14" s="98"/>
      <c r="MVU14" s="98"/>
      <c r="MVV14" s="98"/>
      <c r="MVW14" s="98"/>
      <c r="MVX14" s="98"/>
      <c r="MVY14" s="98"/>
      <c r="MVZ14" s="98"/>
      <c r="MWA14" s="98"/>
      <c r="MWB14" s="98"/>
      <c r="MWC14" s="98"/>
      <c r="MWD14" s="98"/>
      <c r="MWE14" s="98"/>
      <c r="MWF14" s="98"/>
      <c r="MWG14" s="98"/>
      <c r="MWH14" s="98"/>
      <c r="MWI14" s="98"/>
      <c r="MWJ14" s="98"/>
      <c r="MWK14" s="98"/>
      <c r="MWL14" s="98"/>
      <c r="MWM14" s="98"/>
      <c r="MWN14" s="98"/>
      <c r="MWO14" s="98"/>
      <c r="MWP14" s="98"/>
      <c r="MWQ14" s="98"/>
      <c r="MWR14" s="98"/>
      <c r="MWS14" s="98"/>
      <c r="MWT14" s="98"/>
      <c r="MWU14" s="98"/>
      <c r="MWV14" s="98"/>
      <c r="MWW14" s="98"/>
      <c r="MWX14" s="98"/>
      <c r="MWY14" s="98"/>
      <c r="MWZ14" s="98"/>
      <c r="MXA14" s="98"/>
      <c r="MXB14" s="98"/>
      <c r="MXC14" s="98"/>
      <c r="MXD14" s="98"/>
      <c r="MXE14" s="98"/>
      <c r="MXF14" s="98"/>
      <c r="MXG14" s="98"/>
      <c r="MXH14" s="98"/>
      <c r="MXI14" s="98"/>
      <c r="MXJ14" s="98"/>
      <c r="MXK14" s="98"/>
      <c r="MXL14" s="98"/>
      <c r="MXM14" s="98"/>
      <c r="MXN14" s="98"/>
      <c r="MXO14" s="98"/>
      <c r="MXP14" s="98"/>
      <c r="MXQ14" s="98"/>
      <c r="MXR14" s="98"/>
      <c r="MXS14" s="98"/>
      <c r="MXT14" s="98"/>
      <c r="MXU14" s="98"/>
      <c r="MXV14" s="98"/>
      <c r="MXW14" s="98"/>
      <c r="MXX14" s="98"/>
      <c r="MXY14" s="98"/>
      <c r="MXZ14" s="98"/>
      <c r="MYA14" s="98"/>
      <c r="MYB14" s="98"/>
      <c r="MYC14" s="98"/>
      <c r="MYD14" s="98"/>
      <c r="MYE14" s="98"/>
      <c r="MYF14" s="98"/>
      <c r="MYG14" s="98"/>
      <c r="MYH14" s="98"/>
      <c r="MYI14" s="98"/>
      <c r="MYJ14" s="98"/>
      <c r="MYK14" s="98"/>
      <c r="MYL14" s="98"/>
      <c r="MYM14" s="98"/>
      <c r="MYN14" s="98"/>
      <c r="MYO14" s="98"/>
      <c r="MYP14" s="98"/>
      <c r="MYQ14" s="98"/>
      <c r="MYR14" s="98"/>
      <c r="MYS14" s="98"/>
      <c r="MYT14" s="98"/>
      <c r="MYU14" s="98"/>
      <c r="MYV14" s="98"/>
      <c r="MYW14" s="98"/>
      <c r="MYX14" s="98"/>
      <c r="MYY14" s="98"/>
      <c r="MYZ14" s="98"/>
      <c r="MZA14" s="98"/>
      <c r="MZB14" s="98"/>
      <c r="MZC14" s="98"/>
      <c r="MZD14" s="98"/>
      <c r="MZE14" s="98"/>
      <c r="MZF14" s="98"/>
      <c r="MZG14" s="98"/>
      <c r="MZH14" s="98"/>
      <c r="MZI14" s="98"/>
      <c r="MZJ14" s="98"/>
      <c r="MZK14" s="98"/>
      <c r="MZL14" s="98"/>
      <c r="MZM14" s="98"/>
      <c r="MZN14" s="98"/>
      <c r="MZO14" s="98"/>
      <c r="MZP14" s="98"/>
      <c r="MZQ14" s="98"/>
      <c r="MZR14" s="98"/>
      <c r="MZS14" s="98"/>
      <c r="MZT14" s="98"/>
      <c r="MZU14" s="98"/>
      <c r="MZV14" s="98"/>
      <c r="MZW14" s="98"/>
      <c r="MZX14" s="98"/>
      <c r="MZY14" s="98"/>
      <c r="MZZ14" s="98"/>
      <c r="NAA14" s="98"/>
      <c r="NAB14" s="98"/>
      <c r="NAC14" s="98"/>
      <c r="NAD14" s="98"/>
      <c r="NAE14" s="98"/>
      <c r="NAF14" s="98"/>
      <c r="NAG14" s="98"/>
      <c r="NAH14" s="98"/>
      <c r="NAI14" s="98"/>
      <c r="NAJ14" s="98"/>
      <c r="NAK14" s="98"/>
      <c r="NAL14" s="98"/>
      <c r="NAM14" s="98"/>
      <c r="NAN14" s="98"/>
      <c r="NAO14" s="98"/>
      <c r="NAP14" s="98"/>
      <c r="NAQ14" s="98"/>
      <c r="NAR14" s="98"/>
      <c r="NAS14" s="98"/>
      <c r="NAT14" s="98"/>
      <c r="NAU14" s="98"/>
      <c r="NAV14" s="98"/>
      <c r="NAW14" s="98"/>
      <c r="NAX14" s="98"/>
      <c r="NAY14" s="98"/>
      <c r="NAZ14" s="98"/>
      <c r="NBA14" s="98"/>
      <c r="NBB14" s="98"/>
      <c r="NBC14" s="98"/>
      <c r="NBD14" s="98"/>
      <c r="NBE14" s="98"/>
      <c r="NBF14" s="98"/>
      <c r="NBG14" s="98"/>
      <c r="NBH14" s="98"/>
      <c r="NBI14" s="98"/>
      <c r="NBJ14" s="98"/>
      <c r="NBK14" s="98"/>
      <c r="NBL14" s="98"/>
      <c r="NBM14" s="98"/>
      <c r="NBN14" s="98"/>
      <c r="NBO14" s="98"/>
      <c r="NBP14" s="98"/>
      <c r="NBQ14" s="98"/>
      <c r="NBR14" s="98"/>
      <c r="NBS14" s="98"/>
      <c r="NBT14" s="98"/>
      <c r="NBU14" s="98"/>
      <c r="NBV14" s="98"/>
      <c r="NBW14" s="98"/>
      <c r="NBX14" s="98"/>
      <c r="NBY14" s="98"/>
      <c r="NBZ14" s="98"/>
      <c r="NCA14" s="98"/>
      <c r="NCB14" s="98"/>
      <c r="NCC14" s="98"/>
      <c r="NCD14" s="98"/>
      <c r="NCE14" s="98"/>
      <c r="NCF14" s="98"/>
      <c r="NCG14" s="98"/>
      <c r="NCH14" s="98"/>
      <c r="NCI14" s="98"/>
      <c r="NCJ14" s="98"/>
      <c r="NCK14" s="98"/>
      <c r="NCL14" s="98"/>
      <c r="NCM14" s="98"/>
      <c r="NCN14" s="98"/>
      <c r="NCO14" s="98"/>
      <c r="NCP14" s="98"/>
      <c r="NCQ14" s="98"/>
      <c r="NCR14" s="98"/>
      <c r="NCS14" s="98"/>
      <c r="NCT14" s="98"/>
      <c r="NCU14" s="98"/>
      <c r="NCV14" s="98"/>
      <c r="NCW14" s="98"/>
      <c r="NCX14" s="98"/>
      <c r="NCY14" s="98"/>
      <c r="NCZ14" s="98"/>
      <c r="NDA14" s="98"/>
      <c r="NDB14" s="98"/>
      <c r="NDC14" s="98"/>
      <c r="NDD14" s="98"/>
      <c r="NDE14" s="98"/>
      <c r="NDF14" s="98"/>
      <c r="NDG14" s="98"/>
      <c r="NDH14" s="98"/>
      <c r="NDI14" s="98"/>
      <c r="NDJ14" s="98"/>
      <c r="NDK14" s="98"/>
      <c r="NDL14" s="98"/>
      <c r="NDM14" s="98"/>
      <c r="NDN14" s="98"/>
      <c r="NDO14" s="98"/>
      <c r="NDP14" s="98"/>
      <c r="NDQ14" s="98"/>
      <c r="NDR14" s="98"/>
      <c r="NDS14" s="98"/>
      <c r="NDT14" s="98"/>
      <c r="NDU14" s="98"/>
      <c r="NDV14" s="98"/>
      <c r="NDW14" s="98"/>
      <c r="NDX14" s="98"/>
      <c r="NDY14" s="98"/>
      <c r="NDZ14" s="98"/>
      <c r="NEA14" s="98"/>
      <c r="NEB14" s="98"/>
      <c r="NEC14" s="98"/>
      <c r="NED14" s="98"/>
      <c r="NEE14" s="98"/>
      <c r="NEF14" s="98"/>
      <c r="NEG14" s="98"/>
      <c r="NEH14" s="98"/>
      <c r="NEI14" s="98"/>
      <c r="NEJ14" s="98"/>
      <c r="NEK14" s="98"/>
      <c r="NEL14" s="98"/>
      <c r="NEM14" s="98"/>
      <c r="NEN14" s="98"/>
      <c r="NEO14" s="98"/>
      <c r="NEP14" s="98"/>
      <c r="NEQ14" s="98"/>
      <c r="NER14" s="98"/>
      <c r="NES14" s="98"/>
      <c r="NET14" s="98"/>
      <c r="NEU14" s="98"/>
      <c r="NEV14" s="98"/>
      <c r="NEW14" s="98"/>
      <c r="NEX14" s="98"/>
      <c r="NEY14" s="98"/>
      <c r="NEZ14" s="98"/>
      <c r="NFA14" s="98"/>
      <c r="NFB14" s="98"/>
      <c r="NFC14" s="98"/>
      <c r="NFD14" s="98"/>
      <c r="NFE14" s="98"/>
      <c r="NFF14" s="98"/>
      <c r="NFG14" s="98"/>
      <c r="NFH14" s="98"/>
      <c r="NFI14" s="98"/>
      <c r="NFJ14" s="98"/>
      <c r="NFK14" s="98"/>
      <c r="NFL14" s="98"/>
      <c r="NFM14" s="98"/>
      <c r="NFN14" s="98"/>
      <c r="NFO14" s="98"/>
      <c r="NFP14" s="98"/>
      <c r="NFQ14" s="98"/>
      <c r="NFR14" s="98"/>
      <c r="NFS14" s="98"/>
      <c r="NFT14" s="98"/>
      <c r="NFU14" s="98"/>
      <c r="NFV14" s="98"/>
      <c r="NFW14" s="98"/>
      <c r="NFX14" s="98"/>
      <c r="NFY14" s="98"/>
      <c r="NFZ14" s="98"/>
      <c r="NGA14" s="98"/>
      <c r="NGB14" s="98"/>
      <c r="NGC14" s="98"/>
      <c r="NGD14" s="98"/>
      <c r="NGE14" s="98"/>
      <c r="NGF14" s="98"/>
      <c r="NGG14" s="98"/>
      <c r="NGH14" s="98"/>
      <c r="NGI14" s="98"/>
      <c r="NGJ14" s="98"/>
      <c r="NGK14" s="98"/>
      <c r="NGL14" s="98"/>
      <c r="NGM14" s="98"/>
      <c r="NGN14" s="98"/>
      <c r="NGO14" s="98"/>
      <c r="NGP14" s="98"/>
      <c r="NGQ14" s="98"/>
      <c r="NGR14" s="98"/>
      <c r="NGS14" s="98"/>
      <c r="NGT14" s="98"/>
      <c r="NGU14" s="98"/>
      <c r="NGV14" s="98"/>
      <c r="NGW14" s="98"/>
      <c r="NGX14" s="98"/>
      <c r="NGY14" s="98"/>
      <c r="NGZ14" s="98"/>
      <c r="NHA14" s="98"/>
      <c r="NHB14" s="98"/>
      <c r="NHC14" s="98"/>
      <c r="NHD14" s="98"/>
      <c r="NHE14" s="98"/>
      <c r="NHF14" s="98"/>
      <c r="NHG14" s="98"/>
      <c r="NHH14" s="98"/>
      <c r="NHI14" s="98"/>
      <c r="NHJ14" s="98"/>
      <c r="NHK14" s="98"/>
      <c r="NHL14" s="98"/>
      <c r="NHM14" s="98"/>
      <c r="NHN14" s="98"/>
      <c r="NHO14" s="98"/>
      <c r="NHP14" s="98"/>
      <c r="NHQ14" s="98"/>
      <c r="NHR14" s="98"/>
      <c r="NHS14" s="98"/>
      <c r="NHT14" s="98"/>
      <c r="NHU14" s="98"/>
      <c r="NHV14" s="98"/>
      <c r="NHW14" s="98"/>
      <c r="NHX14" s="98"/>
      <c r="NHY14" s="98"/>
      <c r="NHZ14" s="98"/>
      <c r="NIA14" s="98"/>
      <c r="NIB14" s="98"/>
      <c r="NIC14" s="98"/>
      <c r="NID14" s="98"/>
      <c r="NIE14" s="98"/>
      <c r="NIF14" s="98"/>
      <c r="NIG14" s="98"/>
      <c r="NIH14" s="98"/>
      <c r="NII14" s="98"/>
      <c r="NIJ14" s="98"/>
      <c r="NIK14" s="98"/>
      <c r="NIL14" s="98"/>
      <c r="NIM14" s="98"/>
      <c r="NIN14" s="98"/>
      <c r="NIO14" s="98"/>
      <c r="NIP14" s="98"/>
      <c r="NIQ14" s="98"/>
      <c r="NIR14" s="98"/>
      <c r="NIS14" s="98"/>
      <c r="NIT14" s="98"/>
      <c r="NIU14" s="98"/>
      <c r="NIV14" s="98"/>
      <c r="NIW14" s="98"/>
      <c r="NIX14" s="98"/>
      <c r="NIY14" s="98"/>
      <c r="NIZ14" s="98"/>
      <c r="NJA14" s="98"/>
      <c r="NJB14" s="98"/>
      <c r="NJC14" s="98"/>
      <c r="NJD14" s="98"/>
      <c r="NJE14" s="98"/>
      <c r="NJF14" s="98"/>
      <c r="NJG14" s="98"/>
      <c r="NJH14" s="98"/>
      <c r="NJI14" s="98"/>
      <c r="NJJ14" s="98"/>
      <c r="NJK14" s="98"/>
      <c r="NJL14" s="98"/>
      <c r="NJM14" s="98"/>
      <c r="NJN14" s="98"/>
      <c r="NJO14" s="98"/>
      <c r="NJP14" s="98"/>
      <c r="NJQ14" s="98"/>
      <c r="NJR14" s="98"/>
      <c r="NJS14" s="98"/>
      <c r="NJT14" s="98"/>
      <c r="NJU14" s="98"/>
      <c r="NJV14" s="98"/>
      <c r="NJW14" s="98"/>
      <c r="NJX14" s="98"/>
      <c r="NJY14" s="98"/>
      <c r="NJZ14" s="98"/>
      <c r="NKA14" s="98"/>
      <c r="NKB14" s="98"/>
      <c r="NKC14" s="98"/>
      <c r="NKD14" s="98"/>
      <c r="NKE14" s="98"/>
      <c r="NKF14" s="98"/>
      <c r="NKG14" s="98"/>
      <c r="NKH14" s="98"/>
      <c r="NKI14" s="98"/>
      <c r="NKJ14" s="98"/>
      <c r="NKK14" s="98"/>
      <c r="NKL14" s="98"/>
      <c r="NKM14" s="98"/>
      <c r="NKN14" s="98"/>
      <c r="NKO14" s="98"/>
      <c r="NKP14" s="98"/>
      <c r="NKQ14" s="98"/>
      <c r="NKR14" s="98"/>
      <c r="NKS14" s="98"/>
      <c r="NKT14" s="98"/>
      <c r="NKU14" s="98"/>
      <c r="NKV14" s="98"/>
      <c r="NKW14" s="98"/>
      <c r="NKX14" s="98"/>
      <c r="NKY14" s="98"/>
      <c r="NKZ14" s="98"/>
      <c r="NLA14" s="98"/>
      <c r="NLB14" s="98"/>
      <c r="NLC14" s="98"/>
      <c r="NLD14" s="98"/>
      <c r="NLE14" s="98"/>
      <c r="NLF14" s="98"/>
      <c r="NLG14" s="98"/>
      <c r="NLH14" s="98"/>
      <c r="NLI14" s="98"/>
      <c r="NLJ14" s="98"/>
      <c r="NLK14" s="98"/>
      <c r="NLL14" s="98"/>
      <c r="NLM14" s="98"/>
      <c r="NLN14" s="98"/>
      <c r="NLO14" s="98"/>
      <c r="NLP14" s="98"/>
      <c r="NLQ14" s="98"/>
      <c r="NLR14" s="98"/>
      <c r="NLS14" s="98"/>
      <c r="NLT14" s="98"/>
      <c r="NLU14" s="98"/>
      <c r="NLV14" s="98"/>
      <c r="NLW14" s="98"/>
      <c r="NLX14" s="98"/>
      <c r="NLY14" s="98"/>
      <c r="NLZ14" s="98"/>
      <c r="NMA14" s="98"/>
      <c r="NMB14" s="98"/>
      <c r="NMC14" s="98"/>
      <c r="NMD14" s="98"/>
      <c r="NME14" s="98"/>
      <c r="NMF14" s="98"/>
      <c r="NMG14" s="98"/>
      <c r="NMH14" s="98"/>
      <c r="NMI14" s="98"/>
      <c r="NMJ14" s="98"/>
      <c r="NMK14" s="98"/>
      <c r="NML14" s="98"/>
      <c r="NMM14" s="98"/>
      <c r="NMN14" s="98"/>
      <c r="NMO14" s="98"/>
      <c r="NMP14" s="98"/>
      <c r="NMQ14" s="98"/>
      <c r="NMR14" s="98"/>
      <c r="NMS14" s="98"/>
      <c r="NMT14" s="98"/>
      <c r="NMU14" s="98"/>
      <c r="NMV14" s="98"/>
      <c r="NMW14" s="98"/>
      <c r="NMX14" s="98"/>
      <c r="NMY14" s="98"/>
      <c r="NMZ14" s="98"/>
      <c r="NNA14" s="98"/>
      <c r="NNB14" s="98"/>
      <c r="NNC14" s="98"/>
      <c r="NND14" s="98"/>
      <c r="NNE14" s="98"/>
      <c r="NNF14" s="98"/>
      <c r="NNG14" s="98"/>
      <c r="NNH14" s="98"/>
      <c r="NNI14" s="98"/>
      <c r="NNJ14" s="98"/>
      <c r="NNK14" s="98"/>
      <c r="NNL14" s="98"/>
      <c r="NNM14" s="98"/>
      <c r="NNN14" s="98"/>
      <c r="NNO14" s="98"/>
      <c r="NNP14" s="98"/>
      <c r="NNQ14" s="98"/>
      <c r="NNR14" s="98"/>
      <c r="NNS14" s="98"/>
      <c r="NNT14" s="98"/>
      <c r="NNU14" s="98"/>
      <c r="NNV14" s="98"/>
      <c r="NNW14" s="98"/>
      <c r="NNX14" s="98"/>
      <c r="NNY14" s="98"/>
      <c r="NNZ14" s="98"/>
      <c r="NOA14" s="98"/>
      <c r="NOB14" s="98"/>
      <c r="NOC14" s="98"/>
      <c r="NOD14" s="98"/>
      <c r="NOE14" s="98"/>
      <c r="NOF14" s="98"/>
      <c r="NOG14" s="98"/>
      <c r="NOH14" s="98"/>
      <c r="NOI14" s="98"/>
      <c r="NOJ14" s="98"/>
      <c r="NOK14" s="98"/>
      <c r="NOL14" s="98"/>
      <c r="NOM14" s="98"/>
      <c r="NON14" s="98"/>
      <c r="NOO14" s="98"/>
      <c r="NOP14" s="98"/>
      <c r="NOQ14" s="98"/>
      <c r="NOR14" s="98"/>
      <c r="NOS14" s="98"/>
      <c r="NOT14" s="98"/>
      <c r="NOU14" s="98"/>
      <c r="NOV14" s="98"/>
      <c r="NOW14" s="98"/>
      <c r="NOX14" s="98"/>
      <c r="NOY14" s="98"/>
      <c r="NOZ14" s="98"/>
      <c r="NPA14" s="98"/>
      <c r="NPB14" s="98"/>
      <c r="NPC14" s="98"/>
      <c r="NPD14" s="98"/>
      <c r="NPE14" s="98"/>
      <c r="NPF14" s="98"/>
      <c r="NPG14" s="98"/>
      <c r="NPH14" s="98"/>
      <c r="NPI14" s="98"/>
      <c r="NPJ14" s="98"/>
      <c r="NPK14" s="98"/>
      <c r="NPL14" s="98"/>
      <c r="NPM14" s="98"/>
      <c r="NPN14" s="98"/>
      <c r="NPO14" s="98"/>
      <c r="NPP14" s="98"/>
      <c r="NPQ14" s="98"/>
      <c r="NPR14" s="98"/>
      <c r="NPS14" s="98"/>
      <c r="NPT14" s="98"/>
      <c r="NPU14" s="98"/>
      <c r="NPV14" s="98"/>
      <c r="NPW14" s="98"/>
      <c r="NPX14" s="98"/>
      <c r="NPY14" s="98"/>
      <c r="NPZ14" s="98"/>
      <c r="NQA14" s="98"/>
      <c r="NQB14" s="98"/>
      <c r="NQC14" s="98"/>
      <c r="NQD14" s="98"/>
      <c r="NQE14" s="98"/>
      <c r="NQF14" s="98"/>
      <c r="NQG14" s="98"/>
      <c r="NQH14" s="98"/>
      <c r="NQI14" s="98"/>
      <c r="NQJ14" s="98"/>
      <c r="NQK14" s="98"/>
      <c r="NQL14" s="98"/>
      <c r="NQM14" s="98"/>
      <c r="NQN14" s="98"/>
      <c r="NQO14" s="98"/>
      <c r="NQP14" s="98"/>
      <c r="NQQ14" s="98"/>
      <c r="NQR14" s="98"/>
      <c r="NQS14" s="98"/>
      <c r="NQT14" s="98"/>
      <c r="NQU14" s="98"/>
      <c r="NQV14" s="98"/>
      <c r="NQW14" s="98"/>
      <c r="NQX14" s="98"/>
      <c r="NQY14" s="98"/>
      <c r="NQZ14" s="98"/>
      <c r="NRA14" s="98"/>
      <c r="NRB14" s="98"/>
      <c r="NRC14" s="98"/>
      <c r="NRD14" s="98"/>
      <c r="NRE14" s="98"/>
      <c r="NRF14" s="98"/>
      <c r="NRG14" s="98"/>
      <c r="NRH14" s="98"/>
      <c r="NRI14" s="98"/>
      <c r="NRJ14" s="98"/>
      <c r="NRK14" s="98"/>
      <c r="NRL14" s="98"/>
      <c r="NRM14" s="98"/>
      <c r="NRN14" s="98"/>
      <c r="NRO14" s="98"/>
      <c r="NRP14" s="98"/>
      <c r="NRQ14" s="98"/>
      <c r="NRR14" s="98"/>
      <c r="NRS14" s="98"/>
      <c r="NRT14" s="98"/>
      <c r="NRU14" s="98"/>
      <c r="NRV14" s="98"/>
      <c r="NRW14" s="98"/>
      <c r="NRX14" s="98"/>
      <c r="NRY14" s="98"/>
      <c r="NRZ14" s="98"/>
      <c r="NSA14" s="98"/>
      <c r="NSB14" s="98"/>
      <c r="NSC14" s="98"/>
      <c r="NSD14" s="98"/>
      <c r="NSE14" s="98"/>
      <c r="NSF14" s="98"/>
      <c r="NSG14" s="98"/>
      <c r="NSH14" s="98"/>
      <c r="NSI14" s="98"/>
      <c r="NSJ14" s="98"/>
      <c r="NSK14" s="98"/>
      <c r="NSL14" s="98"/>
      <c r="NSM14" s="98"/>
      <c r="NSN14" s="98"/>
      <c r="NSO14" s="98"/>
      <c r="NSP14" s="98"/>
      <c r="NSQ14" s="98"/>
      <c r="NSR14" s="98"/>
      <c r="NSS14" s="98"/>
      <c r="NST14" s="98"/>
      <c r="NSU14" s="98"/>
      <c r="NSV14" s="98"/>
      <c r="NSW14" s="98"/>
      <c r="NSX14" s="98"/>
      <c r="NSY14" s="98"/>
      <c r="NSZ14" s="98"/>
      <c r="NTA14" s="98"/>
      <c r="NTB14" s="98"/>
      <c r="NTC14" s="98"/>
      <c r="NTD14" s="98"/>
      <c r="NTE14" s="98"/>
      <c r="NTF14" s="98"/>
      <c r="NTG14" s="98"/>
      <c r="NTH14" s="98"/>
      <c r="NTI14" s="98"/>
      <c r="NTJ14" s="98"/>
      <c r="NTK14" s="98"/>
      <c r="NTL14" s="98"/>
      <c r="NTM14" s="98"/>
      <c r="NTN14" s="98"/>
      <c r="NTO14" s="98"/>
      <c r="NTP14" s="98"/>
      <c r="NTQ14" s="98"/>
      <c r="NTR14" s="98"/>
      <c r="NTS14" s="98"/>
      <c r="NTT14" s="98"/>
      <c r="NTU14" s="98"/>
      <c r="NTV14" s="98"/>
      <c r="NTW14" s="98"/>
      <c r="NTX14" s="98"/>
      <c r="NTY14" s="98"/>
      <c r="NTZ14" s="98"/>
      <c r="NUA14" s="98"/>
      <c r="NUB14" s="98"/>
      <c r="NUC14" s="98"/>
      <c r="NUD14" s="98"/>
      <c r="NUE14" s="98"/>
      <c r="NUF14" s="98"/>
      <c r="NUG14" s="98"/>
      <c r="NUH14" s="98"/>
      <c r="NUI14" s="98"/>
      <c r="NUJ14" s="98"/>
      <c r="NUK14" s="98"/>
      <c r="NUL14" s="98"/>
      <c r="NUM14" s="98"/>
      <c r="NUN14" s="98"/>
      <c r="NUO14" s="98"/>
      <c r="NUP14" s="98"/>
      <c r="NUQ14" s="98"/>
      <c r="NUR14" s="98"/>
      <c r="NUS14" s="98"/>
      <c r="NUT14" s="98"/>
      <c r="NUU14" s="98"/>
      <c r="NUV14" s="98"/>
      <c r="NUW14" s="98"/>
      <c r="NUX14" s="98"/>
      <c r="NUY14" s="98"/>
      <c r="NUZ14" s="98"/>
      <c r="NVA14" s="98"/>
      <c r="NVB14" s="98"/>
      <c r="NVC14" s="98"/>
      <c r="NVD14" s="98"/>
      <c r="NVE14" s="98"/>
      <c r="NVF14" s="98"/>
      <c r="NVG14" s="98"/>
      <c r="NVH14" s="98"/>
      <c r="NVI14" s="98"/>
      <c r="NVJ14" s="98"/>
      <c r="NVK14" s="98"/>
      <c r="NVL14" s="98"/>
      <c r="NVM14" s="98"/>
      <c r="NVN14" s="98"/>
      <c r="NVO14" s="98"/>
      <c r="NVP14" s="98"/>
      <c r="NVQ14" s="98"/>
      <c r="NVR14" s="98"/>
      <c r="NVS14" s="98"/>
      <c r="NVT14" s="98"/>
      <c r="NVU14" s="98"/>
      <c r="NVV14" s="98"/>
      <c r="NVW14" s="98"/>
      <c r="NVX14" s="98"/>
      <c r="NVY14" s="98"/>
      <c r="NVZ14" s="98"/>
      <c r="NWA14" s="98"/>
      <c r="NWB14" s="98"/>
      <c r="NWC14" s="98"/>
      <c r="NWD14" s="98"/>
      <c r="NWE14" s="98"/>
      <c r="NWF14" s="98"/>
      <c r="NWG14" s="98"/>
      <c r="NWH14" s="98"/>
      <c r="NWI14" s="98"/>
      <c r="NWJ14" s="98"/>
      <c r="NWK14" s="98"/>
      <c r="NWL14" s="98"/>
      <c r="NWM14" s="98"/>
      <c r="NWN14" s="98"/>
      <c r="NWO14" s="98"/>
      <c r="NWP14" s="98"/>
      <c r="NWQ14" s="98"/>
      <c r="NWR14" s="98"/>
      <c r="NWS14" s="98"/>
      <c r="NWT14" s="98"/>
      <c r="NWU14" s="98"/>
      <c r="NWV14" s="98"/>
      <c r="NWW14" s="98"/>
      <c r="NWX14" s="98"/>
      <c r="NWY14" s="98"/>
      <c r="NWZ14" s="98"/>
      <c r="NXA14" s="98"/>
      <c r="NXB14" s="98"/>
      <c r="NXC14" s="98"/>
      <c r="NXD14" s="98"/>
      <c r="NXE14" s="98"/>
      <c r="NXF14" s="98"/>
      <c r="NXG14" s="98"/>
      <c r="NXH14" s="98"/>
      <c r="NXI14" s="98"/>
      <c r="NXJ14" s="98"/>
      <c r="NXK14" s="98"/>
      <c r="NXL14" s="98"/>
      <c r="NXM14" s="98"/>
      <c r="NXN14" s="98"/>
      <c r="NXO14" s="98"/>
      <c r="NXP14" s="98"/>
      <c r="NXQ14" s="98"/>
      <c r="NXR14" s="98"/>
      <c r="NXS14" s="98"/>
      <c r="NXT14" s="98"/>
      <c r="NXU14" s="98"/>
      <c r="NXV14" s="98"/>
      <c r="NXW14" s="98"/>
      <c r="NXX14" s="98"/>
      <c r="NXY14" s="98"/>
      <c r="NXZ14" s="98"/>
      <c r="NYA14" s="98"/>
      <c r="NYB14" s="98"/>
      <c r="NYC14" s="98"/>
      <c r="NYD14" s="98"/>
      <c r="NYE14" s="98"/>
      <c r="NYF14" s="98"/>
      <c r="NYG14" s="98"/>
      <c r="NYH14" s="98"/>
      <c r="NYI14" s="98"/>
      <c r="NYJ14" s="98"/>
      <c r="NYK14" s="98"/>
      <c r="NYL14" s="98"/>
      <c r="NYM14" s="98"/>
      <c r="NYN14" s="98"/>
      <c r="NYO14" s="98"/>
      <c r="NYP14" s="98"/>
      <c r="NYQ14" s="98"/>
      <c r="NYR14" s="98"/>
      <c r="NYS14" s="98"/>
      <c r="NYT14" s="98"/>
      <c r="NYU14" s="98"/>
      <c r="NYV14" s="98"/>
      <c r="NYW14" s="98"/>
      <c r="NYX14" s="98"/>
      <c r="NYY14" s="98"/>
      <c r="NYZ14" s="98"/>
      <c r="NZA14" s="98"/>
      <c r="NZB14" s="98"/>
      <c r="NZC14" s="98"/>
      <c r="NZD14" s="98"/>
      <c r="NZE14" s="98"/>
      <c r="NZF14" s="98"/>
      <c r="NZG14" s="98"/>
      <c r="NZH14" s="98"/>
      <c r="NZI14" s="98"/>
      <c r="NZJ14" s="98"/>
      <c r="NZK14" s="98"/>
      <c r="NZL14" s="98"/>
      <c r="NZM14" s="98"/>
      <c r="NZN14" s="98"/>
      <c r="NZO14" s="98"/>
      <c r="NZP14" s="98"/>
      <c r="NZQ14" s="98"/>
      <c r="NZR14" s="98"/>
      <c r="NZS14" s="98"/>
      <c r="NZT14" s="98"/>
      <c r="NZU14" s="98"/>
      <c r="NZV14" s="98"/>
      <c r="NZW14" s="98"/>
      <c r="NZX14" s="98"/>
      <c r="NZY14" s="98"/>
      <c r="NZZ14" s="98"/>
      <c r="OAA14" s="98"/>
      <c r="OAB14" s="98"/>
      <c r="OAC14" s="98"/>
      <c r="OAD14" s="98"/>
      <c r="OAE14" s="98"/>
      <c r="OAF14" s="98"/>
      <c r="OAG14" s="98"/>
      <c r="OAH14" s="98"/>
      <c r="OAI14" s="98"/>
      <c r="OAJ14" s="98"/>
      <c r="OAK14" s="98"/>
      <c r="OAL14" s="98"/>
      <c r="OAM14" s="98"/>
      <c r="OAN14" s="98"/>
      <c r="OAO14" s="98"/>
      <c r="OAP14" s="98"/>
      <c r="OAQ14" s="98"/>
      <c r="OAR14" s="98"/>
      <c r="OAS14" s="98"/>
      <c r="OAT14" s="98"/>
      <c r="OAU14" s="98"/>
      <c r="OAV14" s="98"/>
      <c r="OAW14" s="98"/>
      <c r="OAX14" s="98"/>
      <c r="OAY14" s="98"/>
      <c r="OAZ14" s="98"/>
      <c r="OBA14" s="98"/>
      <c r="OBB14" s="98"/>
      <c r="OBC14" s="98"/>
      <c r="OBD14" s="98"/>
      <c r="OBE14" s="98"/>
      <c r="OBF14" s="98"/>
      <c r="OBG14" s="98"/>
      <c r="OBH14" s="98"/>
      <c r="OBI14" s="98"/>
      <c r="OBJ14" s="98"/>
      <c r="OBK14" s="98"/>
      <c r="OBL14" s="98"/>
      <c r="OBM14" s="98"/>
      <c r="OBN14" s="98"/>
      <c r="OBO14" s="98"/>
      <c r="OBP14" s="98"/>
      <c r="OBQ14" s="98"/>
      <c r="OBR14" s="98"/>
      <c r="OBS14" s="98"/>
      <c r="OBT14" s="98"/>
      <c r="OBU14" s="98"/>
      <c r="OBV14" s="98"/>
      <c r="OBW14" s="98"/>
      <c r="OBX14" s="98"/>
      <c r="OBY14" s="98"/>
      <c r="OBZ14" s="98"/>
      <c r="OCA14" s="98"/>
      <c r="OCB14" s="98"/>
      <c r="OCC14" s="98"/>
      <c r="OCD14" s="98"/>
      <c r="OCE14" s="98"/>
      <c r="OCF14" s="98"/>
      <c r="OCG14" s="98"/>
      <c r="OCH14" s="98"/>
      <c r="OCI14" s="98"/>
      <c r="OCJ14" s="98"/>
      <c r="OCK14" s="98"/>
      <c r="OCL14" s="98"/>
      <c r="OCM14" s="98"/>
      <c r="OCN14" s="98"/>
      <c r="OCO14" s="98"/>
      <c r="OCP14" s="98"/>
      <c r="OCQ14" s="98"/>
      <c r="OCR14" s="98"/>
      <c r="OCS14" s="98"/>
      <c r="OCT14" s="98"/>
      <c r="OCU14" s="98"/>
      <c r="OCV14" s="98"/>
      <c r="OCW14" s="98"/>
      <c r="OCX14" s="98"/>
      <c r="OCY14" s="98"/>
      <c r="OCZ14" s="98"/>
      <c r="ODA14" s="98"/>
      <c r="ODB14" s="98"/>
      <c r="ODC14" s="98"/>
      <c r="ODD14" s="98"/>
      <c r="ODE14" s="98"/>
      <c r="ODF14" s="98"/>
      <c r="ODG14" s="98"/>
      <c r="ODH14" s="98"/>
      <c r="ODI14" s="98"/>
      <c r="ODJ14" s="98"/>
      <c r="ODK14" s="98"/>
      <c r="ODL14" s="98"/>
      <c r="ODM14" s="98"/>
      <c r="ODN14" s="98"/>
      <c r="ODO14" s="98"/>
      <c r="ODP14" s="98"/>
      <c r="ODQ14" s="98"/>
      <c r="ODR14" s="98"/>
      <c r="ODS14" s="98"/>
      <c r="ODT14" s="98"/>
      <c r="ODU14" s="98"/>
      <c r="ODV14" s="98"/>
      <c r="ODW14" s="98"/>
      <c r="ODX14" s="98"/>
      <c r="ODY14" s="98"/>
      <c r="ODZ14" s="98"/>
      <c r="OEA14" s="98"/>
      <c r="OEB14" s="98"/>
      <c r="OEC14" s="98"/>
      <c r="OED14" s="98"/>
      <c r="OEE14" s="98"/>
      <c r="OEF14" s="98"/>
      <c r="OEG14" s="98"/>
      <c r="OEH14" s="98"/>
      <c r="OEI14" s="98"/>
      <c r="OEJ14" s="98"/>
      <c r="OEK14" s="98"/>
      <c r="OEL14" s="98"/>
      <c r="OEM14" s="98"/>
      <c r="OEN14" s="98"/>
      <c r="OEO14" s="98"/>
      <c r="OEP14" s="98"/>
      <c r="OEQ14" s="98"/>
      <c r="OER14" s="98"/>
      <c r="OES14" s="98"/>
      <c r="OET14" s="98"/>
      <c r="OEU14" s="98"/>
      <c r="OEV14" s="98"/>
      <c r="OEW14" s="98"/>
      <c r="OEX14" s="98"/>
      <c r="OEY14" s="98"/>
      <c r="OEZ14" s="98"/>
      <c r="OFA14" s="98"/>
      <c r="OFB14" s="98"/>
      <c r="OFC14" s="98"/>
      <c r="OFD14" s="98"/>
      <c r="OFE14" s="98"/>
      <c r="OFF14" s="98"/>
      <c r="OFG14" s="98"/>
      <c r="OFH14" s="98"/>
      <c r="OFI14" s="98"/>
      <c r="OFJ14" s="98"/>
      <c r="OFK14" s="98"/>
      <c r="OFL14" s="98"/>
      <c r="OFM14" s="98"/>
      <c r="OFN14" s="98"/>
      <c r="OFO14" s="98"/>
      <c r="OFP14" s="98"/>
      <c r="OFQ14" s="98"/>
      <c r="OFR14" s="98"/>
      <c r="OFS14" s="98"/>
      <c r="OFT14" s="98"/>
      <c r="OFU14" s="98"/>
      <c r="OFV14" s="98"/>
      <c r="OFW14" s="98"/>
      <c r="OFX14" s="98"/>
      <c r="OFY14" s="98"/>
      <c r="OFZ14" s="98"/>
      <c r="OGA14" s="98"/>
      <c r="OGB14" s="98"/>
      <c r="OGC14" s="98"/>
      <c r="OGD14" s="98"/>
      <c r="OGE14" s="98"/>
      <c r="OGF14" s="98"/>
      <c r="OGG14" s="98"/>
      <c r="OGH14" s="98"/>
      <c r="OGI14" s="98"/>
      <c r="OGJ14" s="98"/>
      <c r="OGK14" s="98"/>
      <c r="OGL14" s="98"/>
      <c r="OGM14" s="98"/>
      <c r="OGN14" s="98"/>
      <c r="OGO14" s="98"/>
      <c r="OGP14" s="98"/>
      <c r="OGQ14" s="98"/>
      <c r="OGR14" s="98"/>
      <c r="OGS14" s="98"/>
      <c r="OGT14" s="98"/>
      <c r="OGU14" s="98"/>
      <c r="OGV14" s="98"/>
      <c r="OGW14" s="98"/>
      <c r="OGX14" s="98"/>
      <c r="OGY14" s="98"/>
      <c r="OGZ14" s="98"/>
      <c r="OHA14" s="98"/>
      <c r="OHB14" s="98"/>
      <c r="OHC14" s="98"/>
      <c r="OHD14" s="98"/>
      <c r="OHE14" s="98"/>
      <c r="OHF14" s="98"/>
      <c r="OHG14" s="98"/>
      <c r="OHH14" s="98"/>
      <c r="OHI14" s="98"/>
      <c r="OHJ14" s="98"/>
      <c r="OHK14" s="98"/>
      <c r="OHL14" s="98"/>
      <c r="OHM14" s="98"/>
      <c r="OHN14" s="98"/>
      <c r="OHO14" s="98"/>
      <c r="OHP14" s="98"/>
      <c r="OHQ14" s="98"/>
      <c r="OHR14" s="98"/>
      <c r="OHS14" s="98"/>
      <c r="OHT14" s="98"/>
      <c r="OHU14" s="98"/>
      <c r="OHV14" s="98"/>
      <c r="OHW14" s="98"/>
      <c r="OHX14" s="98"/>
      <c r="OHY14" s="98"/>
      <c r="OHZ14" s="98"/>
      <c r="OIA14" s="98"/>
      <c r="OIB14" s="98"/>
      <c r="OIC14" s="98"/>
      <c r="OID14" s="98"/>
      <c r="OIE14" s="98"/>
      <c r="OIF14" s="98"/>
      <c r="OIG14" s="98"/>
      <c r="OIH14" s="98"/>
      <c r="OII14" s="98"/>
      <c r="OIJ14" s="98"/>
      <c r="OIK14" s="98"/>
      <c r="OIL14" s="98"/>
      <c r="OIM14" s="98"/>
      <c r="OIN14" s="98"/>
      <c r="OIO14" s="98"/>
      <c r="OIP14" s="98"/>
      <c r="OIQ14" s="98"/>
      <c r="OIR14" s="98"/>
      <c r="OIS14" s="98"/>
      <c r="OIT14" s="98"/>
      <c r="OIU14" s="98"/>
      <c r="OIV14" s="98"/>
      <c r="OIW14" s="98"/>
      <c r="OIX14" s="98"/>
      <c r="OIY14" s="98"/>
      <c r="OIZ14" s="98"/>
      <c r="OJA14" s="98"/>
      <c r="OJB14" s="98"/>
      <c r="OJC14" s="98"/>
      <c r="OJD14" s="98"/>
      <c r="OJE14" s="98"/>
      <c r="OJF14" s="98"/>
      <c r="OJG14" s="98"/>
      <c r="OJH14" s="98"/>
      <c r="OJI14" s="98"/>
      <c r="OJJ14" s="98"/>
      <c r="OJK14" s="98"/>
      <c r="OJL14" s="98"/>
      <c r="OJM14" s="98"/>
      <c r="OJN14" s="98"/>
      <c r="OJO14" s="98"/>
      <c r="OJP14" s="98"/>
      <c r="OJQ14" s="98"/>
      <c r="OJR14" s="98"/>
      <c r="OJS14" s="98"/>
      <c r="OJT14" s="98"/>
      <c r="OJU14" s="98"/>
      <c r="OJV14" s="98"/>
      <c r="OJW14" s="98"/>
      <c r="OJX14" s="98"/>
      <c r="OJY14" s="98"/>
      <c r="OJZ14" s="98"/>
      <c r="OKA14" s="98"/>
      <c r="OKB14" s="98"/>
      <c r="OKC14" s="98"/>
      <c r="OKD14" s="98"/>
      <c r="OKE14" s="98"/>
      <c r="OKF14" s="98"/>
      <c r="OKG14" s="98"/>
      <c r="OKH14" s="98"/>
      <c r="OKI14" s="98"/>
      <c r="OKJ14" s="98"/>
      <c r="OKK14" s="98"/>
      <c r="OKL14" s="98"/>
      <c r="OKM14" s="98"/>
      <c r="OKN14" s="98"/>
      <c r="OKO14" s="98"/>
      <c r="OKP14" s="98"/>
      <c r="OKQ14" s="98"/>
      <c r="OKR14" s="98"/>
      <c r="OKS14" s="98"/>
      <c r="OKT14" s="98"/>
      <c r="OKU14" s="98"/>
      <c r="OKV14" s="98"/>
      <c r="OKW14" s="98"/>
      <c r="OKX14" s="98"/>
      <c r="OKY14" s="98"/>
      <c r="OKZ14" s="98"/>
      <c r="OLA14" s="98"/>
      <c r="OLB14" s="98"/>
      <c r="OLC14" s="98"/>
      <c r="OLD14" s="98"/>
      <c r="OLE14" s="98"/>
      <c r="OLF14" s="98"/>
      <c r="OLG14" s="98"/>
      <c r="OLH14" s="98"/>
      <c r="OLI14" s="98"/>
      <c r="OLJ14" s="98"/>
      <c r="OLK14" s="98"/>
      <c r="OLL14" s="98"/>
      <c r="OLM14" s="98"/>
      <c r="OLN14" s="98"/>
      <c r="OLO14" s="98"/>
      <c r="OLP14" s="98"/>
      <c r="OLQ14" s="98"/>
      <c r="OLR14" s="98"/>
      <c r="OLS14" s="98"/>
      <c r="OLT14" s="98"/>
      <c r="OLU14" s="98"/>
      <c r="OLV14" s="98"/>
      <c r="OLW14" s="98"/>
      <c r="OLX14" s="98"/>
      <c r="OLY14" s="98"/>
      <c r="OLZ14" s="98"/>
      <c r="OMA14" s="98"/>
      <c r="OMB14" s="98"/>
      <c r="OMC14" s="98"/>
      <c r="OMD14" s="98"/>
      <c r="OME14" s="98"/>
      <c r="OMF14" s="98"/>
      <c r="OMG14" s="98"/>
      <c r="OMH14" s="98"/>
      <c r="OMI14" s="98"/>
      <c r="OMJ14" s="98"/>
      <c r="OMK14" s="98"/>
      <c r="OML14" s="98"/>
      <c r="OMM14" s="98"/>
      <c r="OMN14" s="98"/>
      <c r="OMO14" s="98"/>
      <c r="OMP14" s="98"/>
      <c r="OMQ14" s="98"/>
      <c r="OMR14" s="98"/>
      <c r="OMS14" s="98"/>
      <c r="OMT14" s="98"/>
      <c r="OMU14" s="98"/>
      <c r="OMV14" s="98"/>
      <c r="OMW14" s="98"/>
      <c r="OMX14" s="98"/>
      <c r="OMY14" s="98"/>
      <c r="OMZ14" s="98"/>
      <c r="ONA14" s="98"/>
      <c r="ONB14" s="98"/>
      <c r="ONC14" s="98"/>
      <c r="OND14" s="98"/>
      <c r="ONE14" s="98"/>
      <c r="ONF14" s="98"/>
      <c r="ONG14" s="98"/>
      <c r="ONH14" s="98"/>
      <c r="ONI14" s="98"/>
      <c r="ONJ14" s="98"/>
      <c r="ONK14" s="98"/>
      <c r="ONL14" s="98"/>
      <c r="ONM14" s="98"/>
      <c r="ONN14" s="98"/>
      <c r="ONO14" s="98"/>
      <c r="ONP14" s="98"/>
      <c r="ONQ14" s="98"/>
      <c r="ONR14" s="98"/>
      <c r="ONS14" s="98"/>
      <c r="ONT14" s="98"/>
      <c r="ONU14" s="98"/>
      <c r="ONV14" s="98"/>
      <c r="ONW14" s="98"/>
      <c r="ONX14" s="98"/>
      <c r="ONY14" s="98"/>
      <c r="ONZ14" s="98"/>
      <c r="OOA14" s="98"/>
      <c r="OOB14" s="98"/>
      <c r="OOC14" s="98"/>
      <c r="OOD14" s="98"/>
      <c r="OOE14" s="98"/>
      <c r="OOF14" s="98"/>
      <c r="OOG14" s="98"/>
      <c r="OOH14" s="98"/>
      <c r="OOI14" s="98"/>
      <c r="OOJ14" s="98"/>
      <c r="OOK14" s="98"/>
      <c r="OOL14" s="98"/>
      <c r="OOM14" s="98"/>
      <c r="OON14" s="98"/>
      <c r="OOO14" s="98"/>
      <c r="OOP14" s="98"/>
      <c r="OOQ14" s="98"/>
      <c r="OOR14" s="98"/>
      <c r="OOS14" s="98"/>
      <c r="OOT14" s="98"/>
      <c r="OOU14" s="98"/>
      <c r="OOV14" s="98"/>
      <c r="OOW14" s="98"/>
      <c r="OOX14" s="98"/>
      <c r="OOY14" s="98"/>
      <c r="OOZ14" s="98"/>
      <c r="OPA14" s="98"/>
      <c r="OPB14" s="98"/>
      <c r="OPC14" s="98"/>
      <c r="OPD14" s="98"/>
      <c r="OPE14" s="98"/>
      <c r="OPF14" s="98"/>
      <c r="OPG14" s="98"/>
      <c r="OPH14" s="98"/>
      <c r="OPI14" s="98"/>
      <c r="OPJ14" s="98"/>
      <c r="OPK14" s="98"/>
      <c r="OPL14" s="98"/>
      <c r="OPM14" s="98"/>
      <c r="OPN14" s="98"/>
      <c r="OPO14" s="98"/>
      <c r="OPP14" s="98"/>
      <c r="OPQ14" s="98"/>
      <c r="OPR14" s="98"/>
      <c r="OPS14" s="98"/>
      <c r="OPT14" s="98"/>
      <c r="OPU14" s="98"/>
      <c r="OPV14" s="98"/>
      <c r="OPW14" s="98"/>
      <c r="OPX14" s="98"/>
      <c r="OPY14" s="98"/>
      <c r="OPZ14" s="98"/>
      <c r="OQA14" s="98"/>
      <c r="OQB14" s="98"/>
      <c r="OQC14" s="98"/>
      <c r="OQD14" s="98"/>
      <c r="OQE14" s="98"/>
      <c r="OQF14" s="98"/>
      <c r="OQG14" s="98"/>
      <c r="OQH14" s="98"/>
      <c r="OQI14" s="98"/>
      <c r="OQJ14" s="98"/>
      <c r="OQK14" s="98"/>
      <c r="OQL14" s="98"/>
      <c r="OQM14" s="98"/>
      <c r="OQN14" s="98"/>
      <c r="OQO14" s="98"/>
      <c r="OQP14" s="98"/>
      <c r="OQQ14" s="98"/>
      <c r="OQR14" s="98"/>
      <c r="OQS14" s="98"/>
      <c r="OQT14" s="98"/>
      <c r="OQU14" s="98"/>
      <c r="OQV14" s="98"/>
      <c r="OQW14" s="98"/>
      <c r="OQX14" s="98"/>
      <c r="OQY14" s="98"/>
      <c r="OQZ14" s="98"/>
      <c r="ORA14" s="98"/>
      <c r="ORB14" s="98"/>
      <c r="ORC14" s="98"/>
      <c r="ORD14" s="98"/>
      <c r="ORE14" s="98"/>
      <c r="ORF14" s="98"/>
      <c r="ORG14" s="98"/>
      <c r="ORH14" s="98"/>
      <c r="ORI14" s="98"/>
      <c r="ORJ14" s="98"/>
      <c r="ORK14" s="98"/>
      <c r="ORL14" s="98"/>
      <c r="ORM14" s="98"/>
      <c r="ORN14" s="98"/>
      <c r="ORO14" s="98"/>
      <c r="ORP14" s="98"/>
      <c r="ORQ14" s="98"/>
      <c r="ORR14" s="98"/>
      <c r="ORS14" s="98"/>
      <c r="ORT14" s="98"/>
      <c r="ORU14" s="98"/>
      <c r="ORV14" s="98"/>
      <c r="ORW14" s="98"/>
      <c r="ORX14" s="98"/>
      <c r="ORY14" s="98"/>
      <c r="ORZ14" s="98"/>
      <c r="OSA14" s="98"/>
      <c r="OSB14" s="98"/>
      <c r="OSC14" s="98"/>
      <c r="OSD14" s="98"/>
      <c r="OSE14" s="98"/>
      <c r="OSF14" s="98"/>
      <c r="OSG14" s="98"/>
      <c r="OSH14" s="98"/>
      <c r="OSI14" s="98"/>
      <c r="OSJ14" s="98"/>
      <c r="OSK14" s="98"/>
      <c r="OSL14" s="98"/>
      <c r="OSM14" s="98"/>
      <c r="OSN14" s="98"/>
      <c r="OSO14" s="98"/>
      <c r="OSP14" s="98"/>
      <c r="OSQ14" s="98"/>
      <c r="OSR14" s="98"/>
      <c r="OSS14" s="98"/>
      <c r="OST14" s="98"/>
      <c r="OSU14" s="98"/>
      <c r="OSV14" s="98"/>
      <c r="OSW14" s="98"/>
      <c r="OSX14" s="98"/>
      <c r="OSY14" s="98"/>
      <c r="OSZ14" s="98"/>
      <c r="OTA14" s="98"/>
      <c r="OTB14" s="98"/>
      <c r="OTC14" s="98"/>
      <c r="OTD14" s="98"/>
      <c r="OTE14" s="98"/>
      <c r="OTF14" s="98"/>
      <c r="OTG14" s="98"/>
      <c r="OTH14" s="98"/>
      <c r="OTI14" s="98"/>
      <c r="OTJ14" s="98"/>
      <c r="OTK14" s="98"/>
      <c r="OTL14" s="98"/>
      <c r="OTM14" s="98"/>
      <c r="OTN14" s="98"/>
      <c r="OTO14" s="98"/>
      <c r="OTP14" s="98"/>
      <c r="OTQ14" s="98"/>
      <c r="OTR14" s="98"/>
      <c r="OTS14" s="98"/>
      <c r="OTT14" s="98"/>
      <c r="OTU14" s="98"/>
      <c r="OTV14" s="98"/>
      <c r="OTW14" s="98"/>
      <c r="OTX14" s="98"/>
      <c r="OTY14" s="98"/>
      <c r="OTZ14" s="98"/>
      <c r="OUA14" s="98"/>
      <c r="OUB14" s="98"/>
      <c r="OUC14" s="98"/>
      <c r="OUD14" s="98"/>
      <c r="OUE14" s="98"/>
      <c r="OUF14" s="98"/>
      <c r="OUG14" s="98"/>
      <c r="OUH14" s="98"/>
      <c r="OUI14" s="98"/>
      <c r="OUJ14" s="98"/>
      <c r="OUK14" s="98"/>
      <c r="OUL14" s="98"/>
      <c r="OUM14" s="98"/>
      <c r="OUN14" s="98"/>
      <c r="OUO14" s="98"/>
      <c r="OUP14" s="98"/>
      <c r="OUQ14" s="98"/>
      <c r="OUR14" s="98"/>
      <c r="OUS14" s="98"/>
      <c r="OUT14" s="98"/>
      <c r="OUU14" s="98"/>
      <c r="OUV14" s="98"/>
      <c r="OUW14" s="98"/>
      <c r="OUX14" s="98"/>
      <c r="OUY14" s="98"/>
      <c r="OUZ14" s="98"/>
      <c r="OVA14" s="98"/>
      <c r="OVB14" s="98"/>
      <c r="OVC14" s="98"/>
      <c r="OVD14" s="98"/>
      <c r="OVE14" s="98"/>
      <c r="OVF14" s="98"/>
      <c r="OVG14" s="98"/>
      <c r="OVH14" s="98"/>
      <c r="OVI14" s="98"/>
      <c r="OVJ14" s="98"/>
      <c r="OVK14" s="98"/>
      <c r="OVL14" s="98"/>
      <c r="OVM14" s="98"/>
      <c r="OVN14" s="98"/>
      <c r="OVO14" s="98"/>
      <c r="OVP14" s="98"/>
      <c r="OVQ14" s="98"/>
      <c r="OVR14" s="98"/>
      <c r="OVS14" s="98"/>
      <c r="OVT14" s="98"/>
      <c r="OVU14" s="98"/>
      <c r="OVV14" s="98"/>
      <c r="OVW14" s="98"/>
      <c r="OVX14" s="98"/>
      <c r="OVY14" s="98"/>
      <c r="OVZ14" s="98"/>
      <c r="OWA14" s="98"/>
      <c r="OWB14" s="98"/>
      <c r="OWC14" s="98"/>
      <c r="OWD14" s="98"/>
      <c r="OWE14" s="98"/>
      <c r="OWF14" s="98"/>
      <c r="OWG14" s="98"/>
      <c r="OWH14" s="98"/>
      <c r="OWI14" s="98"/>
      <c r="OWJ14" s="98"/>
      <c r="OWK14" s="98"/>
      <c r="OWL14" s="98"/>
      <c r="OWM14" s="98"/>
      <c r="OWN14" s="98"/>
      <c r="OWO14" s="98"/>
      <c r="OWP14" s="98"/>
      <c r="OWQ14" s="98"/>
      <c r="OWR14" s="98"/>
      <c r="OWS14" s="98"/>
      <c r="OWT14" s="98"/>
      <c r="OWU14" s="98"/>
      <c r="OWV14" s="98"/>
      <c r="OWW14" s="98"/>
      <c r="OWX14" s="98"/>
      <c r="OWY14" s="98"/>
      <c r="OWZ14" s="98"/>
      <c r="OXA14" s="98"/>
      <c r="OXB14" s="98"/>
      <c r="OXC14" s="98"/>
      <c r="OXD14" s="98"/>
      <c r="OXE14" s="98"/>
      <c r="OXF14" s="98"/>
      <c r="OXG14" s="98"/>
      <c r="OXH14" s="98"/>
      <c r="OXI14" s="98"/>
      <c r="OXJ14" s="98"/>
      <c r="OXK14" s="98"/>
      <c r="OXL14" s="98"/>
      <c r="OXM14" s="98"/>
      <c r="OXN14" s="98"/>
      <c r="OXO14" s="98"/>
      <c r="OXP14" s="98"/>
      <c r="OXQ14" s="98"/>
      <c r="OXR14" s="98"/>
      <c r="OXS14" s="98"/>
      <c r="OXT14" s="98"/>
      <c r="OXU14" s="98"/>
      <c r="OXV14" s="98"/>
      <c r="OXW14" s="98"/>
      <c r="OXX14" s="98"/>
      <c r="OXY14" s="98"/>
      <c r="OXZ14" s="98"/>
      <c r="OYA14" s="98"/>
      <c r="OYB14" s="98"/>
      <c r="OYC14" s="98"/>
      <c r="OYD14" s="98"/>
      <c r="OYE14" s="98"/>
      <c r="OYF14" s="98"/>
      <c r="OYG14" s="98"/>
      <c r="OYH14" s="98"/>
      <c r="OYI14" s="98"/>
      <c r="OYJ14" s="98"/>
      <c r="OYK14" s="98"/>
      <c r="OYL14" s="98"/>
      <c r="OYM14" s="98"/>
      <c r="OYN14" s="98"/>
      <c r="OYO14" s="98"/>
      <c r="OYP14" s="98"/>
      <c r="OYQ14" s="98"/>
      <c r="OYR14" s="98"/>
      <c r="OYS14" s="98"/>
      <c r="OYT14" s="98"/>
      <c r="OYU14" s="98"/>
      <c r="OYV14" s="98"/>
      <c r="OYW14" s="98"/>
      <c r="OYX14" s="98"/>
      <c r="OYY14" s="98"/>
      <c r="OYZ14" s="98"/>
      <c r="OZA14" s="98"/>
      <c r="OZB14" s="98"/>
      <c r="OZC14" s="98"/>
      <c r="OZD14" s="98"/>
      <c r="OZE14" s="98"/>
      <c r="OZF14" s="98"/>
      <c r="OZG14" s="98"/>
      <c r="OZH14" s="98"/>
      <c r="OZI14" s="98"/>
      <c r="OZJ14" s="98"/>
      <c r="OZK14" s="98"/>
      <c r="OZL14" s="98"/>
      <c r="OZM14" s="98"/>
      <c r="OZN14" s="98"/>
      <c r="OZO14" s="98"/>
      <c r="OZP14" s="98"/>
      <c r="OZQ14" s="98"/>
      <c r="OZR14" s="98"/>
      <c r="OZS14" s="98"/>
      <c r="OZT14" s="98"/>
      <c r="OZU14" s="98"/>
      <c r="OZV14" s="98"/>
      <c r="OZW14" s="98"/>
      <c r="OZX14" s="98"/>
      <c r="OZY14" s="98"/>
      <c r="OZZ14" s="98"/>
      <c r="PAA14" s="98"/>
      <c r="PAB14" s="98"/>
      <c r="PAC14" s="98"/>
      <c r="PAD14" s="98"/>
      <c r="PAE14" s="98"/>
      <c r="PAF14" s="98"/>
      <c r="PAG14" s="98"/>
      <c r="PAH14" s="98"/>
      <c r="PAI14" s="98"/>
      <c r="PAJ14" s="98"/>
      <c r="PAK14" s="98"/>
      <c r="PAL14" s="98"/>
      <c r="PAM14" s="98"/>
      <c r="PAN14" s="98"/>
      <c r="PAO14" s="98"/>
      <c r="PAP14" s="98"/>
      <c r="PAQ14" s="98"/>
      <c r="PAR14" s="98"/>
      <c r="PAS14" s="98"/>
      <c r="PAT14" s="98"/>
      <c r="PAU14" s="98"/>
      <c r="PAV14" s="98"/>
      <c r="PAW14" s="98"/>
      <c r="PAX14" s="98"/>
      <c r="PAY14" s="98"/>
      <c r="PAZ14" s="98"/>
      <c r="PBA14" s="98"/>
      <c r="PBB14" s="98"/>
      <c r="PBC14" s="98"/>
      <c r="PBD14" s="98"/>
      <c r="PBE14" s="98"/>
      <c r="PBF14" s="98"/>
      <c r="PBG14" s="98"/>
      <c r="PBH14" s="98"/>
      <c r="PBI14" s="98"/>
      <c r="PBJ14" s="98"/>
      <c r="PBK14" s="98"/>
      <c r="PBL14" s="98"/>
      <c r="PBM14" s="98"/>
      <c r="PBN14" s="98"/>
      <c r="PBO14" s="98"/>
      <c r="PBP14" s="98"/>
      <c r="PBQ14" s="98"/>
      <c r="PBR14" s="98"/>
      <c r="PBS14" s="98"/>
      <c r="PBT14" s="98"/>
      <c r="PBU14" s="98"/>
      <c r="PBV14" s="98"/>
      <c r="PBW14" s="98"/>
      <c r="PBX14" s="98"/>
      <c r="PBY14" s="98"/>
      <c r="PBZ14" s="98"/>
      <c r="PCA14" s="98"/>
      <c r="PCB14" s="98"/>
      <c r="PCC14" s="98"/>
      <c r="PCD14" s="98"/>
      <c r="PCE14" s="98"/>
      <c r="PCF14" s="98"/>
      <c r="PCG14" s="98"/>
      <c r="PCH14" s="98"/>
      <c r="PCI14" s="98"/>
      <c r="PCJ14" s="98"/>
      <c r="PCK14" s="98"/>
      <c r="PCL14" s="98"/>
      <c r="PCM14" s="98"/>
      <c r="PCN14" s="98"/>
      <c r="PCO14" s="98"/>
      <c r="PCP14" s="98"/>
      <c r="PCQ14" s="98"/>
      <c r="PCR14" s="98"/>
      <c r="PCS14" s="98"/>
      <c r="PCT14" s="98"/>
      <c r="PCU14" s="98"/>
      <c r="PCV14" s="98"/>
      <c r="PCW14" s="98"/>
      <c r="PCX14" s="98"/>
      <c r="PCY14" s="98"/>
      <c r="PCZ14" s="98"/>
      <c r="PDA14" s="98"/>
      <c r="PDB14" s="98"/>
      <c r="PDC14" s="98"/>
      <c r="PDD14" s="98"/>
      <c r="PDE14" s="98"/>
      <c r="PDF14" s="98"/>
      <c r="PDG14" s="98"/>
      <c r="PDH14" s="98"/>
      <c r="PDI14" s="98"/>
      <c r="PDJ14" s="98"/>
      <c r="PDK14" s="98"/>
      <c r="PDL14" s="98"/>
      <c r="PDM14" s="98"/>
      <c r="PDN14" s="98"/>
      <c r="PDO14" s="98"/>
      <c r="PDP14" s="98"/>
      <c r="PDQ14" s="98"/>
      <c r="PDR14" s="98"/>
      <c r="PDS14" s="98"/>
      <c r="PDT14" s="98"/>
      <c r="PDU14" s="98"/>
      <c r="PDV14" s="98"/>
      <c r="PDW14" s="98"/>
      <c r="PDX14" s="98"/>
      <c r="PDY14" s="98"/>
      <c r="PDZ14" s="98"/>
      <c r="PEA14" s="98"/>
      <c r="PEB14" s="98"/>
      <c r="PEC14" s="98"/>
      <c r="PED14" s="98"/>
      <c r="PEE14" s="98"/>
      <c r="PEF14" s="98"/>
      <c r="PEG14" s="98"/>
      <c r="PEH14" s="98"/>
      <c r="PEI14" s="98"/>
      <c r="PEJ14" s="98"/>
      <c r="PEK14" s="98"/>
      <c r="PEL14" s="98"/>
      <c r="PEM14" s="98"/>
      <c r="PEN14" s="98"/>
      <c r="PEO14" s="98"/>
      <c r="PEP14" s="98"/>
      <c r="PEQ14" s="98"/>
      <c r="PER14" s="98"/>
      <c r="PES14" s="98"/>
      <c r="PET14" s="98"/>
      <c r="PEU14" s="98"/>
      <c r="PEV14" s="98"/>
      <c r="PEW14" s="98"/>
      <c r="PEX14" s="98"/>
      <c r="PEY14" s="98"/>
      <c r="PEZ14" s="98"/>
      <c r="PFA14" s="98"/>
      <c r="PFB14" s="98"/>
      <c r="PFC14" s="98"/>
      <c r="PFD14" s="98"/>
      <c r="PFE14" s="98"/>
      <c r="PFF14" s="98"/>
      <c r="PFG14" s="98"/>
      <c r="PFH14" s="98"/>
      <c r="PFI14" s="98"/>
      <c r="PFJ14" s="98"/>
      <c r="PFK14" s="98"/>
      <c r="PFL14" s="98"/>
      <c r="PFM14" s="98"/>
      <c r="PFN14" s="98"/>
      <c r="PFO14" s="98"/>
      <c r="PFP14" s="98"/>
      <c r="PFQ14" s="98"/>
      <c r="PFR14" s="98"/>
      <c r="PFS14" s="98"/>
      <c r="PFT14" s="98"/>
      <c r="PFU14" s="98"/>
      <c r="PFV14" s="98"/>
      <c r="PFW14" s="98"/>
      <c r="PFX14" s="98"/>
      <c r="PFY14" s="98"/>
      <c r="PFZ14" s="98"/>
      <c r="PGA14" s="98"/>
      <c r="PGB14" s="98"/>
      <c r="PGC14" s="98"/>
      <c r="PGD14" s="98"/>
      <c r="PGE14" s="98"/>
      <c r="PGF14" s="98"/>
      <c r="PGG14" s="98"/>
      <c r="PGH14" s="98"/>
      <c r="PGI14" s="98"/>
      <c r="PGJ14" s="98"/>
      <c r="PGK14" s="98"/>
      <c r="PGL14" s="98"/>
      <c r="PGM14" s="98"/>
      <c r="PGN14" s="98"/>
      <c r="PGO14" s="98"/>
      <c r="PGP14" s="98"/>
      <c r="PGQ14" s="98"/>
      <c r="PGR14" s="98"/>
      <c r="PGS14" s="98"/>
      <c r="PGT14" s="98"/>
      <c r="PGU14" s="98"/>
      <c r="PGV14" s="98"/>
      <c r="PGW14" s="98"/>
      <c r="PGX14" s="98"/>
      <c r="PGY14" s="98"/>
      <c r="PGZ14" s="98"/>
      <c r="PHA14" s="98"/>
      <c r="PHB14" s="98"/>
      <c r="PHC14" s="98"/>
      <c r="PHD14" s="98"/>
      <c r="PHE14" s="98"/>
      <c r="PHF14" s="98"/>
      <c r="PHG14" s="98"/>
      <c r="PHH14" s="98"/>
      <c r="PHI14" s="98"/>
      <c r="PHJ14" s="98"/>
      <c r="PHK14" s="98"/>
      <c r="PHL14" s="98"/>
      <c r="PHM14" s="98"/>
      <c r="PHN14" s="98"/>
      <c r="PHO14" s="98"/>
      <c r="PHP14" s="98"/>
      <c r="PHQ14" s="98"/>
      <c r="PHR14" s="98"/>
      <c r="PHS14" s="98"/>
      <c r="PHT14" s="98"/>
      <c r="PHU14" s="98"/>
      <c r="PHV14" s="98"/>
      <c r="PHW14" s="98"/>
      <c r="PHX14" s="98"/>
      <c r="PHY14" s="98"/>
      <c r="PHZ14" s="98"/>
      <c r="PIA14" s="98"/>
      <c r="PIB14" s="98"/>
      <c r="PIC14" s="98"/>
      <c r="PID14" s="98"/>
      <c r="PIE14" s="98"/>
      <c r="PIF14" s="98"/>
      <c r="PIG14" s="98"/>
      <c r="PIH14" s="98"/>
      <c r="PII14" s="98"/>
      <c r="PIJ14" s="98"/>
      <c r="PIK14" s="98"/>
      <c r="PIL14" s="98"/>
      <c r="PIM14" s="98"/>
      <c r="PIN14" s="98"/>
      <c r="PIO14" s="98"/>
      <c r="PIP14" s="98"/>
      <c r="PIQ14" s="98"/>
      <c r="PIR14" s="98"/>
      <c r="PIS14" s="98"/>
      <c r="PIT14" s="98"/>
      <c r="PIU14" s="98"/>
      <c r="PIV14" s="98"/>
      <c r="PIW14" s="98"/>
      <c r="PIX14" s="98"/>
      <c r="PIY14" s="98"/>
      <c r="PIZ14" s="98"/>
      <c r="PJA14" s="98"/>
      <c r="PJB14" s="98"/>
      <c r="PJC14" s="98"/>
      <c r="PJD14" s="98"/>
      <c r="PJE14" s="98"/>
      <c r="PJF14" s="98"/>
      <c r="PJG14" s="98"/>
      <c r="PJH14" s="98"/>
      <c r="PJI14" s="98"/>
      <c r="PJJ14" s="98"/>
      <c r="PJK14" s="98"/>
      <c r="PJL14" s="98"/>
      <c r="PJM14" s="98"/>
      <c r="PJN14" s="98"/>
      <c r="PJO14" s="98"/>
      <c r="PJP14" s="98"/>
      <c r="PJQ14" s="98"/>
      <c r="PJR14" s="98"/>
      <c r="PJS14" s="98"/>
      <c r="PJT14" s="98"/>
      <c r="PJU14" s="98"/>
      <c r="PJV14" s="98"/>
      <c r="PJW14" s="98"/>
      <c r="PJX14" s="98"/>
      <c r="PJY14" s="98"/>
      <c r="PJZ14" s="98"/>
      <c r="PKA14" s="98"/>
      <c r="PKB14" s="98"/>
      <c r="PKC14" s="98"/>
      <c r="PKD14" s="98"/>
      <c r="PKE14" s="98"/>
      <c r="PKF14" s="98"/>
      <c r="PKG14" s="98"/>
      <c r="PKH14" s="98"/>
      <c r="PKI14" s="98"/>
      <c r="PKJ14" s="98"/>
      <c r="PKK14" s="98"/>
      <c r="PKL14" s="98"/>
      <c r="PKM14" s="98"/>
      <c r="PKN14" s="98"/>
      <c r="PKO14" s="98"/>
      <c r="PKP14" s="98"/>
      <c r="PKQ14" s="98"/>
      <c r="PKR14" s="98"/>
      <c r="PKS14" s="98"/>
      <c r="PKT14" s="98"/>
      <c r="PKU14" s="98"/>
      <c r="PKV14" s="98"/>
      <c r="PKW14" s="98"/>
      <c r="PKX14" s="98"/>
      <c r="PKY14" s="98"/>
      <c r="PKZ14" s="98"/>
      <c r="PLA14" s="98"/>
      <c r="PLB14" s="98"/>
      <c r="PLC14" s="98"/>
      <c r="PLD14" s="98"/>
      <c r="PLE14" s="98"/>
      <c r="PLF14" s="98"/>
      <c r="PLG14" s="98"/>
      <c r="PLH14" s="98"/>
      <c r="PLI14" s="98"/>
      <c r="PLJ14" s="98"/>
      <c r="PLK14" s="98"/>
      <c r="PLL14" s="98"/>
      <c r="PLM14" s="98"/>
      <c r="PLN14" s="98"/>
      <c r="PLO14" s="98"/>
      <c r="PLP14" s="98"/>
      <c r="PLQ14" s="98"/>
      <c r="PLR14" s="98"/>
      <c r="PLS14" s="98"/>
      <c r="PLT14" s="98"/>
      <c r="PLU14" s="98"/>
      <c r="PLV14" s="98"/>
      <c r="PLW14" s="98"/>
      <c r="PLX14" s="98"/>
      <c r="PLY14" s="98"/>
      <c r="PLZ14" s="98"/>
      <c r="PMA14" s="98"/>
      <c r="PMB14" s="98"/>
      <c r="PMC14" s="98"/>
      <c r="PMD14" s="98"/>
      <c r="PME14" s="98"/>
      <c r="PMF14" s="98"/>
      <c r="PMG14" s="98"/>
      <c r="PMH14" s="98"/>
      <c r="PMI14" s="98"/>
      <c r="PMJ14" s="98"/>
      <c r="PMK14" s="98"/>
      <c r="PML14" s="98"/>
      <c r="PMM14" s="98"/>
      <c r="PMN14" s="98"/>
      <c r="PMO14" s="98"/>
      <c r="PMP14" s="98"/>
      <c r="PMQ14" s="98"/>
      <c r="PMR14" s="98"/>
      <c r="PMS14" s="98"/>
      <c r="PMT14" s="98"/>
      <c r="PMU14" s="98"/>
      <c r="PMV14" s="98"/>
      <c r="PMW14" s="98"/>
      <c r="PMX14" s="98"/>
      <c r="PMY14" s="98"/>
      <c r="PMZ14" s="98"/>
      <c r="PNA14" s="98"/>
      <c r="PNB14" s="98"/>
      <c r="PNC14" s="98"/>
      <c r="PND14" s="98"/>
      <c r="PNE14" s="98"/>
      <c r="PNF14" s="98"/>
      <c r="PNG14" s="98"/>
      <c r="PNH14" s="98"/>
      <c r="PNI14" s="98"/>
      <c r="PNJ14" s="98"/>
      <c r="PNK14" s="98"/>
      <c r="PNL14" s="98"/>
      <c r="PNM14" s="98"/>
      <c r="PNN14" s="98"/>
      <c r="PNO14" s="98"/>
      <c r="PNP14" s="98"/>
      <c r="PNQ14" s="98"/>
      <c r="PNR14" s="98"/>
      <c r="PNS14" s="98"/>
      <c r="PNT14" s="98"/>
      <c r="PNU14" s="98"/>
      <c r="PNV14" s="98"/>
      <c r="PNW14" s="98"/>
      <c r="PNX14" s="98"/>
      <c r="PNY14" s="98"/>
      <c r="PNZ14" s="98"/>
      <c r="POA14" s="98"/>
      <c r="POB14" s="98"/>
      <c r="POC14" s="98"/>
      <c r="POD14" s="98"/>
      <c r="POE14" s="98"/>
      <c r="POF14" s="98"/>
      <c r="POG14" s="98"/>
      <c r="POH14" s="98"/>
      <c r="POI14" s="98"/>
      <c r="POJ14" s="98"/>
      <c r="POK14" s="98"/>
      <c r="POL14" s="98"/>
      <c r="POM14" s="98"/>
      <c r="PON14" s="98"/>
      <c r="POO14" s="98"/>
      <c r="POP14" s="98"/>
      <c r="POQ14" s="98"/>
      <c r="POR14" s="98"/>
      <c r="POS14" s="98"/>
      <c r="POT14" s="98"/>
      <c r="POU14" s="98"/>
      <c r="POV14" s="98"/>
      <c r="POW14" s="98"/>
      <c r="POX14" s="98"/>
      <c r="POY14" s="98"/>
      <c r="POZ14" s="98"/>
      <c r="PPA14" s="98"/>
      <c r="PPB14" s="98"/>
      <c r="PPC14" s="98"/>
      <c r="PPD14" s="98"/>
      <c r="PPE14" s="98"/>
      <c r="PPF14" s="98"/>
      <c r="PPG14" s="98"/>
      <c r="PPH14" s="98"/>
      <c r="PPI14" s="98"/>
      <c r="PPJ14" s="98"/>
      <c r="PPK14" s="98"/>
      <c r="PPL14" s="98"/>
      <c r="PPM14" s="98"/>
      <c r="PPN14" s="98"/>
      <c r="PPO14" s="98"/>
      <c r="PPP14" s="98"/>
      <c r="PPQ14" s="98"/>
      <c r="PPR14" s="98"/>
      <c r="PPS14" s="98"/>
      <c r="PPT14" s="98"/>
      <c r="PPU14" s="98"/>
      <c r="PPV14" s="98"/>
      <c r="PPW14" s="98"/>
      <c r="PPX14" s="98"/>
      <c r="PPY14" s="98"/>
      <c r="PPZ14" s="98"/>
      <c r="PQA14" s="98"/>
      <c r="PQB14" s="98"/>
      <c r="PQC14" s="98"/>
      <c r="PQD14" s="98"/>
      <c r="PQE14" s="98"/>
      <c r="PQF14" s="98"/>
      <c r="PQG14" s="98"/>
      <c r="PQH14" s="98"/>
      <c r="PQI14" s="98"/>
      <c r="PQJ14" s="98"/>
      <c r="PQK14" s="98"/>
      <c r="PQL14" s="98"/>
      <c r="PQM14" s="98"/>
      <c r="PQN14" s="98"/>
      <c r="PQO14" s="98"/>
      <c r="PQP14" s="98"/>
      <c r="PQQ14" s="98"/>
      <c r="PQR14" s="98"/>
      <c r="PQS14" s="98"/>
      <c r="PQT14" s="98"/>
      <c r="PQU14" s="98"/>
      <c r="PQV14" s="98"/>
      <c r="PQW14" s="98"/>
      <c r="PQX14" s="98"/>
      <c r="PQY14" s="98"/>
      <c r="PQZ14" s="98"/>
      <c r="PRA14" s="98"/>
      <c r="PRB14" s="98"/>
      <c r="PRC14" s="98"/>
      <c r="PRD14" s="98"/>
      <c r="PRE14" s="98"/>
      <c r="PRF14" s="98"/>
      <c r="PRG14" s="98"/>
      <c r="PRH14" s="98"/>
      <c r="PRI14" s="98"/>
      <c r="PRJ14" s="98"/>
      <c r="PRK14" s="98"/>
      <c r="PRL14" s="98"/>
      <c r="PRM14" s="98"/>
      <c r="PRN14" s="98"/>
      <c r="PRO14" s="98"/>
      <c r="PRP14" s="98"/>
      <c r="PRQ14" s="98"/>
      <c r="PRR14" s="98"/>
      <c r="PRS14" s="98"/>
      <c r="PRT14" s="98"/>
      <c r="PRU14" s="98"/>
      <c r="PRV14" s="98"/>
      <c r="PRW14" s="98"/>
      <c r="PRX14" s="98"/>
      <c r="PRY14" s="98"/>
      <c r="PRZ14" s="98"/>
      <c r="PSA14" s="98"/>
      <c r="PSB14" s="98"/>
      <c r="PSC14" s="98"/>
      <c r="PSD14" s="98"/>
      <c r="PSE14" s="98"/>
      <c r="PSF14" s="98"/>
      <c r="PSG14" s="98"/>
      <c r="PSH14" s="98"/>
      <c r="PSI14" s="98"/>
      <c r="PSJ14" s="98"/>
      <c r="PSK14" s="98"/>
      <c r="PSL14" s="98"/>
      <c r="PSM14" s="98"/>
      <c r="PSN14" s="98"/>
      <c r="PSO14" s="98"/>
      <c r="PSP14" s="98"/>
      <c r="PSQ14" s="98"/>
      <c r="PSR14" s="98"/>
      <c r="PSS14" s="98"/>
      <c r="PST14" s="98"/>
      <c r="PSU14" s="98"/>
      <c r="PSV14" s="98"/>
      <c r="PSW14" s="98"/>
      <c r="PSX14" s="98"/>
      <c r="PSY14" s="98"/>
      <c r="PSZ14" s="98"/>
      <c r="PTA14" s="98"/>
      <c r="PTB14" s="98"/>
      <c r="PTC14" s="98"/>
      <c r="PTD14" s="98"/>
      <c r="PTE14" s="98"/>
      <c r="PTF14" s="98"/>
      <c r="PTG14" s="98"/>
      <c r="PTH14" s="98"/>
      <c r="PTI14" s="98"/>
      <c r="PTJ14" s="98"/>
      <c r="PTK14" s="98"/>
      <c r="PTL14" s="98"/>
      <c r="PTM14" s="98"/>
      <c r="PTN14" s="98"/>
      <c r="PTO14" s="98"/>
      <c r="PTP14" s="98"/>
      <c r="PTQ14" s="98"/>
      <c r="PTR14" s="98"/>
      <c r="PTS14" s="98"/>
      <c r="PTT14" s="98"/>
      <c r="PTU14" s="98"/>
      <c r="PTV14" s="98"/>
      <c r="PTW14" s="98"/>
      <c r="PTX14" s="98"/>
      <c r="PTY14" s="98"/>
      <c r="PTZ14" s="98"/>
      <c r="PUA14" s="98"/>
      <c r="PUB14" s="98"/>
      <c r="PUC14" s="98"/>
      <c r="PUD14" s="98"/>
      <c r="PUE14" s="98"/>
      <c r="PUF14" s="98"/>
      <c r="PUG14" s="98"/>
      <c r="PUH14" s="98"/>
      <c r="PUI14" s="98"/>
      <c r="PUJ14" s="98"/>
      <c r="PUK14" s="98"/>
      <c r="PUL14" s="98"/>
      <c r="PUM14" s="98"/>
      <c r="PUN14" s="98"/>
      <c r="PUO14" s="98"/>
      <c r="PUP14" s="98"/>
      <c r="PUQ14" s="98"/>
      <c r="PUR14" s="98"/>
      <c r="PUS14" s="98"/>
      <c r="PUT14" s="98"/>
      <c r="PUU14" s="98"/>
      <c r="PUV14" s="98"/>
      <c r="PUW14" s="98"/>
      <c r="PUX14" s="98"/>
      <c r="PUY14" s="98"/>
      <c r="PUZ14" s="98"/>
      <c r="PVA14" s="98"/>
      <c r="PVB14" s="98"/>
      <c r="PVC14" s="98"/>
      <c r="PVD14" s="98"/>
      <c r="PVE14" s="98"/>
      <c r="PVF14" s="98"/>
      <c r="PVG14" s="98"/>
      <c r="PVH14" s="98"/>
      <c r="PVI14" s="98"/>
      <c r="PVJ14" s="98"/>
      <c r="PVK14" s="98"/>
      <c r="PVL14" s="98"/>
      <c r="PVM14" s="98"/>
      <c r="PVN14" s="98"/>
      <c r="PVO14" s="98"/>
      <c r="PVP14" s="98"/>
      <c r="PVQ14" s="98"/>
      <c r="PVR14" s="98"/>
      <c r="PVS14" s="98"/>
      <c r="PVT14" s="98"/>
      <c r="PVU14" s="98"/>
      <c r="PVV14" s="98"/>
      <c r="PVW14" s="98"/>
      <c r="PVX14" s="98"/>
      <c r="PVY14" s="98"/>
      <c r="PVZ14" s="98"/>
      <c r="PWA14" s="98"/>
      <c r="PWB14" s="98"/>
      <c r="PWC14" s="98"/>
      <c r="PWD14" s="98"/>
      <c r="PWE14" s="98"/>
      <c r="PWF14" s="98"/>
      <c r="PWG14" s="98"/>
      <c r="PWH14" s="98"/>
      <c r="PWI14" s="98"/>
      <c r="PWJ14" s="98"/>
      <c r="PWK14" s="98"/>
      <c r="PWL14" s="98"/>
      <c r="PWM14" s="98"/>
      <c r="PWN14" s="98"/>
      <c r="PWO14" s="98"/>
      <c r="PWP14" s="98"/>
      <c r="PWQ14" s="98"/>
      <c r="PWR14" s="98"/>
      <c r="PWS14" s="98"/>
      <c r="PWT14" s="98"/>
      <c r="PWU14" s="98"/>
      <c r="PWV14" s="98"/>
      <c r="PWW14" s="98"/>
      <c r="PWX14" s="98"/>
      <c r="PWY14" s="98"/>
      <c r="PWZ14" s="98"/>
      <c r="PXA14" s="98"/>
      <c r="PXB14" s="98"/>
      <c r="PXC14" s="98"/>
      <c r="PXD14" s="98"/>
      <c r="PXE14" s="98"/>
      <c r="PXF14" s="98"/>
      <c r="PXG14" s="98"/>
      <c r="PXH14" s="98"/>
      <c r="PXI14" s="98"/>
      <c r="PXJ14" s="98"/>
      <c r="PXK14" s="98"/>
      <c r="PXL14" s="98"/>
      <c r="PXM14" s="98"/>
      <c r="PXN14" s="98"/>
      <c r="PXO14" s="98"/>
      <c r="PXP14" s="98"/>
      <c r="PXQ14" s="98"/>
      <c r="PXR14" s="98"/>
      <c r="PXS14" s="98"/>
      <c r="PXT14" s="98"/>
      <c r="PXU14" s="98"/>
      <c r="PXV14" s="98"/>
      <c r="PXW14" s="98"/>
      <c r="PXX14" s="98"/>
      <c r="PXY14" s="98"/>
      <c r="PXZ14" s="98"/>
      <c r="PYA14" s="98"/>
      <c r="PYB14" s="98"/>
      <c r="PYC14" s="98"/>
      <c r="PYD14" s="98"/>
      <c r="PYE14" s="98"/>
      <c r="PYF14" s="98"/>
      <c r="PYG14" s="98"/>
      <c r="PYH14" s="98"/>
      <c r="PYI14" s="98"/>
      <c r="PYJ14" s="98"/>
      <c r="PYK14" s="98"/>
      <c r="PYL14" s="98"/>
      <c r="PYM14" s="98"/>
      <c r="PYN14" s="98"/>
      <c r="PYO14" s="98"/>
      <c r="PYP14" s="98"/>
      <c r="PYQ14" s="98"/>
      <c r="PYR14" s="98"/>
      <c r="PYS14" s="98"/>
      <c r="PYT14" s="98"/>
      <c r="PYU14" s="98"/>
      <c r="PYV14" s="98"/>
      <c r="PYW14" s="98"/>
      <c r="PYX14" s="98"/>
      <c r="PYY14" s="98"/>
      <c r="PYZ14" s="98"/>
      <c r="PZA14" s="98"/>
      <c r="PZB14" s="98"/>
      <c r="PZC14" s="98"/>
      <c r="PZD14" s="98"/>
      <c r="PZE14" s="98"/>
      <c r="PZF14" s="98"/>
      <c r="PZG14" s="98"/>
      <c r="PZH14" s="98"/>
      <c r="PZI14" s="98"/>
      <c r="PZJ14" s="98"/>
      <c r="PZK14" s="98"/>
      <c r="PZL14" s="98"/>
      <c r="PZM14" s="98"/>
      <c r="PZN14" s="98"/>
      <c r="PZO14" s="98"/>
      <c r="PZP14" s="98"/>
      <c r="PZQ14" s="98"/>
      <c r="PZR14" s="98"/>
      <c r="PZS14" s="98"/>
      <c r="PZT14" s="98"/>
      <c r="PZU14" s="98"/>
      <c r="PZV14" s="98"/>
      <c r="PZW14" s="98"/>
      <c r="PZX14" s="98"/>
      <c r="PZY14" s="98"/>
      <c r="PZZ14" s="98"/>
      <c r="QAA14" s="98"/>
      <c r="QAB14" s="98"/>
      <c r="QAC14" s="98"/>
      <c r="QAD14" s="98"/>
      <c r="QAE14" s="98"/>
      <c r="QAF14" s="98"/>
      <c r="QAG14" s="98"/>
      <c r="QAH14" s="98"/>
      <c r="QAI14" s="98"/>
      <c r="QAJ14" s="98"/>
      <c r="QAK14" s="98"/>
      <c r="QAL14" s="98"/>
      <c r="QAM14" s="98"/>
      <c r="QAN14" s="98"/>
      <c r="QAO14" s="98"/>
      <c r="QAP14" s="98"/>
      <c r="QAQ14" s="98"/>
      <c r="QAR14" s="98"/>
      <c r="QAS14" s="98"/>
      <c r="QAT14" s="98"/>
      <c r="QAU14" s="98"/>
      <c r="QAV14" s="98"/>
      <c r="QAW14" s="98"/>
      <c r="QAX14" s="98"/>
      <c r="QAY14" s="98"/>
      <c r="QAZ14" s="98"/>
      <c r="QBA14" s="98"/>
      <c r="QBB14" s="98"/>
      <c r="QBC14" s="98"/>
      <c r="QBD14" s="98"/>
      <c r="QBE14" s="98"/>
      <c r="QBF14" s="98"/>
      <c r="QBG14" s="98"/>
      <c r="QBH14" s="98"/>
      <c r="QBI14" s="98"/>
      <c r="QBJ14" s="98"/>
      <c r="QBK14" s="98"/>
      <c r="QBL14" s="98"/>
      <c r="QBM14" s="98"/>
      <c r="QBN14" s="98"/>
      <c r="QBO14" s="98"/>
      <c r="QBP14" s="98"/>
      <c r="QBQ14" s="98"/>
      <c r="QBR14" s="98"/>
      <c r="QBS14" s="98"/>
      <c r="QBT14" s="98"/>
      <c r="QBU14" s="98"/>
      <c r="QBV14" s="98"/>
      <c r="QBW14" s="98"/>
      <c r="QBX14" s="98"/>
      <c r="QBY14" s="98"/>
      <c r="QBZ14" s="98"/>
      <c r="QCA14" s="98"/>
      <c r="QCB14" s="98"/>
      <c r="QCC14" s="98"/>
      <c r="QCD14" s="98"/>
      <c r="QCE14" s="98"/>
      <c r="QCF14" s="98"/>
      <c r="QCG14" s="98"/>
      <c r="QCH14" s="98"/>
      <c r="QCI14" s="98"/>
      <c r="QCJ14" s="98"/>
      <c r="QCK14" s="98"/>
      <c r="QCL14" s="98"/>
      <c r="QCM14" s="98"/>
      <c r="QCN14" s="98"/>
      <c r="QCO14" s="98"/>
      <c r="QCP14" s="98"/>
      <c r="QCQ14" s="98"/>
      <c r="QCR14" s="98"/>
      <c r="QCS14" s="98"/>
      <c r="QCT14" s="98"/>
      <c r="QCU14" s="98"/>
      <c r="QCV14" s="98"/>
      <c r="QCW14" s="98"/>
      <c r="QCX14" s="98"/>
      <c r="QCY14" s="98"/>
      <c r="QCZ14" s="98"/>
      <c r="QDA14" s="98"/>
      <c r="QDB14" s="98"/>
      <c r="QDC14" s="98"/>
      <c r="QDD14" s="98"/>
      <c r="QDE14" s="98"/>
      <c r="QDF14" s="98"/>
      <c r="QDG14" s="98"/>
      <c r="QDH14" s="98"/>
      <c r="QDI14" s="98"/>
      <c r="QDJ14" s="98"/>
      <c r="QDK14" s="98"/>
      <c r="QDL14" s="98"/>
      <c r="QDM14" s="98"/>
      <c r="QDN14" s="98"/>
      <c r="QDO14" s="98"/>
      <c r="QDP14" s="98"/>
      <c r="QDQ14" s="98"/>
      <c r="QDR14" s="98"/>
      <c r="QDS14" s="98"/>
      <c r="QDT14" s="98"/>
      <c r="QDU14" s="98"/>
      <c r="QDV14" s="98"/>
      <c r="QDW14" s="98"/>
      <c r="QDX14" s="98"/>
      <c r="QDY14" s="98"/>
      <c r="QDZ14" s="98"/>
      <c r="QEA14" s="98"/>
      <c r="QEB14" s="98"/>
      <c r="QEC14" s="98"/>
      <c r="QED14" s="98"/>
      <c r="QEE14" s="98"/>
      <c r="QEF14" s="98"/>
      <c r="QEG14" s="98"/>
      <c r="QEH14" s="98"/>
      <c r="QEI14" s="98"/>
      <c r="QEJ14" s="98"/>
      <c r="QEK14" s="98"/>
      <c r="QEL14" s="98"/>
      <c r="QEM14" s="98"/>
      <c r="QEN14" s="98"/>
      <c r="QEO14" s="98"/>
      <c r="QEP14" s="98"/>
      <c r="QEQ14" s="98"/>
      <c r="QER14" s="98"/>
      <c r="QES14" s="98"/>
      <c r="QET14" s="98"/>
      <c r="QEU14" s="98"/>
      <c r="QEV14" s="98"/>
      <c r="QEW14" s="98"/>
      <c r="QEX14" s="98"/>
      <c r="QEY14" s="98"/>
      <c r="QEZ14" s="98"/>
      <c r="QFA14" s="98"/>
      <c r="QFB14" s="98"/>
      <c r="QFC14" s="98"/>
      <c r="QFD14" s="98"/>
      <c r="QFE14" s="98"/>
      <c r="QFF14" s="98"/>
      <c r="QFG14" s="98"/>
      <c r="QFH14" s="98"/>
      <c r="QFI14" s="98"/>
      <c r="QFJ14" s="98"/>
      <c r="QFK14" s="98"/>
      <c r="QFL14" s="98"/>
      <c r="QFM14" s="98"/>
      <c r="QFN14" s="98"/>
      <c r="QFO14" s="98"/>
      <c r="QFP14" s="98"/>
      <c r="QFQ14" s="98"/>
      <c r="QFR14" s="98"/>
      <c r="QFS14" s="98"/>
      <c r="QFT14" s="98"/>
      <c r="QFU14" s="98"/>
      <c r="QFV14" s="98"/>
      <c r="QFW14" s="98"/>
      <c r="QFX14" s="98"/>
      <c r="QFY14" s="98"/>
      <c r="QFZ14" s="98"/>
      <c r="QGA14" s="98"/>
      <c r="QGB14" s="98"/>
      <c r="QGC14" s="98"/>
      <c r="QGD14" s="98"/>
      <c r="QGE14" s="98"/>
      <c r="QGF14" s="98"/>
      <c r="QGG14" s="98"/>
      <c r="QGH14" s="98"/>
      <c r="QGI14" s="98"/>
      <c r="QGJ14" s="98"/>
      <c r="QGK14" s="98"/>
      <c r="QGL14" s="98"/>
      <c r="QGM14" s="98"/>
      <c r="QGN14" s="98"/>
      <c r="QGO14" s="98"/>
      <c r="QGP14" s="98"/>
      <c r="QGQ14" s="98"/>
      <c r="QGR14" s="98"/>
      <c r="QGS14" s="98"/>
      <c r="QGT14" s="98"/>
      <c r="QGU14" s="98"/>
      <c r="QGV14" s="98"/>
      <c r="QGW14" s="98"/>
      <c r="QGX14" s="98"/>
      <c r="QGY14" s="98"/>
      <c r="QGZ14" s="98"/>
      <c r="QHA14" s="98"/>
      <c r="QHB14" s="98"/>
      <c r="QHC14" s="98"/>
      <c r="QHD14" s="98"/>
      <c r="QHE14" s="98"/>
      <c r="QHF14" s="98"/>
      <c r="QHG14" s="98"/>
      <c r="QHH14" s="98"/>
      <c r="QHI14" s="98"/>
      <c r="QHJ14" s="98"/>
      <c r="QHK14" s="98"/>
      <c r="QHL14" s="98"/>
      <c r="QHM14" s="98"/>
      <c r="QHN14" s="98"/>
      <c r="QHO14" s="98"/>
      <c r="QHP14" s="98"/>
      <c r="QHQ14" s="98"/>
      <c r="QHR14" s="98"/>
      <c r="QHS14" s="98"/>
      <c r="QHT14" s="98"/>
      <c r="QHU14" s="98"/>
      <c r="QHV14" s="98"/>
      <c r="QHW14" s="98"/>
      <c r="QHX14" s="98"/>
      <c r="QHY14" s="98"/>
      <c r="QHZ14" s="98"/>
      <c r="QIA14" s="98"/>
      <c r="QIB14" s="98"/>
      <c r="QIC14" s="98"/>
      <c r="QID14" s="98"/>
      <c r="QIE14" s="98"/>
      <c r="QIF14" s="98"/>
      <c r="QIG14" s="98"/>
      <c r="QIH14" s="98"/>
      <c r="QII14" s="98"/>
      <c r="QIJ14" s="98"/>
      <c r="QIK14" s="98"/>
      <c r="QIL14" s="98"/>
      <c r="QIM14" s="98"/>
      <c r="QIN14" s="98"/>
      <c r="QIO14" s="98"/>
      <c r="QIP14" s="98"/>
      <c r="QIQ14" s="98"/>
      <c r="QIR14" s="98"/>
      <c r="QIS14" s="98"/>
      <c r="QIT14" s="98"/>
      <c r="QIU14" s="98"/>
      <c r="QIV14" s="98"/>
      <c r="QIW14" s="98"/>
      <c r="QIX14" s="98"/>
      <c r="QIY14" s="98"/>
      <c r="QIZ14" s="98"/>
      <c r="QJA14" s="98"/>
      <c r="QJB14" s="98"/>
      <c r="QJC14" s="98"/>
      <c r="QJD14" s="98"/>
      <c r="QJE14" s="98"/>
      <c r="QJF14" s="98"/>
      <c r="QJG14" s="98"/>
      <c r="QJH14" s="98"/>
      <c r="QJI14" s="98"/>
      <c r="QJJ14" s="98"/>
      <c r="QJK14" s="98"/>
      <c r="QJL14" s="98"/>
      <c r="QJM14" s="98"/>
      <c r="QJN14" s="98"/>
      <c r="QJO14" s="98"/>
      <c r="QJP14" s="98"/>
      <c r="QJQ14" s="98"/>
      <c r="QJR14" s="98"/>
      <c r="QJS14" s="98"/>
      <c r="QJT14" s="98"/>
      <c r="QJU14" s="98"/>
      <c r="QJV14" s="98"/>
      <c r="QJW14" s="98"/>
      <c r="QJX14" s="98"/>
      <c r="QJY14" s="98"/>
      <c r="QJZ14" s="98"/>
      <c r="QKA14" s="98"/>
      <c r="QKB14" s="98"/>
      <c r="QKC14" s="98"/>
      <c r="QKD14" s="98"/>
      <c r="QKE14" s="98"/>
      <c r="QKF14" s="98"/>
      <c r="QKG14" s="98"/>
      <c r="QKH14" s="98"/>
      <c r="QKI14" s="98"/>
      <c r="QKJ14" s="98"/>
      <c r="QKK14" s="98"/>
      <c r="QKL14" s="98"/>
      <c r="QKM14" s="98"/>
      <c r="QKN14" s="98"/>
      <c r="QKO14" s="98"/>
      <c r="QKP14" s="98"/>
      <c r="QKQ14" s="98"/>
      <c r="QKR14" s="98"/>
      <c r="QKS14" s="98"/>
      <c r="QKT14" s="98"/>
      <c r="QKU14" s="98"/>
      <c r="QKV14" s="98"/>
      <c r="QKW14" s="98"/>
      <c r="QKX14" s="98"/>
      <c r="QKY14" s="98"/>
      <c r="QKZ14" s="98"/>
      <c r="QLA14" s="98"/>
      <c r="QLB14" s="98"/>
      <c r="QLC14" s="98"/>
      <c r="QLD14" s="98"/>
      <c r="QLE14" s="98"/>
      <c r="QLF14" s="98"/>
      <c r="QLG14" s="98"/>
      <c r="QLH14" s="98"/>
      <c r="QLI14" s="98"/>
      <c r="QLJ14" s="98"/>
      <c r="QLK14" s="98"/>
      <c r="QLL14" s="98"/>
      <c r="QLM14" s="98"/>
      <c r="QLN14" s="98"/>
      <c r="QLO14" s="98"/>
      <c r="QLP14" s="98"/>
      <c r="QLQ14" s="98"/>
      <c r="QLR14" s="98"/>
      <c r="QLS14" s="98"/>
      <c r="QLT14" s="98"/>
      <c r="QLU14" s="98"/>
      <c r="QLV14" s="98"/>
      <c r="QLW14" s="98"/>
      <c r="QLX14" s="98"/>
      <c r="QLY14" s="98"/>
      <c r="QLZ14" s="98"/>
      <c r="QMA14" s="98"/>
      <c r="QMB14" s="98"/>
      <c r="QMC14" s="98"/>
      <c r="QMD14" s="98"/>
      <c r="QME14" s="98"/>
      <c r="QMF14" s="98"/>
      <c r="QMG14" s="98"/>
      <c r="QMH14" s="98"/>
      <c r="QMI14" s="98"/>
      <c r="QMJ14" s="98"/>
      <c r="QMK14" s="98"/>
      <c r="QML14" s="98"/>
      <c r="QMM14" s="98"/>
      <c r="QMN14" s="98"/>
      <c r="QMO14" s="98"/>
      <c r="QMP14" s="98"/>
      <c r="QMQ14" s="98"/>
      <c r="QMR14" s="98"/>
      <c r="QMS14" s="98"/>
      <c r="QMT14" s="98"/>
      <c r="QMU14" s="98"/>
      <c r="QMV14" s="98"/>
      <c r="QMW14" s="98"/>
      <c r="QMX14" s="98"/>
      <c r="QMY14" s="98"/>
      <c r="QMZ14" s="98"/>
      <c r="QNA14" s="98"/>
      <c r="QNB14" s="98"/>
      <c r="QNC14" s="98"/>
      <c r="QND14" s="98"/>
      <c r="QNE14" s="98"/>
      <c r="QNF14" s="98"/>
      <c r="QNG14" s="98"/>
      <c r="QNH14" s="98"/>
      <c r="QNI14" s="98"/>
      <c r="QNJ14" s="98"/>
      <c r="QNK14" s="98"/>
      <c r="QNL14" s="98"/>
      <c r="QNM14" s="98"/>
      <c r="QNN14" s="98"/>
      <c r="QNO14" s="98"/>
      <c r="QNP14" s="98"/>
      <c r="QNQ14" s="98"/>
      <c r="QNR14" s="98"/>
      <c r="QNS14" s="98"/>
      <c r="QNT14" s="98"/>
      <c r="QNU14" s="98"/>
      <c r="QNV14" s="98"/>
      <c r="QNW14" s="98"/>
      <c r="QNX14" s="98"/>
      <c r="QNY14" s="98"/>
      <c r="QNZ14" s="98"/>
      <c r="QOA14" s="98"/>
      <c r="QOB14" s="98"/>
      <c r="QOC14" s="98"/>
      <c r="QOD14" s="98"/>
      <c r="QOE14" s="98"/>
      <c r="QOF14" s="98"/>
      <c r="QOG14" s="98"/>
      <c r="QOH14" s="98"/>
      <c r="QOI14" s="98"/>
      <c r="QOJ14" s="98"/>
      <c r="QOK14" s="98"/>
      <c r="QOL14" s="98"/>
      <c r="QOM14" s="98"/>
      <c r="QON14" s="98"/>
      <c r="QOO14" s="98"/>
      <c r="QOP14" s="98"/>
      <c r="QOQ14" s="98"/>
      <c r="QOR14" s="98"/>
      <c r="QOS14" s="98"/>
      <c r="QOT14" s="98"/>
      <c r="QOU14" s="98"/>
      <c r="QOV14" s="98"/>
      <c r="QOW14" s="98"/>
      <c r="QOX14" s="98"/>
      <c r="QOY14" s="98"/>
      <c r="QOZ14" s="98"/>
      <c r="QPA14" s="98"/>
      <c r="QPB14" s="98"/>
      <c r="QPC14" s="98"/>
      <c r="QPD14" s="98"/>
      <c r="QPE14" s="98"/>
      <c r="QPF14" s="98"/>
      <c r="QPG14" s="98"/>
      <c r="QPH14" s="98"/>
      <c r="QPI14" s="98"/>
      <c r="QPJ14" s="98"/>
      <c r="QPK14" s="98"/>
      <c r="QPL14" s="98"/>
      <c r="QPM14" s="98"/>
      <c r="QPN14" s="98"/>
      <c r="QPO14" s="98"/>
      <c r="QPP14" s="98"/>
      <c r="QPQ14" s="98"/>
      <c r="QPR14" s="98"/>
      <c r="QPS14" s="98"/>
      <c r="QPT14" s="98"/>
      <c r="QPU14" s="98"/>
      <c r="QPV14" s="98"/>
      <c r="QPW14" s="98"/>
      <c r="QPX14" s="98"/>
      <c r="QPY14" s="98"/>
      <c r="QPZ14" s="98"/>
      <c r="QQA14" s="98"/>
      <c r="QQB14" s="98"/>
      <c r="QQC14" s="98"/>
      <c r="QQD14" s="98"/>
      <c r="QQE14" s="98"/>
      <c r="QQF14" s="98"/>
      <c r="QQG14" s="98"/>
      <c r="QQH14" s="98"/>
      <c r="QQI14" s="98"/>
      <c r="QQJ14" s="98"/>
      <c r="QQK14" s="98"/>
      <c r="QQL14" s="98"/>
      <c r="QQM14" s="98"/>
      <c r="QQN14" s="98"/>
      <c r="QQO14" s="98"/>
      <c r="QQP14" s="98"/>
      <c r="QQQ14" s="98"/>
      <c r="QQR14" s="98"/>
      <c r="QQS14" s="98"/>
      <c r="QQT14" s="98"/>
      <c r="QQU14" s="98"/>
      <c r="QQV14" s="98"/>
      <c r="QQW14" s="98"/>
      <c r="QQX14" s="98"/>
      <c r="QQY14" s="98"/>
      <c r="QQZ14" s="98"/>
      <c r="QRA14" s="98"/>
      <c r="QRB14" s="98"/>
      <c r="QRC14" s="98"/>
      <c r="QRD14" s="98"/>
      <c r="QRE14" s="98"/>
      <c r="QRF14" s="98"/>
      <c r="QRG14" s="98"/>
      <c r="QRH14" s="98"/>
      <c r="QRI14" s="98"/>
      <c r="QRJ14" s="98"/>
      <c r="QRK14" s="98"/>
      <c r="QRL14" s="98"/>
      <c r="QRM14" s="98"/>
      <c r="QRN14" s="98"/>
      <c r="QRO14" s="98"/>
      <c r="QRP14" s="98"/>
      <c r="QRQ14" s="98"/>
      <c r="QRR14" s="98"/>
      <c r="QRS14" s="98"/>
      <c r="QRT14" s="98"/>
      <c r="QRU14" s="98"/>
      <c r="QRV14" s="98"/>
      <c r="QRW14" s="98"/>
      <c r="QRX14" s="98"/>
      <c r="QRY14" s="98"/>
      <c r="QRZ14" s="98"/>
      <c r="QSA14" s="98"/>
      <c r="QSB14" s="98"/>
      <c r="QSC14" s="98"/>
      <c r="QSD14" s="98"/>
      <c r="QSE14" s="98"/>
      <c r="QSF14" s="98"/>
      <c r="QSG14" s="98"/>
      <c r="QSH14" s="98"/>
      <c r="QSI14" s="98"/>
      <c r="QSJ14" s="98"/>
      <c r="QSK14" s="98"/>
      <c r="QSL14" s="98"/>
      <c r="QSM14" s="98"/>
      <c r="QSN14" s="98"/>
      <c r="QSO14" s="98"/>
      <c r="QSP14" s="98"/>
      <c r="QSQ14" s="98"/>
      <c r="QSR14" s="98"/>
      <c r="QSS14" s="98"/>
      <c r="QST14" s="98"/>
      <c r="QSU14" s="98"/>
      <c r="QSV14" s="98"/>
      <c r="QSW14" s="98"/>
      <c r="QSX14" s="98"/>
      <c r="QSY14" s="98"/>
      <c r="QSZ14" s="98"/>
      <c r="QTA14" s="98"/>
      <c r="QTB14" s="98"/>
      <c r="QTC14" s="98"/>
      <c r="QTD14" s="98"/>
      <c r="QTE14" s="98"/>
      <c r="QTF14" s="98"/>
      <c r="QTG14" s="98"/>
      <c r="QTH14" s="98"/>
      <c r="QTI14" s="98"/>
      <c r="QTJ14" s="98"/>
      <c r="QTK14" s="98"/>
      <c r="QTL14" s="98"/>
      <c r="QTM14" s="98"/>
      <c r="QTN14" s="98"/>
      <c r="QTO14" s="98"/>
      <c r="QTP14" s="98"/>
      <c r="QTQ14" s="98"/>
      <c r="QTR14" s="98"/>
      <c r="QTS14" s="98"/>
      <c r="QTT14" s="98"/>
      <c r="QTU14" s="98"/>
      <c r="QTV14" s="98"/>
      <c r="QTW14" s="98"/>
      <c r="QTX14" s="98"/>
      <c r="QTY14" s="98"/>
      <c r="QTZ14" s="98"/>
      <c r="QUA14" s="98"/>
      <c r="QUB14" s="98"/>
      <c r="QUC14" s="98"/>
      <c r="QUD14" s="98"/>
      <c r="QUE14" s="98"/>
      <c r="QUF14" s="98"/>
      <c r="QUG14" s="98"/>
      <c r="QUH14" s="98"/>
      <c r="QUI14" s="98"/>
      <c r="QUJ14" s="98"/>
      <c r="QUK14" s="98"/>
      <c r="QUL14" s="98"/>
      <c r="QUM14" s="98"/>
      <c r="QUN14" s="98"/>
      <c r="QUO14" s="98"/>
      <c r="QUP14" s="98"/>
      <c r="QUQ14" s="98"/>
      <c r="QUR14" s="98"/>
      <c r="QUS14" s="98"/>
      <c r="QUT14" s="98"/>
      <c r="QUU14" s="98"/>
      <c r="QUV14" s="98"/>
      <c r="QUW14" s="98"/>
      <c r="QUX14" s="98"/>
      <c r="QUY14" s="98"/>
      <c r="QUZ14" s="98"/>
      <c r="QVA14" s="98"/>
      <c r="QVB14" s="98"/>
      <c r="QVC14" s="98"/>
      <c r="QVD14" s="98"/>
      <c r="QVE14" s="98"/>
      <c r="QVF14" s="98"/>
      <c r="QVG14" s="98"/>
      <c r="QVH14" s="98"/>
      <c r="QVI14" s="98"/>
      <c r="QVJ14" s="98"/>
      <c r="QVK14" s="98"/>
      <c r="QVL14" s="98"/>
      <c r="QVM14" s="98"/>
      <c r="QVN14" s="98"/>
      <c r="QVO14" s="98"/>
      <c r="QVP14" s="98"/>
      <c r="QVQ14" s="98"/>
      <c r="QVR14" s="98"/>
      <c r="QVS14" s="98"/>
      <c r="QVT14" s="98"/>
      <c r="QVU14" s="98"/>
      <c r="QVV14" s="98"/>
      <c r="QVW14" s="98"/>
      <c r="QVX14" s="98"/>
      <c r="QVY14" s="98"/>
      <c r="QVZ14" s="98"/>
      <c r="QWA14" s="98"/>
      <c r="QWB14" s="98"/>
      <c r="QWC14" s="98"/>
      <c r="QWD14" s="98"/>
      <c r="QWE14" s="98"/>
      <c r="QWF14" s="98"/>
      <c r="QWG14" s="98"/>
      <c r="QWH14" s="98"/>
      <c r="QWI14" s="98"/>
      <c r="QWJ14" s="98"/>
      <c r="QWK14" s="98"/>
      <c r="QWL14" s="98"/>
      <c r="QWM14" s="98"/>
      <c r="QWN14" s="98"/>
      <c r="QWO14" s="98"/>
      <c r="QWP14" s="98"/>
      <c r="QWQ14" s="98"/>
      <c r="QWR14" s="98"/>
      <c r="QWS14" s="98"/>
      <c r="QWT14" s="98"/>
      <c r="QWU14" s="98"/>
      <c r="QWV14" s="98"/>
      <c r="QWW14" s="98"/>
      <c r="QWX14" s="98"/>
      <c r="QWY14" s="98"/>
      <c r="QWZ14" s="98"/>
      <c r="QXA14" s="98"/>
      <c r="QXB14" s="98"/>
      <c r="QXC14" s="98"/>
      <c r="QXD14" s="98"/>
      <c r="QXE14" s="98"/>
      <c r="QXF14" s="98"/>
      <c r="QXG14" s="98"/>
      <c r="QXH14" s="98"/>
      <c r="QXI14" s="98"/>
      <c r="QXJ14" s="98"/>
      <c r="QXK14" s="98"/>
      <c r="QXL14" s="98"/>
      <c r="QXM14" s="98"/>
      <c r="QXN14" s="98"/>
      <c r="QXO14" s="98"/>
      <c r="QXP14" s="98"/>
      <c r="QXQ14" s="98"/>
      <c r="QXR14" s="98"/>
      <c r="QXS14" s="98"/>
      <c r="QXT14" s="98"/>
      <c r="QXU14" s="98"/>
      <c r="QXV14" s="98"/>
      <c r="QXW14" s="98"/>
      <c r="QXX14" s="98"/>
      <c r="QXY14" s="98"/>
      <c r="QXZ14" s="98"/>
      <c r="QYA14" s="98"/>
      <c r="QYB14" s="98"/>
      <c r="QYC14" s="98"/>
      <c r="QYD14" s="98"/>
      <c r="QYE14" s="98"/>
      <c r="QYF14" s="98"/>
      <c r="QYG14" s="98"/>
      <c r="QYH14" s="98"/>
      <c r="QYI14" s="98"/>
      <c r="QYJ14" s="98"/>
      <c r="QYK14" s="98"/>
      <c r="QYL14" s="98"/>
      <c r="QYM14" s="98"/>
      <c r="QYN14" s="98"/>
      <c r="QYO14" s="98"/>
      <c r="QYP14" s="98"/>
      <c r="QYQ14" s="98"/>
      <c r="QYR14" s="98"/>
      <c r="QYS14" s="98"/>
      <c r="QYT14" s="98"/>
      <c r="QYU14" s="98"/>
      <c r="QYV14" s="98"/>
      <c r="QYW14" s="98"/>
      <c r="QYX14" s="98"/>
      <c r="QYY14" s="98"/>
      <c r="QYZ14" s="98"/>
      <c r="QZA14" s="98"/>
      <c r="QZB14" s="98"/>
      <c r="QZC14" s="98"/>
      <c r="QZD14" s="98"/>
      <c r="QZE14" s="98"/>
      <c r="QZF14" s="98"/>
      <c r="QZG14" s="98"/>
      <c r="QZH14" s="98"/>
      <c r="QZI14" s="98"/>
      <c r="QZJ14" s="98"/>
      <c r="QZK14" s="98"/>
      <c r="QZL14" s="98"/>
      <c r="QZM14" s="98"/>
      <c r="QZN14" s="98"/>
      <c r="QZO14" s="98"/>
      <c r="QZP14" s="98"/>
      <c r="QZQ14" s="98"/>
      <c r="QZR14" s="98"/>
      <c r="QZS14" s="98"/>
      <c r="QZT14" s="98"/>
      <c r="QZU14" s="98"/>
      <c r="QZV14" s="98"/>
      <c r="QZW14" s="98"/>
      <c r="QZX14" s="98"/>
      <c r="QZY14" s="98"/>
      <c r="QZZ14" s="98"/>
      <c r="RAA14" s="98"/>
      <c r="RAB14" s="98"/>
      <c r="RAC14" s="98"/>
      <c r="RAD14" s="98"/>
      <c r="RAE14" s="98"/>
      <c r="RAF14" s="98"/>
      <c r="RAG14" s="98"/>
      <c r="RAH14" s="98"/>
      <c r="RAI14" s="98"/>
      <c r="RAJ14" s="98"/>
      <c r="RAK14" s="98"/>
      <c r="RAL14" s="98"/>
      <c r="RAM14" s="98"/>
      <c r="RAN14" s="98"/>
      <c r="RAO14" s="98"/>
      <c r="RAP14" s="98"/>
      <c r="RAQ14" s="98"/>
      <c r="RAR14" s="98"/>
      <c r="RAS14" s="98"/>
      <c r="RAT14" s="98"/>
      <c r="RAU14" s="98"/>
      <c r="RAV14" s="98"/>
      <c r="RAW14" s="98"/>
      <c r="RAX14" s="98"/>
      <c r="RAY14" s="98"/>
      <c r="RAZ14" s="98"/>
      <c r="RBA14" s="98"/>
      <c r="RBB14" s="98"/>
      <c r="RBC14" s="98"/>
      <c r="RBD14" s="98"/>
      <c r="RBE14" s="98"/>
      <c r="RBF14" s="98"/>
      <c r="RBG14" s="98"/>
      <c r="RBH14" s="98"/>
      <c r="RBI14" s="98"/>
      <c r="RBJ14" s="98"/>
      <c r="RBK14" s="98"/>
      <c r="RBL14" s="98"/>
      <c r="RBM14" s="98"/>
      <c r="RBN14" s="98"/>
      <c r="RBO14" s="98"/>
      <c r="RBP14" s="98"/>
      <c r="RBQ14" s="98"/>
      <c r="RBR14" s="98"/>
      <c r="RBS14" s="98"/>
      <c r="RBT14" s="98"/>
      <c r="RBU14" s="98"/>
      <c r="RBV14" s="98"/>
      <c r="RBW14" s="98"/>
      <c r="RBX14" s="98"/>
      <c r="RBY14" s="98"/>
      <c r="RBZ14" s="98"/>
      <c r="RCA14" s="98"/>
      <c r="RCB14" s="98"/>
      <c r="RCC14" s="98"/>
      <c r="RCD14" s="98"/>
      <c r="RCE14" s="98"/>
      <c r="RCF14" s="98"/>
      <c r="RCG14" s="98"/>
      <c r="RCH14" s="98"/>
      <c r="RCI14" s="98"/>
      <c r="RCJ14" s="98"/>
      <c r="RCK14" s="98"/>
      <c r="RCL14" s="98"/>
      <c r="RCM14" s="98"/>
      <c r="RCN14" s="98"/>
      <c r="RCO14" s="98"/>
      <c r="RCP14" s="98"/>
      <c r="RCQ14" s="98"/>
      <c r="RCR14" s="98"/>
      <c r="RCS14" s="98"/>
      <c r="RCT14" s="98"/>
      <c r="RCU14" s="98"/>
      <c r="RCV14" s="98"/>
      <c r="RCW14" s="98"/>
      <c r="RCX14" s="98"/>
      <c r="RCY14" s="98"/>
      <c r="RCZ14" s="98"/>
      <c r="RDA14" s="98"/>
      <c r="RDB14" s="98"/>
      <c r="RDC14" s="98"/>
      <c r="RDD14" s="98"/>
      <c r="RDE14" s="98"/>
      <c r="RDF14" s="98"/>
      <c r="RDG14" s="98"/>
      <c r="RDH14" s="98"/>
      <c r="RDI14" s="98"/>
      <c r="RDJ14" s="98"/>
      <c r="RDK14" s="98"/>
      <c r="RDL14" s="98"/>
      <c r="RDM14" s="98"/>
      <c r="RDN14" s="98"/>
      <c r="RDO14" s="98"/>
      <c r="RDP14" s="98"/>
      <c r="RDQ14" s="98"/>
      <c r="RDR14" s="98"/>
      <c r="RDS14" s="98"/>
      <c r="RDT14" s="98"/>
      <c r="RDU14" s="98"/>
      <c r="RDV14" s="98"/>
      <c r="RDW14" s="98"/>
      <c r="RDX14" s="98"/>
      <c r="RDY14" s="98"/>
      <c r="RDZ14" s="98"/>
      <c r="REA14" s="98"/>
      <c r="REB14" s="98"/>
      <c r="REC14" s="98"/>
      <c r="RED14" s="98"/>
      <c r="REE14" s="98"/>
      <c r="REF14" s="98"/>
      <c r="REG14" s="98"/>
      <c r="REH14" s="98"/>
      <c r="REI14" s="98"/>
      <c r="REJ14" s="98"/>
      <c r="REK14" s="98"/>
      <c r="REL14" s="98"/>
      <c r="REM14" s="98"/>
      <c r="REN14" s="98"/>
      <c r="REO14" s="98"/>
      <c r="REP14" s="98"/>
      <c r="REQ14" s="98"/>
      <c r="RER14" s="98"/>
      <c r="RES14" s="98"/>
      <c r="RET14" s="98"/>
      <c r="REU14" s="98"/>
      <c r="REV14" s="98"/>
      <c r="REW14" s="98"/>
      <c r="REX14" s="98"/>
      <c r="REY14" s="98"/>
      <c r="REZ14" s="98"/>
      <c r="RFA14" s="98"/>
      <c r="RFB14" s="98"/>
      <c r="RFC14" s="98"/>
      <c r="RFD14" s="98"/>
      <c r="RFE14" s="98"/>
      <c r="RFF14" s="98"/>
      <c r="RFG14" s="98"/>
      <c r="RFH14" s="98"/>
      <c r="RFI14" s="98"/>
      <c r="RFJ14" s="98"/>
      <c r="RFK14" s="98"/>
      <c r="RFL14" s="98"/>
      <c r="RFM14" s="98"/>
      <c r="RFN14" s="98"/>
      <c r="RFO14" s="98"/>
      <c r="RFP14" s="98"/>
      <c r="RFQ14" s="98"/>
      <c r="RFR14" s="98"/>
      <c r="RFS14" s="98"/>
      <c r="RFT14" s="98"/>
      <c r="RFU14" s="98"/>
      <c r="RFV14" s="98"/>
      <c r="RFW14" s="98"/>
      <c r="RFX14" s="98"/>
      <c r="RFY14" s="98"/>
      <c r="RFZ14" s="98"/>
      <c r="RGA14" s="98"/>
      <c r="RGB14" s="98"/>
      <c r="RGC14" s="98"/>
      <c r="RGD14" s="98"/>
      <c r="RGE14" s="98"/>
      <c r="RGF14" s="98"/>
      <c r="RGG14" s="98"/>
      <c r="RGH14" s="98"/>
      <c r="RGI14" s="98"/>
      <c r="RGJ14" s="98"/>
      <c r="RGK14" s="98"/>
      <c r="RGL14" s="98"/>
      <c r="RGM14" s="98"/>
      <c r="RGN14" s="98"/>
      <c r="RGO14" s="98"/>
      <c r="RGP14" s="98"/>
      <c r="RGQ14" s="98"/>
      <c r="RGR14" s="98"/>
      <c r="RGS14" s="98"/>
      <c r="RGT14" s="98"/>
      <c r="RGU14" s="98"/>
      <c r="RGV14" s="98"/>
      <c r="RGW14" s="98"/>
      <c r="RGX14" s="98"/>
      <c r="RGY14" s="98"/>
      <c r="RGZ14" s="98"/>
      <c r="RHA14" s="98"/>
      <c r="RHB14" s="98"/>
      <c r="RHC14" s="98"/>
      <c r="RHD14" s="98"/>
      <c r="RHE14" s="98"/>
      <c r="RHF14" s="98"/>
      <c r="RHG14" s="98"/>
      <c r="RHH14" s="98"/>
      <c r="RHI14" s="98"/>
      <c r="RHJ14" s="98"/>
      <c r="RHK14" s="98"/>
      <c r="RHL14" s="98"/>
      <c r="RHM14" s="98"/>
      <c r="RHN14" s="98"/>
      <c r="RHO14" s="98"/>
      <c r="RHP14" s="98"/>
      <c r="RHQ14" s="98"/>
      <c r="RHR14" s="98"/>
      <c r="RHS14" s="98"/>
      <c r="RHT14" s="98"/>
      <c r="RHU14" s="98"/>
      <c r="RHV14" s="98"/>
      <c r="RHW14" s="98"/>
      <c r="RHX14" s="98"/>
      <c r="RHY14" s="98"/>
      <c r="RHZ14" s="98"/>
      <c r="RIA14" s="98"/>
      <c r="RIB14" s="98"/>
      <c r="RIC14" s="98"/>
      <c r="RID14" s="98"/>
      <c r="RIE14" s="98"/>
      <c r="RIF14" s="98"/>
      <c r="RIG14" s="98"/>
      <c r="RIH14" s="98"/>
      <c r="RII14" s="98"/>
      <c r="RIJ14" s="98"/>
      <c r="RIK14" s="98"/>
      <c r="RIL14" s="98"/>
      <c r="RIM14" s="98"/>
      <c r="RIN14" s="98"/>
      <c r="RIO14" s="98"/>
      <c r="RIP14" s="98"/>
      <c r="RIQ14" s="98"/>
      <c r="RIR14" s="98"/>
      <c r="RIS14" s="98"/>
      <c r="RIT14" s="98"/>
      <c r="RIU14" s="98"/>
      <c r="RIV14" s="98"/>
      <c r="RIW14" s="98"/>
      <c r="RIX14" s="98"/>
      <c r="RIY14" s="98"/>
      <c r="RIZ14" s="98"/>
      <c r="RJA14" s="98"/>
      <c r="RJB14" s="98"/>
      <c r="RJC14" s="98"/>
      <c r="RJD14" s="98"/>
      <c r="RJE14" s="98"/>
      <c r="RJF14" s="98"/>
      <c r="RJG14" s="98"/>
      <c r="RJH14" s="98"/>
      <c r="RJI14" s="98"/>
      <c r="RJJ14" s="98"/>
      <c r="RJK14" s="98"/>
      <c r="RJL14" s="98"/>
      <c r="RJM14" s="98"/>
      <c r="RJN14" s="98"/>
      <c r="RJO14" s="98"/>
      <c r="RJP14" s="98"/>
      <c r="RJQ14" s="98"/>
      <c r="RJR14" s="98"/>
      <c r="RJS14" s="98"/>
      <c r="RJT14" s="98"/>
      <c r="RJU14" s="98"/>
      <c r="RJV14" s="98"/>
      <c r="RJW14" s="98"/>
      <c r="RJX14" s="98"/>
      <c r="RJY14" s="98"/>
      <c r="RJZ14" s="98"/>
      <c r="RKA14" s="98"/>
      <c r="RKB14" s="98"/>
      <c r="RKC14" s="98"/>
      <c r="RKD14" s="98"/>
      <c r="RKE14" s="98"/>
      <c r="RKF14" s="98"/>
      <c r="RKG14" s="98"/>
      <c r="RKH14" s="98"/>
      <c r="RKI14" s="98"/>
      <c r="RKJ14" s="98"/>
      <c r="RKK14" s="98"/>
      <c r="RKL14" s="98"/>
      <c r="RKM14" s="98"/>
      <c r="RKN14" s="98"/>
      <c r="RKO14" s="98"/>
      <c r="RKP14" s="98"/>
      <c r="RKQ14" s="98"/>
      <c r="RKR14" s="98"/>
      <c r="RKS14" s="98"/>
      <c r="RKT14" s="98"/>
      <c r="RKU14" s="98"/>
      <c r="RKV14" s="98"/>
      <c r="RKW14" s="98"/>
      <c r="RKX14" s="98"/>
      <c r="RKY14" s="98"/>
      <c r="RKZ14" s="98"/>
      <c r="RLA14" s="98"/>
      <c r="RLB14" s="98"/>
      <c r="RLC14" s="98"/>
      <c r="RLD14" s="98"/>
      <c r="RLE14" s="98"/>
      <c r="RLF14" s="98"/>
      <c r="RLG14" s="98"/>
      <c r="RLH14" s="98"/>
      <c r="RLI14" s="98"/>
      <c r="RLJ14" s="98"/>
      <c r="RLK14" s="98"/>
      <c r="RLL14" s="98"/>
      <c r="RLM14" s="98"/>
      <c r="RLN14" s="98"/>
      <c r="RLO14" s="98"/>
      <c r="RLP14" s="98"/>
      <c r="RLQ14" s="98"/>
      <c r="RLR14" s="98"/>
      <c r="RLS14" s="98"/>
      <c r="RLT14" s="98"/>
      <c r="RLU14" s="98"/>
      <c r="RLV14" s="98"/>
      <c r="RLW14" s="98"/>
      <c r="RLX14" s="98"/>
      <c r="RLY14" s="98"/>
      <c r="RLZ14" s="98"/>
      <c r="RMA14" s="98"/>
      <c r="RMB14" s="98"/>
      <c r="RMC14" s="98"/>
      <c r="RMD14" s="98"/>
      <c r="RME14" s="98"/>
      <c r="RMF14" s="98"/>
      <c r="RMG14" s="98"/>
      <c r="RMH14" s="98"/>
      <c r="RMI14" s="98"/>
      <c r="RMJ14" s="98"/>
      <c r="RMK14" s="98"/>
      <c r="RML14" s="98"/>
      <c r="RMM14" s="98"/>
      <c r="RMN14" s="98"/>
      <c r="RMO14" s="98"/>
      <c r="RMP14" s="98"/>
      <c r="RMQ14" s="98"/>
      <c r="RMR14" s="98"/>
      <c r="RMS14" s="98"/>
      <c r="RMT14" s="98"/>
      <c r="RMU14" s="98"/>
      <c r="RMV14" s="98"/>
      <c r="RMW14" s="98"/>
      <c r="RMX14" s="98"/>
      <c r="RMY14" s="98"/>
      <c r="RMZ14" s="98"/>
      <c r="RNA14" s="98"/>
      <c r="RNB14" s="98"/>
      <c r="RNC14" s="98"/>
      <c r="RND14" s="98"/>
      <c r="RNE14" s="98"/>
      <c r="RNF14" s="98"/>
      <c r="RNG14" s="98"/>
      <c r="RNH14" s="98"/>
      <c r="RNI14" s="98"/>
      <c r="RNJ14" s="98"/>
      <c r="RNK14" s="98"/>
      <c r="RNL14" s="98"/>
      <c r="RNM14" s="98"/>
      <c r="RNN14" s="98"/>
      <c r="RNO14" s="98"/>
      <c r="RNP14" s="98"/>
      <c r="RNQ14" s="98"/>
      <c r="RNR14" s="98"/>
      <c r="RNS14" s="98"/>
      <c r="RNT14" s="98"/>
      <c r="RNU14" s="98"/>
      <c r="RNV14" s="98"/>
      <c r="RNW14" s="98"/>
      <c r="RNX14" s="98"/>
      <c r="RNY14" s="98"/>
      <c r="RNZ14" s="98"/>
      <c r="ROA14" s="98"/>
      <c r="ROB14" s="98"/>
      <c r="ROC14" s="98"/>
      <c r="ROD14" s="98"/>
      <c r="ROE14" s="98"/>
      <c r="ROF14" s="98"/>
      <c r="ROG14" s="98"/>
      <c r="ROH14" s="98"/>
      <c r="ROI14" s="98"/>
      <c r="ROJ14" s="98"/>
      <c r="ROK14" s="98"/>
      <c r="ROL14" s="98"/>
      <c r="ROM14" s="98"/>
      <c r="RON14" s="98"/>
      <c r="ROO14" s="98"/>
      <c r="ROP14" s="98"/>
      <c r="ROQ14" s="98"/>
      <c r="ROR14" s="98"/>
      <c r="ROS14" s="98"/>
      <c r="ROT14" s="98"/>
      <c r="ROU14" s="98"/>
      <c r="ROV14" s="98"/>
      <c r="ROW14" s="98"/>
      <c r="ROX14" s="98"/>
      <c r="ROY14" s="98"/>
      <c r="ROZ14" s="98"/>
      <c r="RPA14" s="98"/>
      <c r="RPB14" s="98"/>
      <c r="RPC14" s="98"/>
      <c r="RPD14" s="98"/>
      <c r="RPE14" s="98"/>
      <c r="RPF14" s="98"/>
      <c r="RPG14" s="98"/>
      <c r="RPH14" s="98"/>
      <c r="RPI14" s="98"/>
      <c r="RPJ14" s="98"/>
      <c r="RPK14" s="98"/>
      <c r="RPL14" s="98"/>
      <c r="RPM14" s="98"/>
      <c r="RPN14" s="98"/>
      <c r="RPO14" s="98"/>
      <c r="RPP14" s="98"/>
      <c r="RPQ14" s="98"/>
      <c r="RPR14" s="98"/>
      <c r="RPS14" s="98"/>
      <c r="RPT14" s="98"/>
      <c r="RPU14" s="98"/>
      <c r="RPV14" s="98"/>
      <c r="RPW14" s="98"/>
      <c r="RPX14" s="98"/>
      <c r="RPY14" s="98"/>
      <c r="RPZ14" s="98"/>
      <c r="RQA14" s="98"/>
      <c r="RQB14" s="98"/>
      <c r="RQC14" s="98"/>
      <c r="RQD14" s="98"/>
      <c r="RQE14" s="98"/>
      <c r="RQF14" s="98"/>
      <c r="RQG14" s="98"/>
      <c r="RQH14" s="98"/>
      <c r="RQI14" s="98"/>
      <c r="RQJ14" s="98"/>
      <c r="RQK14" s="98"/>
      <c r="RQL14" s="98"/>
      <c r="RQM14" s="98"/>
      <c r="RQN14" s="98"/>
      <c r="RQO14" s="98"/>
      <c r="RQP14" s="98"/>
      <c r="RQQ14" s="98"/>
      <c r="RQR14" s="98"/>
      <c r="RQS14" s="98"/>
      <c r="RQT14" s="98"/>
      <c r="RQU14" s="98"/>
      <c r="RQV14" s="98"/>
      <c r="RQW14" s="98"/>
      <c r="RQX14" s="98"/>
      <c r="RQY14" s="98"/>
      <c r="RQZ14" s="98"/>
      <c r="RRA14" s="98"/>
      <c r="RRB14" s="98"/>
      <c r="RRC14" s="98"/>
      <c r="RRD14" s="98"/>
      <c r="RRE14" s="98"/>
      <c r="RRF14" s="98"/>
      <c r="RRG14" s="98"/>
      <c r="RRH14" s="98"/>
      <c r="RRI14" s="98"/>
      <c r="RRJ14" s="98"/>
      <c r="RRK14" s="98"/>
      <c r="RRL14" s="98"/>
      <c r="RRM14" s="98"/>
      <c r="RRN14" s="98"/>
      <c r="RRO14" s="98"/>
      <c r="RRP14" s="98"/>
      <c r="RRQ14" s="98"/>
      <c r="RRR14" s="98"/>
      <c r="RRS14" s="98"/>
      <c r="RRT14" s="98"/>
      <c r="RRU14" s="98"/>
      <c r="RRV14" s="98"/>
      <c r="RRW14" s="98"/>
      <c r="RRX14" s="98"/>
      <c r="RRY14" s="98"/>
      <c r="RRZ14" s="98"/>
      <c r="RSA14" s="98"/>
      <c r="RSB14" s="98"/>
      <c r="RSC14" s="98"/>
      <c r="RSD14" s="98"/>
      <c r="RSE14" s="98"/>
      <c r="RSF14" s="98"/>
      <c r="RSG14" s="98"/>
      <c r="RSH14" s="98"/>
      <c r="RSI14" s="98"/>
      <c r="RSJ14" s="98"/>
      <c r="RSK14" s="98"/>
      <c r="RSL14" s="98"/>
      <c r="RSM14" s="98"/>
      <c r="RSN14" s="98"/>
      <c r="RSO14" s="98"/>
      <c r="RSP14" s="98"/>
      <c r="RSQ14" s="98"/>
      <c r="RSR14" s="98"/>
      <c r="RSS14" s="98"/>
      <c r="RST14" s="98"/>
      <c r="RSU14" s="98"/>
      <c r="RSV14" s="98"/>
      <c r="RSW14" s="98"/>
      <c r="RSX14" s="98"/>
      <c r="RSY14" s="98"/>
      <c r="RSZ14" s="98"/>
      <c r="RTA14" s="98"/>
      <c r="RTB14" s="98"/>
      <c r="RTC14" s="98"/>
      <c r="RTD14" s="98"/>
      <c r="RTE14" s="98"/>
      <c r="RTF14" s="98"/>
      <c r="RTG14" s="98"/>
      <c r="RTH14" s="98"/>
      <c r="RTI14" s="98"/>
      <c r="RTJ14" s="98"/>
      <c r="RTK14" s="98"/>
      <c r="RTL14" s="98"/>
      <c r="RTM14" s="98"/>
      <c r="RTN14" s="98"/>
      <c r="RTO14" s="98"/>
      <c r="RTP14" s="98"/>
      <c r="RTQ14" s="98"/>
      <c r="RTR14" s="98"/>
      <c r="RTS14" s="98"/>
      <c r="RTT14" s="98"/>
      <c r="RTU14" s="98"/>
      <c r="RTV14" s="98"/>
      <c r="RTW14" s="98"/>
      <c r="RTX14" s="98"/>
      <c r="RTY14" s="98"/>
      <c r="RTZ14" s="98"/>
      <c r="RUA14" s="98"/>
      <c r="RUB14" s="98"/>
      <c r="RUC14" s="98"/>
      <c r="RUD14" s="98"/>
      <c r="RUE14" s="98"/>
      <c r="RUF14" s="98"/>
      <c r="RUG14" s="98"/>
      <c r="RUH14" s="98"/>
      <c r="RUI14" s="98"/>
      <c r="RUJ14" s="98"/>
      <c r="RUK14" s="98"/>
      <c r="RUL14" s="98"/>
      <c r="RUM14" s="98"/>
      <c r="RUN14" s="98"/>
      <c r="RUO14" s="98"/>
      <c r="RUP14" s="98"/>
      <c r="RUQ14" s="98"/>
      <c r="RUR14" s="98"/>
      <c r="RUS14" s="98"/>
      <c r="RUT14" s="98"/>
      <c r="RUU14" s="98"/>
      <c r="RUV14" s="98"/>
      <c r="RUW14" s="98"/>
      <c r="RUX14" s="98"/>
      <c r="RUY14" s="98"/>
      <c r="RUZ14" s="98"/>
      <c r="RVA14" s="98"/>
      <c r="RVB14" s="98"/>
      <c r="RVC14" s="98"/>
      <c r="RVD14" s="98"/>
      <c r="RVE14" s="98"/>
      <c r="RVF14" s="98"/>
      <c r="RVG14" s="98"/>
      <c r="RVH14" s="98"/>
      <c r="RVI14" s="98"/>
      <c r="RVJ14" s="98"/>
      <c r="RVK14" s="98"/>
      <c r="RVL14" s="98"/>
      <c r="RVM14" s="98"/>
      <c r="RVN14" s="98"/>
      <c r="RVO14" s="98"/>
      <c r="RVP14" s="98"/>
      <c r="RVQ14" s="98"/>
      <c r="RVR14" s="98"/>
      <c r="RVS14" s="98"/>
      <c r="RVT14" s="98"/>
      <c r="RVU14" s="98"/>
      <c r="RVV14" s="98"/>
      <c r="RVW14" s="98"/>
      <c r="RVX14" s="98"/>
      <c r="RVY14" s="98"/>
      <c r="RVZ14" s="98"/>
      <c r="RWA14" s="98"/>
      <c r="RWB14" s="98"/>
      <c r="RWC14" s="98"/>
      <c r="RWD14" s="98"/>
      <c r="RWE14" s="98"/>
      <c r="RWF14" s="98"/>
      <c r="RWG14" s="98"/>
      <c r="RWH14" s="98"/>
      <c r="RWI14" s="98"/>
      <c r="RWJ14" s="98"/>
      <c r="RWK14" s="98"/>
      <c r="RWL14" s="98"/>
      <c r="RWM14" s="98"/>
      <c r="RWN14" s="98"/>
      <c r="RWO14" s="98"/>
      <c r="RWP14" s="98"/>
      <c r="RWQ14" s="98"/>
      <c r="RWR14" s="98"/>
      <c r="RWS14" s="98"/>
      <c r="RWT14" s="98"/>
      <c r="RWU14" s="98"/>
      <c r="RWV14" s="98"/>
      <c r="RWW14" s="98"/>
      <c r="RWX14" s="98"/>
      <c r="RWY14" s="98"/>
      <c r="RWZ14" s="98"/>
      <c r="RXA14" s="98"/>
      <c r="RXB14" s="98"/>
      <c r="RXC14" s="98"/>
      <c r="RXD14" s="98"/>
      <c r="RXE14" s="98"/>
      <c r="RXF14" s="98"/>
      <c r="RXG14" s="98"/>
      <c r="RXH14" s="98"/>
      <c r="RXI14" s="98"/>
      <c r="RXJ14" s="98"/>
      <c r="RXK14" s="98"/>
      <c r="RXL14" s="98"/>
      <c r="RXM14" s="98"/>
      <c r="RXN14" s="98"/>
      <c r="RXO14" s="98"/>
      <c r="RXP14" s="98"/>
      <c r="RXQ14" s="98"/>
      <c r="RXR14" s="98"/>
      <c r="RXS14" s="98"/>
      <c r="RXT14" s="98"/>
      <c r="RXU14" s="98"/>
      <c r="RXV14" s="98"/>
      <c r="RXW14" s="98"/>
      <c r="RXX14" s="98"/>
      <c r="RXY14" s="98"/>
      <c r="RXZ14" s="98"/>
      <c r="RYA14" s="98"/>
      <c r="RYB14" s="98"/>
      <c r="RYC14" s="98"/>
      <c r="RYD14" s="98"/>
      <c r="RYE14" s="98"/>
      <c r="RYF14" s="98"/>
      <c r="RYG14" s="98"/>
      <c r="RYH14" s="98"/>
      <c r="RYI14" s="98"/>
      <c r="RYJ14" s="98"/>
      <c r="RYK14" s="98"/>
      <c r="RYL14" s="98"/>
      <c r="RYM14" s="98"/>
      <c r="RYN14" s="98"/>
      <c r="RYO14" s="98"/>
      <c r="RYP14" s="98"/>
      <c r="RYQ14" s="98"/>
      <c r="RYR14" s="98"/>
      <c r="RYS14" s="98"/>
      <c r="RYT14" s="98"/>
      <c r="RYU14" s="98"/>
      <c r="RYV14" s="98"/>
      <c r="RYW14" s="98"/>
      <c r="RYX14" s="98"/>
      <c r="RYY14" s="98"/>
      <c r="RYZ14" s="98"/>
      <c r="RZA14" s="98"/>
      <c r="RZB14" s="98"/>
      <c r="RZC14" s="98"/>
      <c r="RZD14" s="98"/>
      <c r="RZE14" s="98"/>
      <c r="RZF14" s="98"/>
      <c r="RZG14" s="98"/>
      <c r="RZH14" s="98"/>
      <c r="RZI14" s="98"/>
      <c r="RZJ14" s="98"/>
      <c r="RZK14" s="98"/>
      <c r="RZL14" s="98"/>
      <c r="RZM14" s="98"/>
      <c r="RZN14" s="98"/>
      <c r="RZO14" s="98"/>
      <c r="RZP14" s="98"/>
      <c r="RZQ14" s="98"/>
      <c r="RZR14" s="98"/>
      <c r="RZS14" s="98"/>
      <c r="RZT14" s="98"/>
      <c r="RZU14" s="98"/>
      <c r="RZV14" s="98"/>
      <c r="RZW14" s="98"/>
      <c r="RZX14" s="98"/>
      <c r="RZY14" s="98"/>
      <c r="RZZ14" s="98"/>
      <c r="SAA14" s="98"/>
      <c r="SAB14" s="98"/>
      <c r="SAC14" s="98"/>
      <c r="SAD14" s="98"/>
      <c r="SAE14" s="98"/>
      <c r="SAF14" s="98"/>
      <c r="SAG14" s="98"/>
      <c r="SAH14" s="98"/>
      <c r="SAI14" s="98"/>
      <c r="SAJ14" s="98"/>
      <c r="SAK14" s="98"/>
      <c r="SAL14" s="98"/>
      <c r="SAM14" s="98"/>
      <c r="SAN14" s="98"/>
      <c r="SAO14" s="98"/>
      <c r="SAP14" s="98"/>
      <c r="SAQ14" s="98"/>
      <c r="SAR14" s="98"/>
      <c r="SAS14" s="98"/>
      <c r="SAT14" s="98"/>
      <c r="SAU14" s="98"/>
      <c r="SAV14" s="98"/>
      <c r="SAW14" s="98"/>
      <c r="SAX14" s="98"/>
      <c r="SAY14" s="98"/>
      <c r="SAZ14" s="98"/>
      <c r="SBA14" s="98"/>
      <c r="SBB14" s="98"/>
      <c r="SBC14" s="98"/>
      <c r="SBD14" s="98"/>
      <c r="SBE14" s="98"/>
      <c r="SBF14" s="98"/>
      <c r="SBG14" s="98"/>
      <c r="SBH14" s="98"/>
      <c r="SBI14" s="98"/>
      <c r="SBJ14" s="98"/>
      <c r="SBK14" s="98"/>
      <c r="SBL14" s="98"/>
      <c r="SBM14" s="98"/>
      <c r="SBN14" s="98"/>
      <c r="SBO14" s="98"/>
      <c r="SBP14" s="98"/>
      <c r="SBQ14" s="98"/>
      <c r="SBR14" s="98"/>
      <c r="SBS14" s="98"/>
      <c r="SBT14" s="98"/>
      <c r="SBU14" s="98"/>
      <c r="SBV14" s="98"/>
      <c r="SBW14" s="98"/>
      <c r="SBX14" s="98"/>
      <c r="SBY14" s="98"/>
      <c r="SBZ14" s="98"/>
      <c r="SCA14" s="98"/>
      <c r="SCB14" s="98"/>
      <c r="SCC14" s="98"/>
      <c r="SCD14" s="98"/>
      <c r="SCE14" s="98"/>
      <c r="SCF14" s="98"/>
      <c r="SCG14" s="98"/>
      <c r="SCH14" s="98"/>
      <c r="SCI14" s="98"/>
      <c r="SCJ14" s="98"/>
      <c r="SCK14" s="98"/>
      <c r="SCL14" s="98"/>
      <c r="SCM14" s="98"/>
      <c r="SCN14" s="98"/>
      <c r="SCO14" s="98"/>
      <c r="SCP14" s="98"/>
      <c r="SCQ14" s="98"/>
      <c r="SCR14" s="98"/>
      <c r="SCS14" s="98"/>
      <c r="SCT14" s="98"/>
      <c r="SCU14" s="98"/>
      <c r="SCV14" s="98"/>
      <c r="SCW14" s="98"/>
      <c r="SCX14" s="98"/>
      <c r="SCY14" s="98"/>
      <c r="SCZ14" s="98"/>
      <c r="SDA14" s="98"/>
      <c r="SDB14" s="98"/>
      <c r="SDC14" s="98"/>
      <c r="SDD14" s="98"/>
      <c r="SDE14" s="98"/>
      <c r="SDF14" s="98"/>
      <c r="SDG14" s="98"/>
      <c r="SDH14" s="98"/>
      <c r="SDI14" s="98"/>
      <c r="SDJ14" s="98"/>
      <c r="SDK14" s="98"/>
      <c r="SDL14" s="98"/>
      <c r="SDM14" s="98"/>
      <c r="SDN14" s="98"/>
      <c r="SDO14" s="98"/>
      <c r="SDP14" s="98"/>
      <c r="SDQ14" s="98"/>
      <c r="SDR14" s="98"/>
      <c r="SDS14" s="98"/>
      <c r="SDT14" s="98"/>
      <c r="SDU14" s="98"/>
      <c r="SDV14" s="98"/>
      <c r="SDW14" s="98"/>
      <c r="SDX14" s="98"/>
      <c r="SDY14" s="98"/>
      <c r="SDZ14" s="98"/>
      <c r="SEA14" s="98"/>
      <c r="SEB14" s="98"/>
      <c r="SEC14" s="98"/>
      <c r="SED14" s="98"/>
      <c r="SEE14" s="98"/>
      <c r="SEF14" s="98"/>
      <c r="SEG14" s="98"/>
      <c r="SEH14" s="98"/>
      <c r="SEI14" s="98"/>
      <c r="SEJ14" s="98"/>
      <c r="SEK14" s="98"/>
      <c r="SEL14" s="98"/>
      <c r="SEM14" s="98"/>
      <c r="SEN14" s="98"/>
      <c r="SEO14" s="98"/>
      <c r="SEP14" s="98"/>
      <c r="SEQ14" s="98"/>
      <c r="SER14" s="98"/>
      <c r="SES14" s="98"/>
      <c r="SET14" s="98"/>
      <c r="SEU14" s="98"/>
      <c r="SEV14" s="98"/>
      <c r="SEW14" s="98"/>
      <c r="SEX14" s="98"/>
      <c r="SEY14" s="98"/>
      <c r="SEZ14" s="98"/>
      <c r="SFA14" s="98"/>
      <c r="SFB14" s="98"/>
      <c r="SFC14" s="98"/>
      <c r="SFD14" s="98"/>
      <c r="SFE14" s="98"/>
      <c r="SFF14" s="98"/>
      <c r="SFG14" s="98"/>
      <c r="SFH14" s="98"/>
      <c r="SFI14" s="98"/>
      <c r="SFJ14" s="98"/>
      <c r="SFK14" s="98"/>
      <c r="SFL14" s="98"/>
      <c r="SFM14" s="98"/>
      <c r="SFN14" s="98"/>
      <c r="SFO14" s="98"/>
      <c r="SFP14" s="98"/>
      <c r="SFQ14" s="98"/>
      <c r="SFR14" s="98"/>
      <c r="SFS14" s="98"/>
      <c r="SFT14" s="98"/>
      <c r="SFU14" s="98"/>
      <c r="SFV14" s="98"/>
      <c r="SFW14" s="98"/>
      <c r="SFX14" s="98"/>
      <c r="SFY14" s="98"/>
      <c r="SFZ14" s="98"/>
      <c r="SGA14" s="98"/>
      <c r="SGB14" s="98"/>
      <c r="SGC14" s="98"/>
      <c r="SGD14" s="98"/>
      <c r="SGE14" s="98"/>
      <c r="SGF14" s="98"/>
      <c r="SGG14" s="98"/>
      <c r="SGH14" s="98"/>
      <c r="SGI14" s="98"/>
      <c r="SGJ14" s="98"/>
      <c r="SGK14" s="98"/>
      <c r="SGL14" s="98"/>
      <c r="SGM14" s="98"/>
      <c r="SGN14" s="98"/>
      <c r="SGO14" s="98"/>
      <c r="SGP14" s="98"/>
      <c r="SGQ14" s="98"/>
      <c r="SGR14" s="98"/>
      <c r="SGS14" s="98"/>
      <c r="SGT14" s="98"/>
      <c r="SGU14" s="98"/>
      <c r="SGV14" s="98"/>
      <c r="SGW14" s="98"/>
      <c r="SGX14" s="98"/>
      <c r="SGY14" s="98"/>
      <c r="SGZ14" s="98"/>
      <c r="SHA14" s="98"/>
      <c r="SHB14" s="98"/>
      <c r="SHC14" s="98"/>
      <c r="SHD14" s="98"/>
      <c r="SHE14" s="98"/>
      <c r="SHF14" s="98"/>
      <c r="SHG14" s="98"/>
      <c r="SHH14" s="98"/>
      <c r="SHI14" s="98"/>
      <c r="SHJ14" s="98"/>
      <c r="SHK14" s="98"/>
      <c r="SHL14" s="98"/>
      <c r="SHM14" s="98"/>
      <c r="SHN14" s="98"/>
      <c r="SHO14" s="98"/>
      <c r="SHP14" s="98"/>
      <c r="SHQ14" s="98"/>
      <c r="SHR14" s="98"/>
      <c r="SHS14" s="98"/>
      <c r="SHT14" s="98"/>
      <c r="SHU14" s="98"/>
      <c r="SHV14" s="98"/>
      <c r="SHW14" s="98"/>
      <c r="SHX14" s="98"/>
      <c r="SHY14" s="98"/>
      <c r="SHZ14" s="98"/>
      <c r="SIA14" s="98"/>
      <c r="SIB14" s="98"/>
      <c r="SIC14" s="98"/>
      <c r="SID14" s="98"/>
      <c r="SIE14" s="98"/>
      <c r="SIF14" s="98"/>
      <c r="SIG14" s="98"/>
      <c r="SIH14" s="98"/>
      <c r="SII14" s="98"/>
      <c r="SIJ14" s="98"/>
      <c r="SIK14" s="98"/>
      <c r="SIL14" s="98"/>
      <c r="SIM14" s="98"/>
      <c r="SIN14" s="98"/>
      <c r="SIO14" s="98"/>
      <c r="SIP14" s="98"/>
      <c r="SIQ14" s="98"/>
      <c r="SIR14" s="98"/>
      <c r="SIS14" s="98"/>
      <c r="SIT14" s="98"/>
      <c r="SIU14" s="98"/>
      <c r="SIV14" s="98"/>
      <c r="SIW14" s="98"/>
      <c r="SIX14" s="98"/>
      <c r="SIY14" s="98"/>
      <c r="SIZ14" s="98"/>
      <c r="SJA14" s="98"/>
      <c r="SJB14" s="98"/>
      <c r="SJC14" s="98"/>
      <c r="SJD14" s="98"/>
      <c r="SJE14" s="98"/>
      <c r="SJF14" s="98"/>
      <c r="SJG14" s="98"/>
      <c r="SJH14" s="98"/>
      <c r="SJI14" s="98"/>
      <c r="SJJ14" s="98"/>
      <c r="SJK14" s="98"/>
      <c r="SJL14" s="98"/>
      <c r="SJM14" s="98"/>
      <c r="SJN14" s="98"/>
      <c r="SJO14" s="98"/>
      <c r="SJP14" s="98"/>
      <c r="SJQ14" s="98"/>
      <c r="SJR14" s="98"/>
      <c r="SJS14" s="98"/>
      <c r="SJT14" s="98"/>
      <c r="SJU14" s="98"/>
      <c r="SJV14" s="98"/>
      <c r="SJW14" s="98"/>
      <c r="SJX14" s="98"/>
      <c r="SJY14" s="98"/>
      <c r="SJZ14" s="98"/>
      <c r="SKA14" s="98"/>
      <c r="SKB14" s="98"/>
      <c r="SKC14" s="98"/>
      <c r="SKD14" s="98"/>
      <c r="SKE14" s="98"/>
      <c r="SKF14" s="98"/>
      <c r="SKG14" s="98"/>
      <c r="SKH14" s="98"/>
      <c r="SKI14" s="98"/>
      <c r="SKJ14" s="98"/>
      <c r="SKK14" s="98"/>
      <c r="SKL14" s="98"/>
      <c r="SKM14" s="98"/>
      <c r="SKN14" s="98"/>
      <c r="SKO14" s="98"/>
      <c r="SKP14" s="98"/>
      <c r="SKQ14" s="98"/>
      <c r="SKR14" s="98"/>
      <c r="SKS14" s="98"/>
      <c r="SKT14" s="98"/>
      <c r="SKU14" s="98"/>
      <c r="SKV14" s="98"/>
      <c r="SKW14" s="98"/>
      <c r="SKX14" s="98"/>
      <c r="SKY14" s="98"/>
      <c r="SKZ14" s="98"/>
      <c r="SLA14" s="98"/>
      <c r="SLB14" s="98"/>
      <c r="SLC14" s="98"/>
      <c r="SLD14" s="98"/>
      <c r="SLE14" s="98"/>
      <c r="SLF14" s="98"/>
      <c r="SLG14" s="98"/>
      <c r="SLH14" s="98"/>
      <c r="SLI14" s="98"/>
      <c r="SLJ14" s="98"/>
      <c r="SLK14" s="98"/>
      <c r="SLL14" s="98"/>
      <c r="SLM14" s="98"/>
      <c r="SLN14" s="98"/>
      <c r="SLO14" s="98"/>
      <c r="SLP14" s="98"/>
      <c r="SLQ14" s="98"/>
      <c r="SLR14" s="98"/>
      <c r="SLS14" s="98"/>
      <c r="SLT14" s="98"/>
      <c r="SLU14" s="98"/>
      <c r="SLV14" s="98"/>
      <c r="SLW14" s="98"/>
      <c r="SLX14" s="98"/>
      <c r="SLY14" s="98"/>
      <c r="SLZ14" s="98"/>
      <c r="SMA14" s="98"/>
      <c r="SMB14" s="98"/>
      <c r="SMC14" s="98"/>
      <c r="SMD14" s="98"/>
      <c r="SME14" s="98"/>
      <c r="SMF14" s="98"/>
      <c r="SMG14" s="98"/>
      <c r="SMH14" s="98"/>
      <c r="SMI14" s="98"/>
      <c r="SMJ14" s="98"/>
      <c r="SMK14" s="98"/>
      <c r="SML14" s="98"/>
      <c r="SMM14" s="98"/>
      <c r="SMN14" s="98"/>
      <c r="SMO14" s="98"/>
      <c r="SMP14" s="98"/>
      <c r="SMQ14" s="98"/>
      <c r="SMR14" s="98"/>
      <c r="SMS14" s="98"/>
      <c r="SMT14" s="98"/>
      <c r="SMU14" s="98"/>
      <c r="SMV14" s="98"/>
      <c r="SMW14" s="98"/>
      <c r="SMX14" s="98"/>
      <c r="SMY14" s="98"/>
      <c r="SMZ14" s="98"/>
      <c r="SNA14" s="98"/>
      <c r="SNB14" s="98"/>
      <c r="SNC14" s="98"/>
      <c r="SND14" s="98"/>
      <c r="SNE14" s="98"/>
      <c r="SNF14" s="98"/>
      <c r="SNG14" s="98"/>
      <c r="SNH14" s="98"/>
      <c r="SNI14" s="98"/>
      <c r="SNJ14" s="98"/>
      <c r="SNK14" s="98"/>
      <c r="SNL14" s="98"/>
      <c r="SNM14" s="98"/>
      <c r="SNN14" s="98"/>
      <c r="SNO14" s="98"/>
      <c r="SNP14" s="98"/>
      <c r="SNQ14" s="98"/>
      <c r="SNR14" s="98"/>
      <c r="SNS14" s="98"/>
      <c r="SNT14" s="98"/>
      <c r="SNU14" s="98"/>
      <c r="SNV14" s="98"/>
      <c r="SNW14" s="98"/>
      <c r="SNX14" s="98"/>
      <c r="SNY14" s="98"/>
      <c r="SNZ14" s="98"/>
      <c r="SOA14" s="98"/>
      <c r="SOB14" s="98"/>
      <c r="SOC14" s="98"/>
      <c r="SOD14" s="98"/>
      <c r="SOE14" s="98"/>
      <c r="SOF14" s="98"/>
      <c r="SOG14" s="98"/>
      <c r="SOH14" s="98"/>
      <c r="SOI14" s="98"/>
      <c r="SOJ14" s="98"/>
      <c r="SOK14" s="98"/>
      <c r="SOL14" s="98"/>
      <c r="SOM14" s="98"/>
      <c r="SON14" s="98"/>
      <c r="SOO14" s="98"/>
      <c r="SOP14" s="98"/>
      <c r="SOQ14" s="98"/>
      <c r="SOR14" s="98"/>
      <c r="SOS14" s="98"/>
      <c r="SOT14" s="98"/>
      <c r="SOU14" s="98"/>
      <c r="SOV14" s="98"/>
      <c r="SOW14" s="98"/>
      <c r="SOX14" s="98"/>
      <c r="SOY14" s="98"/>
      <c r="SOZ14" s="98"/>
      <c r="SPA14" s="98"/>
      <c r="SPB14" s="98"/>
      <c r="SPC14" s="98"/>
      <c r="SPD14" s="98"/>
      <c r="SPE14" s="98"/>
      <c r="SPF14" s="98"/>
      <c r="SPG14" s="98"/>
      <c r="SPH14" s="98"/>
      <c r="SPI14" s="98"/>
      <c r="SPJ14" s="98"/>
      <c r="SPK14" s="98"/>
      <c r="SPL14" s="98"/>
      <c r="SPM14" s="98"/>
      <c r="SPN14" s="98"/>
      <c r="SPO14" s="98"/>
      <c r="SPP14" s="98"/>
      <c r="SPQ14" s="98"/>
      <c r="SPR14" s="98"/>
      <c r="SPS14" s="98"/>
      <c r="SPT14" s="98"/>
      <c r="SPU14" s="98"/>
      <c r="SPV14" s="98"/>
      <c r="SPW14" s="98"/>
      <c r="SPX14" s="98"/>
      <c r="SPY14" s="98"/>
      <c r="SPZ14" s="98"/>
      <c r="SQA14" s="98"/>
      <c r="SQB14" s="98"/>
      <c r="SQC14" s="98"/>
      <c r="SQD14" s="98"/>
      <c r="SQE14" s="98"/>
      <c r="SQF14" s="98"/>
      <c r="SQG14" s="98"/>
      <c r="SQH14" s="98"/>
      <c r="SQI14" s="98"/>
      <c r="SQJ14" s="98"/>
      <c r="SQK14" s="98"/>
      <c r="SQL14" s="98"/>
      <c r="SQM14" s="98"/>
      <c r="SQN14" s="98"/>
      <c r="SQO14" s="98"/>
      <c r="SQP14" s="98"/>
      <c r="SQQ14" s="98"/>
      <c r="SQR14" s="98"/>
      <c r="SQS14" s="98"/>
      <c r="SQT14" s="98"/>
      <c r="SQU14" s="98"/>
      <c r="SQV14" s="98"/>
      <c r="SQW14" s="98"/>
      <c r="SQX14" s="98"/>
      <c r="SQY14" s="98"/>
      <c r="SQZ14" s="98"/>
      <c r="SRA14" s="98"/>
      <c r="SRB14" s="98"/>
      <c r="SRC14" s="98"/>
      <c r="SRD14" s="98"/>
      <c r="SRE14" s="98"/>
      <c r="SRF14" s="98"/>
      <c r="SRG14" s="98"/>
      <c r="SRH14" s="98"/>
      <c r="SRI14" s="98"/>
      <c r="SRJ14" s="98"/>
      <c r="SRK14" s="98"/>
      <c r="SRL14" s="98"/>
      <c r="SRM14" s="98"/>
      <c r="SRN14" s="98"/>
      <c r="SRO14" s="98"/>
      <c r="SRP14" s="98"/>
      <c r="SRQ14" s="98"/>
      <c r="SRR14" s="98"/>
      <c r="SRS14" s="98"/>
      <c r="SRT14" s="98"/>
      <c r="SRU14" s="98"/>
      <c r="SRV14" s="98"/>
      <c r="SRW14" s="98"/>
      <c r="SRX14" s="98"/>
      <c r="SRY14" s="98"/>
      <c r="SRZ14" s="98"/>
      <c r="SSA14" s="98"/>
      <c r="SSB14" s="98"/>
      <c r="SSC14" s="98"/>
      <c r="SSD14" s="98"/>
      <c r="SSE14" s="98"/>
      <c r="SSF14" s="98"/>
      <c r="SSG14" s="98"/>
      <c r="SSH14" s="98"/>
      <c r="SSI14" s="98"/>
      <c r="SSJ14" s="98"/>
      <c r="SSK14" s="98"/>
      <c r="SSL14" s="98"/>
      <c r="SSM14" s="98"/>
      <c r="SSN14" s="98"/>
      <c r="SSO14" s="98"/>
      <c r="SSP14" s="98"/>
      <c r="SSQ14" s="98"/>
      <c r="SSR14" s="98"/>
      <c r="SSS14" s="98"/>
      <c r="SST14" s="98"/>
      <c r="SSU14" s="98"/>
      <c r="SSV14" s="98"/>
      <c r="SSW14" s="98"/>
      <c r="SSX14" s="98"/>
      <c r="SSY14" s="98"/>
      <c r="SSZ14" s="98"/>
      <c r="STA14" s="98"/>
      <c r="STB14" s="98"/>
      <c r="STC14" s="98"/>
      <c r="STD14" s="98"/>
      <c r="STE14" s="98"/>
      <c r="STF14" s="98"/>
      <c r="STG14" s="98"/>
      <c r="STH14" s="98"/>
      <c r="STI14" s="98"/>
      <c r="STJ14" s="98"/>
      <c r="STK14" s="98"/>
      <c r="STL14" s="98"/>
      <c r="STM14" s="98"/>
      <c r="STN14" s="98"/>
      <c r="STO14" s="98"/>
      <c r="STP14" s="98"/>
      <c r="STQ14" s="98"/>
      <c r="STR14" s="98"/>
      <c r="STS14" s="98"/>
      <c r="STT14" s="98"/>
      <c r="STU14" s="98"/>
      <c r="STV14" s="98"/>
      <c r="STW14" s="98"/>
      <c r="STX14" s="98"/>
      <c r="STY14" s="98"/>
      <c r="STZ14" s="98"/>
      <c r="SUA14" s="98"/>
      <c r="SUB14" s="98"/>
      <c r="SUC14" s="98"/>
      <c r="SUD14" s="98"/>
      <c r="SUE14" s="98"/>
      <c r="SUF14" s="98"/>
      <c r="SUG14" s="98"/>
      <c r="SUH14" s="98"/>
      <c r="SUI14" s="98"/>
      <c r="SUJ14" s="98"/>
      <c r="SUK14" s="98"/>
      <c r="SUL14" s="98"/>
      <c r="SUM14" s="98"/>
      <c r="SUN14" s="98"/>
      <c r="SUO14" s="98"/>
      <c r="SUP14" s="98"/>
      <c r="SUQ14" s="98"/>
      <c r="SUR14" s="98"/>
      <c r="SUS14" s="98"/>
      <c r="SUT14" s="98"/>
      <c r="SUU14" s="98"/>
      <c r="SUV14" s="98"/>
      <c r="SUW14" s="98"/>
      <c r="SUX14" s="98"/>
      <c r="SUY14" s="98"/>
      <c r="SUZ14" s="98"/>
      <c r="SVA14" s="98"/>
      <c r="SVB14" s="98"/>
      <c r="SVC14" s="98"/>
      <c r="SVD14" s="98"/>
      <c r="SVE14" s="98"/>
      <c r="SVF14" s="98"/>
      <c r="SVG14" s="98"/>
      <c r="SVH14" s="98"/>
      <c r="SVI14" s="98"/>
      <c r="SVJ14" s="98"/>
      <c r="SVK14" s="98"/>
      <c r="SVL14" s="98"/>
      <c r="SVM14" s="98"/>
      <c r="SVN14" s="98"/>
      <c r="SVO14" s="98"/>
      <c r="SVP14" s="98"/>
      <c r="SVQ14" s="98"/>
      <c r="SVR14" s="98"/>
      <c r="SVS14" s="98"/>
      <c r="SVT14" s="98"/>
      <c r="SVU14" s="98"/>
      <c r="SVV14" s="98"/>
      <c r="SVW14" s="98"/>
      <c r="SVX14" s="98"/>
      <c r="SVY14" s="98"/>
      <c r="SVZ14" s="98"/>
      <c r="SWA14" s="98"/>
      <c r="SWB14" s="98"/>
      <c r="SWC14" s="98"/>
      <c r="SWD14" s="98"/>
      <c r="SWE14" s="98"/>
      <c r="SWF14" s="98"/>
      <c r="SWG14" s="98"/>
      <c r="SWH14" s="98"/>
      <c r="SWI14" s="98"/>
      <c r="SWJ14" s="98"/>
      <c r="SWK14" s="98"/>
      <c r="SWL14" s="98"/>
      <c r="SWM14" s="98"/>
      <c r="SWN14" s="98"/>
      <c r="SWO14" s="98"/>
      <c r="SWP14" s="98"/>
      <c r="SWQ14" s="98"/>
      <c r="SWR14" s="98"/>
      <c r="SWS14" s="98"/>
      <c r="SWT14" s="98"/>
      <c r="SWU14" s="98"/>
      <c r="SWV14" s="98"/>
      <c r="SWW14" s="98"/>
      <c r="SWX14" s="98"/>
      <c r="SWY14" s="98"/>
      <c r="SWZ14" s="98"/>
      <c r="SXA14" s="98"/>
      <c r="SXB14" s="98"/>
      <c r="SXC14" s="98"/>
      <c r="SXD14" s="98"/>
      <c r="SXE14" s="98"/>
      <c r="SXF14" s="98"/>
      <c r="SXG14" s="98"/>
      <c r="SXH14" s="98"/>
      <c r="SXI14" s="98"/>
      <c r="SXJ14" s="98"/>
      <c r="SXK14" s="98"/>
      <c r="SXL14" s="98"/>
      <c r="SXM14" s="98"/>
      <c r="SXN14" s="98"/>
      <c r="SXO14" s="98"/>
      <c r="SXP14" s="98"/>
      <c r="SXQ14" s="98"/>
      <c r="SXR14" s="98"/>
      <c r="SXS14" s="98"/>
      <c r="SXT14" s="98"/>
      <c r="SXU14" s="98"/>
      <c r="SXV14" s="98"/>
      <c r="SXW14" s="98"/>
      <c r="SXX14" s="98"/>
      <c r="SXY14" s="98"/>
      <c r="SXZ14" s="98"/>
      <c r="SYA14" s="98"/>
      <c r="SYB14" s="98"/>
      <c r="SYC14" s="98"/>
      <c r="SYD14" s="98"/>
      <c r="SYE14" s="98"/>
      <c r="SYF14" s="98"/>
      <c r="SYG14" s="98"/>
      <c r="SYH14" s="98"/>
      <c r="SYI14" s="98"/>
      <c r="SYJ14" s="98"/>
      <c r="SYK14" s="98"/>
      <c r="SYL14" s="98"/>
      <c r="SYM14" s="98"/>
      <c r="SYN14" s="98"/>
      <c r="SYO14" s="98"/>
      <c r="SYP14" s="98"/>
      <c r="SYQ14" s="98"/>
      <c r="SYR14" s="98"/>
      <c r="SYS14" s="98"/>
      <c r="SYT14" s="98"/>
      <c r="SYU14" s="98"/>
      <c r="SYV14" s="98"/>
      <c r="SYW14" s="98"/>
      <c r="SYX14" s="98"/>
      <c r="SYY14" s="98"/>
      <c r="SYZ14" s="98"/>
      <c r="SZA14" s="98"/>
      <c r="SZB14" s="98"/>
      <c r="SZC14" s="98"/>
      <c r="SZD14" s="98"/>
      <c r="SZE14" s="98"/>
      <c r="SZF14" s="98"/>
      <c r="SZG14" s="98"/>
      <c r="SZH14" s="98"/>
      <c r="SZI14" s="98"/>
      <c r="SZJ14" s="98"/>
      <c r="SZK14" s="98"/>
      <c r="SZL14" s="98"/>
      <c r="SZM14" s="98"/>
      <c r="SZN14" s="98"/>
      <c r="SZO14" s="98"/>
      <c r="SZP14" s="98"/>
      <c r="SZQ14" s="98"/>
      <c r="SZR14" s="98"/>
      <c r="SZS14" s="98"/>
      <c r="SZT14" s="98"/>
      <c r="SZU14" s="98"/>
      <c r="SZV14" s="98"/>
      <c r="SZW14" s="98"/>
      <c r="SZX14" s="98"/>
      <c r="SZY14" s="98"/>
      <c r="SZZ14" s="98"/>
      <c r="TAA14" s="98"/>
      <c r="TAB14" s="98"/>
      <c r="TAC14" s="98"/>
      <c r="TAD14" s="98"/>
      <c r="TAE14" s="98"/>
      <c r="TAF14" s="98"/>
      <c r="TAG14" s="98"/>
      <c r="TAH14" s="98"/>
      <c r="TAI14" s="98"/>
      <c r="TAJ14" s="98"/>
      <c r="TAK14" s="98"/>
      <c r="TAL14" s="98"/>
      <c r="TAM14" s="98"/>
      <c r="TAN14" s="98"/>
      <c r="TAO14" s="98"/>
      <c r="TAP14" s="98"/>
      <c r="TAQ14" s="98"/>
      <c r="TAR14" s="98"/>
      <c r="TAS14" s="98"/>
      <c r="TAT14" s="98"/>
      <c r="TAU14" s="98"/>
      <c r="TAV14" s="98"/>
      <c r="TAW14" s="98"/>
      <c r="TAX14" s="98"/>
      <c r="TAY14" s="98"/>
      <c r="TAZ14" s="98"/>
      <c r="TBA14" s="98"/>
      <c r="TBB14" s="98"/>
      <c r="TBC14" s="98"/>
      <c r="TBD14" s="98"/>
      <c r="TBE14" s="98"/>
      <c r="TBF14" s="98"/>
      <c r="TBG14" s="98"/>
      <c r="TBH14" s="98"/>
      <c r="TBI14" s="98"/>
      <c r="TBJ14" s="98"/>
      <c r="TBK14" s="98"/>
      <c r="TBL14" s="98"/>
      <c r="TBM14" s="98"/>
      <c r="TBN14" s="98"/>
      <c r="TBO14" s="98"/>
      <c r="TBP14" s="98"/>
      <c r="TBQ14" s="98"/>
      <c r="TBR14" s="98"/>
      <c r="TBS14" s="98"/>
      <c r="TBT14" s="98"/>
      <c r="TBU14" s="98"/>
      <c r="TBV14" s="98"/>
      <c r="TBW14" s="98"/>
      <c r="TBX14" s="98"/>
      <c r="TBY14" s="98"/>
      <c r="TBZ14" s="98"/>
      <c r="TCA14" s="98"/>
      <c r="TCB14" s="98"/>
      <c r="TCC14" s="98"/>
      <c r="TCD14" s="98"/>
      <c r="TCE14" s="98"/>
      <c r="TCF14" s="98"/>
      <c r="TCG14" s="98"/>
      <c r="TCH14" s="98"/>
      <c r="TCI14" s="98"/>
      <c r="TCJ14" s="98"/>
      <c r="TCK14" s="98"/>
      <c r="TCL14" s="98"/>
      <c r="TCM14" s="98"/>
      <c r="TCN14" s="98"/>
      <c r="TCO14" s="98"/>
      <c r="TCP14" s="98"/>
      <c r="TCQ14" s="98"/>
      <c r="TCR14" s="98"/>
      <c r="TCS14" s="98"/>
      <c r="TCT14" s="98"/>
      <c r="TCU14" s="98"/>
      <c r="TCV14" s="98"/>
      <c r="TCW14" s="98"/>
      <c r="TCX14" s="98"/>
      <c r="TCY14" s="98"/>
      <c r="TCZ14" s="98"/>
      <c r="TDA14" s="98"/>
      <c r="TDB14" s="98"/>
      <c r="TDC14" s="98"/>
      <c r="TDD14" s="98"/>
      <c r="TDE14" s="98"/>
      <c r="TDF14" s="98"/>
      <c r="TDG14" s="98"/>
      <c r="TDH14" s="98"/>
      <c r="TDI14" s="98"/>
      <c r="TDJ14" s="98"/>
      <c r="TDK14" s="98"/>
      <c r="TDL14" s="98"/>
      <c r="TDM14" s="98"/>
      <c r="TDN14" s="98"/>
      <c r="TDO14" s="98"/>
      <c r="TDP14" s="98"/>
      <c r="TDQ14" s="98"/>
      <c r="TDR14" s="98"/>
      <c r="TDS14" s="98"/>
      <c r="TDT14" s="98"/>
      <c r="TDU14" s="98"/>
      <c r="TDV14" s="98"/>
      <c r="TDW14" s="98"/>
      <c r="TDX14" s="98"/>
      <c r="TDY14" s="98"/>
      <c r="TDZ14" s="98"/>
      <c r="TEA14" s="98"/>
      <c r="TEB14" s="98"/>
      <c r="TEC14" s="98"/>
      <c r="TED14" s="98"/>
      <c r="TEE14" s="98"/>
      <c r="TEF14" s="98"/>
      <c r="TEG14" s="98"/>
      <c r="TEH14" s="98"/>
      <c r="TEI14" s="98"/>
      <c r="TEJ14" s="98"/>
      <c r="TEK14" s="98"/>
      <c r="TEL14" s="98"/>
      <c r="TEM14" s="98"/>
      <c r="TEN14" s="98"/>
      <c r="TEO14" s="98"/>
      <c r="TEP14" s="98"/>
      <c r="TEQ14" s="98"/>
      <c r="TER14" s="98"/>
      <c r="TES14" s="98"/>
      <c r="TET14" s="98"/>
      <c r="TEU14" s="98"/>
      <c r="TEV14" s="98"/>
      <c r="TEW14" s="98"/>
      <c r="TEX14" s="98"/>
      <c r="TEY14" s="98"/>
      <c r="TEZ14" s="98"/>
      <c r="TFA14" s="98"/>
      <c r="TFB14" s="98"/>
      <c r="TFC14" s="98"/>
      <c r="TFD14" s="98"/>
      <c r="TFE14" s="98"/>
      <c r="TFF14" s="98"/>
      <c r="TFG14" s="98"/>
      <c r="TFH14" s="98"/>
      <c r="TFI14" s="98"/>
      <c r="TFJ14" s="98"/>
      <c r="TFK14" s="98"/>
      <c r="TFL14" s="98"/>
      <c r="TFM14" s="98"/>
      <c r="TFN14" s="98"/>
      <c r="TFO14" s="98"/>
      <c r="TFP14" s="98"/>
      <c r="TFQ14" s="98"/>
      <c r="TFR14" s="98"/>
      <c r="TFS14" s="98"/>
      <c r="TFT14" s="98"/>
      <c r="TFU14" s="98"/>
      <c r="TFV14" s="98"/>
      <c r="TFW14" s="98"/>
      <c r="TFX14" s="98"/>
      <c r="TFY14" s="98"/>
      <c r="TFZ14" s="98"/>
      <c r="TGA14" s="98"/>
      <c r="TGB14" s="98"/>
      <c r="TGC14" s="98"/>
      <c r="TGD14" s="98"/>
      <c r="TGE14" s="98"/>
      <c r="TGF14" s="98"/>
      <c r="TGG14" s="98"/>
      <c r="TGH14" s="98"/>
      <c r="TGI14" s="98"/>
      <c r="TGJ14" s="98"/>
      <c r="TGK14" s="98"/>
      <c r="TGL14" s="98"/>
      <c r="TGM14" s="98"/>
      <c r="TGN14" s="98"/>
      <c r="TGO14" s="98"/>
      <c r="TGP14" s="98"/>
      <c r="TGQ14" s="98"/>
      <c r="TGR14" s="98"/>
      <c r="TGS14" s="98"/>
      <c r="TGT14" s="98"/>
      <c r="TGU14" s="98"/>
      <c r="TGV14" s="98"/>
      <c r="TGW14" s="98"/>
      <c r="TGX14" s="98"/>
      <c r="TGY14" s="98"/>
      <c r="TGZ14" s="98"/>
      <c r="THA14" s="98"/>
      <c r="THB14" s="98"/>
      <c r="THC14" s="98"/>
      <c r="THD14" s="98"/>
      <c r="THE14" s="98"/>
      <c r="THF14" s="98"/>
      <c r="THG14" s="98"/>
      <c r="THH14" s="98"/>
      <c r="THI14" s="98"/>
      <c r="THJ14" s="98"/>
      <c r="THK14" s="98"/>
      <c r="THL14" s="98"/>
      <c r="THM14" s="98"/>
      <c r="THN14" s="98"/>
      <c r="THO14" s="98"/>
      <c r="THP14" s="98"/>
      <c r="THQ14" s="98"/>
      <c r="THR14" s="98"/>
      <c r="THS14" s="98"/>
      <c r="THT14" s="98"/>
      <c r="THU14" s="98"/>
      <c r="THV14" s="98"/>
      <c r="THW14" s="98"/>
      <c r="THX14" s="98"/>
      <c r="THY14" s="98"/>
      <c r="THZ14" s="98"/>
      <c r="TIA14" s="98"/>
      <c r="TIB14" s="98"/>
      <c r="TIC14" s="98"/>
      <c r="TID14" s="98"/>
      <c r="TIE14" s="98"/>
      <c r="TIF14" s="98"/>
      <c r="TIG14" s="98"/>
      <c r="TIH14" s="98"/>
      <c r="TII14" s="98"/>
      <c r="TIJ14" s="98"/>
      <c r="TIK14" s="98"/>
      <c r="TIL14" s="98"/>
      <c r="TIM14" s="98"/>
      <c r="TIN14" s="98"/>
      <c r="TIO14" s="98"/>
      <c r="TIP14" s="98"/>
      <c r="TIQ14" s="98"/>
      <c r="TIR14" s="98"/>
      <c r="TIS14" s="98"/>
      <c r="TIT14" s="98"/>
      <c r="TIU14" s="98"/>
      <c r="TIV14" s="98"/>
      <c r="TIW14" s="98"/>
      <c r="TIX14" s="98"/>
      <c r="TIY14" s="98"/>
      <c r="TIZ14" s="98"/>
      <c r="TJA14" s="98"/>
      <c r="TJB14" s="98"/>
      <c r="TJC14" s="98"/>
      <c r="TJD14" s="98"/>
      <c r="TJE14" s="98"/>
      <c r="TJF14" s="98"/>
      <c r="TJG14" s="98"/>
      <c r="TJH14" s="98"/>
      <c r="TJI14" s="98"/>
      <c r="TJJ14" s="98"/>
      <c r="TJK14" s="98"/>
      <c r="TJL14" s="98"/>
      <c r="TJM14" s="98"/>
      <c r="TJN14" s="98"/>
      <c r="TJO14" s="98"/>
      <c r="TJP14" s="98"/>
      <c r="TJQ14" s="98"/>
      <c r="TJR14" s="98"/>
      <c r="TJS14" s="98"/>
      <c r="TJT14" s="98"/>
      <c r="TJU14" s="98"/>
      <c r="TJV14" s="98"/>
      <c r="TJW14" s="98"/>
      <c r="TJX14" s="98"/>
      <c r="TJY14" s="98"/>
      <c r="TJZ14" s="98"/>
      <c r="TKA14" s="98"/>
      <c r="TKB14" s="98"/>
      <c r="TKC14" s="98"/>
      <c r="TKD14" s="98"/>
      <c r="TKE14" s="98"/>
      <c r="TKF14" s="98"/>
      <c r="TKG14" s="98"/>
      <c r="TKH14" s="98"/>
      <c r="TKI14" s="98"/>
      <c r="TKJ14" s="98"/>
      <c r="TKK14" s="98"/>
      <c r="TKL14" s="98"/>
      <c r="TKM14" s="98"/>
      <c r="TKN14" s="98"/>
      <c r="TKO14" s="98"/>
      <c r="TKP14" s="98"/>
      <c r="TKQ14" s="98"/>
      <c r="TKR14" s="98"/>
      <c r="TKS14" s="98"/>
      <c r="TKT14" s="98"/>
      <c r="TKU14" s="98"/>
      <c r="TKV14" s="98"/>
      <c r="TKW14" s="98"/>
      <c r="TKX14" s="98"/>
      <c r="TKY14" s="98"/>
      <c r="TKZ14" s="98"/>
      <c r="TLA14" s="98"/>
      <c r="TLB14" s="98"/>
      <c r="TLC14" s="98"/>
      <c r="TLD14" s="98"/>
      <c r="TLE14" s="98"/>
      <c r="TLF14" s="98"/>
      <c r="TLG14" s="98"/>
      <c r="TLH14" s="98"/>
      <c r="TLI14" s="98"/>
      <c r="TLJ14" s="98"/>
      <c r="TLK14" s="98"/>
      <c r="TLL14" s="98"/>
      <c r="TLM14" s="98"/>
      <c r="TLN14" s="98"/>
      <c r="TLO14" s="98"/>
      <c r="TLP14" s="98"/>
      <c r="TLQ14" s="98"/>
      <c r="TLR14" s="98"/>
      <c r="TLS14" s="98"/>
      <c r="TLT14" s="98"/>
      <c r="TLU14" s="98"/>
      <c r="TLV14" s="98"/>
      <c r="TLW14" s="98"/>
      <c r="TLX14" s="98"/>
      <c r="TLY14" s="98"/>
      <c r="TLZ14" s="98"/>
      <c r="TMA14" s="98"/>
      <c r="TMB14" s="98"/>
      <c r="TMC14" s="98"/>
      <c r="TMD14" s="98"/>
      <c r="TME14" s="98"/>
      <c r="TMF14" s="98"/>
      <c r="TMG14" s="98"/>
      <c r="TMH14" s="98"/>
      <c r="TMI14" s="98"/>
      <c r="TMJ14" s="98"/>
      <c r="TMK14" s="98"/>
      <c r="TML14" s="98"/>
      <c r="TMM14" s="98"/>
      <c r="TMN14" s="98"/>
      <c r="TMO14" s="98"/>
      <c r="TMP14" s="98"/>
      <c r="TMQ14" s="98"/>
      <c r="TMR14" s="98"/>
      <c r="TMS14" s="98"/>
      <c r="TMT14" s="98"/>
      <c r="TMU14" s="98"/>
      <c r="TMV14" s="98"/>
      <c r="TMW14" s="98"/>
      <c r="TMX14" s="98"/>
      <c r="TMY14" s="98"/>
      <c r="TMZ14" s="98"/>
      <c r="TNA14" s="98"/>
      <c r="TNB14" s="98"/>
      <c r="TNC14" s="98"/>
      <c r="TND14" s="98"/>
      <c r="TNE14" s="98"/>
      <c r="TNF14" s="98"/>
      <c r="TNG14" s="98"/>
      <c r="TNH14" s="98"/>
      <c r="TNI14" s="98"/>
      <c r="TNJ14" s="98"/>
      <c r="TNK14" s="98"/>
      <c r="TNL14" s="98"/>
      <c r="TNM14" s="98"/>
      <c r="TNN14" s="98"/>
      <c r="TNO14" s="98"/>
      <c r="TNP14" s="98"/>
      <c r="TNQ14" s="98"/>
      <c r="TNR14" s="98"/>
      <c r="TNS14" s="98"/>
      <c r="TNT14" s="98"/>
      <c r="TNU14" s="98"/>
      <c r="TNV14" s="98"/>
      <c r="TNW14" s="98"/>
      <c r="TNX14" s="98"/>
      <c r="TNY14" s="98"/>
      <c r="TNZ14" s="98"/>
      <c r="TOA14" s="98"/>
      <c r="TOB14" s="98"/>
      <c r="TOC14" s="98"/>
      <c r="TOD14" s="98"/>
      <c r="TOE14" s="98"/>
      <c r="TOF14" s="98"/>
      <c r="TOG14" s="98"/>
      <c r="TOH14" s="98"/>
      <c r="TOI14" s="98"/>
      <c r="TOJ14" s="98"/>
      <c r="TOK14" s="98"/>
      <c r="TOL14" s="98"/>
      <c r="TOM14" s="98"/>
      <c r="TON14" s="98"/>
      <c r="TOO14" s="98"/>
      <c r="TOP14" s="98"/>
      <c r="TOQ14" s="98"/>
      <c r="TOR14" s="98"/>
      <c r="TOS14" s="98"/>
      <c r="TOT14" s="98"/>
      <c r="TOU14" s="98"/>
      <c r="TOV14" s="98"/>
      <c r="TOW14" s="98"/>
      <c r="TOX14" s="98"/>
      <c r="TOY14" s="98"/>
      <c r="TOZ14" s="98"/>
      <c r="TPA14" s="98"/>
      <c r="TPB14" s="98"/>
      <c r="TPC14" s="98"/>
      <c r="TPD14" s="98"/>
      <c r="TPE14" s="98"/>
      <c r="TPF14" s="98"/>
      <c r="TPG14" s="98"/>
      <c r="TPH14" s="98"/>
      <c r="TPI14" s="98"/>
      <c r="TPJ14" s="98"/>
      <c r="TPK14" s="98"/>
      <c r="TPL14" s="98"/>
      <c r="TPM14" s="98"/>
      <c r="TPN14" s="98"/>
      <c r="TPO14" s="98"/>
      <c r="TPP14" s="98"/>
      <c r="TPQ14" s="98"/>
      <c r="TPR14" s="98"/>
      <c r="TPS14" s="98"/>
      <c r="TPT14" s="98"/>
      <c r="TPU14" s="98"/>
      <c r="TPV14" s="98"/>
      <c r="TPW14" s="98"/>
      <c r="TPX14" s="98"/>
      <c r="TPY14" s="98"/>
      <c r="TPZ14" s="98"/>
      <c r="TQA14" s="98"/>
      <c r="TQB14" s="98"/>
      <c r="TQC14" s="98"/>
      <c r="TQD14" s="98"/>
      <c r="TQE14" s="98"/>
      <c r="TQF14" s="98"/>
      <c r="TQG14" s="98"/>
      <c r="TQH14" s="98"/>
      <c r="TQI14" s="98"/>
      <c r="TQJ14" s="98"/>
      <c r="TQK14" s="98"/>
      <c r="TQL14" s="98"/>
      <c r="TQM14" s="98"/>
      <c r="TQN14" s="98"/>
      <c r="TQO14" s="98"/>
      <c r="TQP14" s="98"/>
      <c r="TQQ14" s="98"/>
      <c r="TQR14" s="98"/>
      <c r="TQS14" s="98"/>
      <c r="TQT14" s="98"/>
      <c r="TQU14" s="98"/>
      <c r="TQV14" s="98"/>
      <c r="TQW14" s="98"/>
      <c r="TQX14" s="98"/>
      <c r="TQY14" s="98"/>
      <c r="TQZ14" s="98"/>
      <c r="TRA14" s="98"/>
      <c r="TRB14" s="98"/>
      <c r="TRC14" s="98"/>
      <c r="TRD14" s="98"/>
      <c r="TRE14" s="98"/>
      <c r="TRF14" s="98"/>
      <c r="TRG14" s="98"/>
      <c r="TRH14" s="98"/>
      <c r="TRI14" s="98"/>
      <c r="TRJ14" s="98"/>
      <c r="TRK14" s="98"/>
      <c r="TRL14" s="98"/>
      <c r="TRM14" s="98"/>
      <c r="TRN14" s="98"/>
      <c r="TRO14" s="98"/>
      <c r="TRP14" s="98"/>
      <c r="TRQ14" s="98"/>
      <c r="TRR14" s="98"/>
      <c r="TRS14" s="98"/>
      <c r="TRT14" s="98"/>
      <c r="TRU14" s="98"/>
      <c r="TRV14" s="98"/>
      <c r="TRW14" s="98"/>
      <c r="TRX14" s="98"/>
      <c r="TRY14" s="98"/>
      <c r="TRZ14" s="98"/>
      <c r="TSA14" s="98"/>
      <c r="TSB14" s="98"/>
      <c r="TSC14" s="98"/>
      <c r="TSD14" s="98"/>
      <c r="TSE14" s="98"/>
      <c r="TSF14" s="98"/>
      <c r="TSG14" s="98"/>
      <c r="TSH14" s="98"/>
      <c r="TSI14" s="98"/>
      <c r="TSJ14" s="98"/>
      <c r="TSK14" s="98"/>
      <c r="TSL14" s="98"/>
      <c r="TSM14" s="98"/>
      <c r="TSN14" s="98"/>
      <c r="TSO14" s="98"/>
      <c r="TSP14" s="98"/>
      <c r="TSQ14" s="98"/>
      <c r="TSR14" s="98"/>
      <c r="TSS14" s="98"/>
      <c r="TST14" s="98"/>
      <c r="TSU14" s="98"/>
      <c r="TSV14" s="98"/>
      <c r="TSW14" s="98"/>
      <c r="TSX14" s="98"/>
      <c r="TSY14" s="98"/>
      <c r="TSZ14" s="98"/>
      <c r="TTA14" s="98"/>
      <c r="TTB14" s="98"/>
      <c r="TTC14" s="98"/>
      <c r="TTD14" s="98"/>
      <c r="TTE14" s="98"/>
      <c r="TTF14" s="98"/>
      <c r="TTG14" s="98"/>
      <c r="TTH14" s="98"/>
      <c r="TTI14" s="98"/>
      <c r="TTJ14" s="98"/>
      <c r="TTK14" s="98"/>
      <c r="TTL14" s="98"/>
      <c r="TTM14" s="98"/>
      <c r="TTN14" s="98"/>
      <c r="TTO14" s="98"/>
      <c r="TTP14" s="98"/>
      <c r="TTQ14" s="98"/>
      <c r="TTR14" s="98"/>
      <c r="TTS14" s="98"/>
      <c r="TTT14" s="98"/>
      <c r="TTU14" s="98"/>
      <c r="TTV14" s="98"/>
      <c r="TTW14" s="98"/>
      <c r="TTX14" s="98"/>
      <c r="TTY14" s="98"/>
      <c r="TTZ14" s="98"/>
      <c r="TUA14" s="98"/>
      <c r="TUB14" s="98"/>
      <c r="TUC14" s="98"/>
      <c r="TUD14" s="98"/>
      <c r="TUE14" s="98"/>
      <c r="TUF14" s="98"/>
      <c r="TUG14" s="98"/>
      <c r="TUH14" s="98"/>
      <c r="TUI14" s="98"/>
      <c r="TUJ14" s="98"/>
      <c r="TUK14" s="98"/>
      <c r="TUL14" s="98"/>
      <c r="TUM14" s="98"/>
      <c r="TUN14" s="98"/>
      <c r="TUO14" s="98"/>
      <c r="TUP14" s="98"/>
      <c r="TUQ14" s="98"/>
      <c r="TUR14" s="98"/>
      <c r="TUS14" s="98"/>
      <c r="TUT14" s="98"/>
      <c r="TUU14" s="98"/>
      <c r="TUV14" s="98"/>
      <c r="TUW14" s="98"/>
      <c r="TUX14" s="98"/>
      <c r="TUY14" s="98"/>
      <c r="TUZ14" s="98"/>
      <c r="TVA14" s="98"/>
      <c r="TVB14" s="98"/>
      <c r="TVC14" s="98"/>
      <c r="TVD14" s="98"/>
      <c r="TVE14" s="98"/>
      <c r="TVF14" s="98"/>
      <c r="TVG14" s="98"/>
      <c r="TVH14" s="98"/>
      <c r="TVI14" s="98"/>
      <c r="TVJ14" s="98"/>
      <c r="TVK14" s="98"/>
      <c r="TVL14" s="98"/>
      <c r="TVM14" s="98"/>
      <c r="TVN14" s="98"/>
      <c r="TVO14" s="98"/>
      <c r="TVP14" s="98"/>
      <c r="TVQ14" s="98"/>
      <c r="TVR14" s="98"/>
      <c r="TVS14" s="98"/>
      <c r="TVT14" s="98"/>
      <c r="TVU14" s="98"/>
      <c r="TVV14" s="98"/>
      <c r="TVW14" s="98"/>
      <c r="TVX14" s="98"/>
      <c r="TVY14" s="98"/>
      <c r="TVZ14" s="98"/>
      <c r="TWA14" s="98"/>
      <c r="TWB14" s="98"/>
      <c r="TWC14" s="98"/>
      <c r="TWD14" s="98"/>
      <c r="TWE14" s="98"/>
      <c r="TWF14" s="98"/>
      <c r="TWG14" s="98"/>
      <c r="TWH14" s="98"/>
      <c r="TWI14" s="98"/>
      <c r="TWJ14" s="98"/>
      <c r="TWK14" s="98"/>
      <c r="TWL14" s="98"/>
      <c r="TWM14" s="98"/>
      <c r="TWN14" s="98"/>
      <c r="TWO14" s="98"/>
      <c r="TWP14" s="98"/>
      <c r="TWQ14" s="98"/>
      <c r="TWR14" s="98"/>
      <c r="TWS14" s="98"/>
      <c r="TWT14" s="98"/>
      <c r="TWU14" s="98"/>
      <c r="TWV14" s="98"/>
      <c r="TWW14" s="98"/>
      <c r="TWX14" s="98"/>
      <c r="TWY14" s="98"/>
      <c r="TWZ14" s="98"/>
      <c r="TXA14" s="98"/>
      <c r="TXB14" s="98"/>
      <c r="TXC14" s="98"/>
      <c r="TXD14" s="98"/>
      <c r="TXE14" s="98"/>
      <c r="TXF14" s="98"/>
      <c r="TXG14" s="98"/>
      <c r="TXH14" s="98"/>
      <c r="TXI14" s="98"/>
      <c r="TXJ14" s="98"/>
      <c r="TXK14" s="98"/>
      <c r="TXL14" s="98"/>
      <c r="TXM14" s="98"/>
      <c r="TXN14" s="98"/>
      <c r="TXO14" s="98"/>
      <c r="TXP14" s="98"/>
      <c r="TXQ14" s="98"/>
      <c r="TXR14" s="98"/>
      <c r="TXS14" s="98"/>
      <c r="TXT14" s="98"/>
      <c r="TXU14" s="98"/>
      <c r="TXV14" s="98"/>
      <c r="TXW14" s="98"/>
      <c r="TXX14" s="98"/>
      <c r="TXY14" s="98"/>
      <c r="TXZ14" s="98"/>
      <c r="TYA14" s="98"/>
      <c r="TYB14" s="98"/>
      <c r="TYC14" s="98"/>
      <c r="TYD14" s="98"/>
      <c r="TYE14" s="98"/>
      <c r="TYF14" s="98"/>
      <c r="TYG14" s="98"/>
      <c r="TYH14" s="98"/>
      <c r="TYI14" s="98"/>
      <c r="TYJ14" s="98"/>
      <c r="TYK14" s="98"/>
      <c r="TYL14" s="98"/>
      <c r="TYM14" s="98"/>
      <c r="TYN14" s="98"/>
      <c r="TYO14" s="98"/>
      <c r="TYP14" s="98"/>
      <c r="TYQ14" s="98"/>
      <c r="TYR14" s="98"/>
      <c r="TYS14" s="98"/>
      <c r="TYT14" s="98"/>
      <c r="TYU14" s="98"/>
      <c r="TYV14" s="98"/>
      <c r="TYW14" s="98"/>
      <c r="TYX14" s="98"/>
      <c r="TYY14" s="98"/>
      <c r="TYZ14" s="98"/>
      <c r="TZA14" s="98"/>
      <c r="TZB14" s="98"/>
      <c r="TZC14" s="98"/>
      <c r="TZD14" s="98"/>
      <c r="TZE14" s="98"/>
      <c r="TZF14" s="98"/>
      <c r="TZG14" s="98"/>
      <c r="TZH14" s="98"/>
      <c r="TZI14" s="98"/>
      <c r="TZJ14" s="98"/>
      <c r="TZK14" s="98"/>
      <c r="TZL14" s="98"/>
      <c r="TZM14" s="98"/>
      <c r="TZN14" s="98"/>
      <c r="TZO14" s="98"/>
      <c r="TZP14" s="98"/>
      <c r="TZQ14" s="98"/>
      <c r="TZR14" s="98"/>
      <c r="TZS14" s="98"/>
      <c r="TZT14" s="98"/>
      <c r="TZU14" s="98"/>
      <c r="TZV14" s="98"/>
      <c r="TZW14" s="98"/>
      <c r="TZX14" s="98"/>
      <c r="TZY14" s="98"/>
      <c r="TZZ14" s="98"/>
      <c r="UAA14" s="98"/>
      <c r="UAB14" s="98"/>
      <c r="UAC14" s="98"/>
      <c r="UAD14" s="98"/>
      <c r="UAE14" s="98"/>
      <c r="UAF14" s="98"/>
      <c r="UAG14" s="98"/>
      <c r="UAH14" s="98"/>
      <c r="UAI14" s="98"/>
      <c r="UAJ14" s="98"/>
      <c r="UAK14" s="98"/>
      <c r="UAL14" s="98"/>
      <c r="UAM14" s="98"/>
      <c r="UAN14" s="98"/>
      <c r="UAO14" s="98"/>
      <c r="UAP14" s="98"/>
      <c r="UAQ14" s="98"/>
      <c r="UAR14" s="98"/>
      <c r="UAS14" s="98"/>
      <c r="UAT14" s="98"/>
      <c r="UAU14" s="98"/>
      <c r="UAV14" s="98"/>
      <c r="UAW14" s="98"/>
      <c r="UAX14" s="98"/>
      <c r="UAY14" s="98"/>
      <c r="UAZ14" s="98"/>
      <c r="UBA14" s="98"/>
      <c r="UBB14" s="98"/>
      <c r="UBC14" s="98"/>
      <c r="UBD14" s="98"/>
      <c r="UBE14" s="98"/>
      <c r="UBF14" s="98"/>
      <c r="UBG14" s="98"/>
      <c r="UBH14" s="98"/>
      <c r="UBI14" s="98"/>
      <c r="UBJ14" s="98"/>
      <c r="UBK14" s="98"/>
      <c r="UBL14" s="98"/>
      <c r="UBM14" s="98"/>
      <c r="UBN14" s="98"/>
      <c r="UBO14" s="98"/>
      <c r="UBP14" s="98"/>
      <c r="UBQ14" s="98"/>
      <c r="UBR14" s="98"/>
      <c r="UBS14" s="98"/>
      <c r="UBT14" s="98"/>
      <c r="UBU14" s="98"/>
      <c r="UBV14" s="98"/>
      <c r="UBW14" s="98"/>
      <c r="UBX14" s="98"/>
      <c r="UBY14" s="98"/>
      <c r="UBZ14" s="98"/>
      <c r="UCA14" s="98"/>
      <c r="UCB14" s="98"/>
      <c r="UCC14" s="98"/>
      <c r="UCD14" s="98"/>
      <c r="UCE14" s="98"/>
      <c r="UCF14" s="98"/>
      <c r="UCG14" s="98"/>
      <c r="UCH14" s="98"/>
      <c r="UCI14" s="98"/>
      <c r="UCJ14" s="98"/>
      <c r="UCK14" s="98"/>
      <c r="UCL14" s="98"/>
      <c r="UCM14" s="98"/>
      <c r="UCN14" s="98"/>
      <c r="UCO14" s="98"/>
      <c r="UCP14" s="98"/>
      <c r="UCQ14" s="98"/>
      <c r="UCR14" s="98"/>
      <c r="UCS14" s="98"/>
      <c r="UCT14" s="98"/>
      <c r="UCU14" s="98"/>
      <c r="UCV14" s="98"/>
      <c r="UCW14" s="98"/>
      <c r="UCX14" s="98"/>
      <c r="UCY14" s="98"/>
      <c r="UCZ14" s="98"/>
      <c r="UDA14" s="98"/>
      <c r="UDB14" s="98"/>
      <c r="UDC14" s="98"/>
      <c r="UDD14" s="98"/>
      <c r="UDE14" s="98"/>
      <c r="UDF14" s="98"/>
      <c r="UDG14" s="98"/>
      <c r="UDH14" s="98"/>
      <c r="UDI14" s="98"/>
      <c r="UDJ14" s="98"/>
      <c r="UDK14" s="98"/>
      <c r="UDL14" s="98"/>
      <c r="UDM14" s="98"/>
      <c r="UDN14" s="98"/>
      <c r="UDO14" s="98"/>
      <c r="UDP14" s="98"/>
      <c r="UDQ14" s="98"/>
      <c r="UDR14" s="98"/>
      <c r="UDS14" s="98"/>
      <c r="UDT14" s="98"/>
      <c r="UDU14" s="98"/>
      <c r="UDV14" s="98"/>
      <c r="UDW14" s="98"/>
      <c r="UDX14" s="98"/>
      <c r="UDY14" s="98"/>
      <c r="UDZ14" s="98"/>
      <c r="UEA14" s="98"/>
      <c r="UEB14" s="98"/>
      <c r="UEC14" s="98"/>
      <c r="UED14" s="98"/>
      <c r="UEE14" s="98"/>
      <c r="UEF14" s="98"/>
      <c r="UEG14" s="98"/>
      <c r="UEH14" s="98"/>
      <c r="UEI14" s="98"/>
      <c r="UEJ14" s="98"/>
      <c r="UEK14" s="98"/>
      <c r="UEL14" s="98"/>
      <c r="UEM14" s="98"/>
      <c r="UEN14" s="98"/>
      <c r="UEO14" s="98"/>
      <c r="UEP14" s="98"/>
      <c r="UEQ14" s="98"/>
      <c r="UER14" s="98"/>
      <c r="UES14" s="98"/>
      <c r="UET14" s="98"/>
      <c r="UEU14" s="98"/>
      <c r="UEV14" s="98"/>
      <c r="UEW14" s="98"/>
      <c r="UEX14" s="98"/>
      <c r="UEY14" s="98"/>
      <c r="UEZ14" s="98"/>
      <c r="UFA14" s="98"/>
      <c r="UFB14" s="98"/>
      <c r="UFC14" s="98"/>
      <c r="UFD14" s="98"/>
      <c r="UFE14" s="98"/>
      <c r="UFF14" s="98"/>
      <c r="UFG14" s="98"/>
      <c r="UFH14" s="98"/>
      <c r="UFI14" s="98"/>
      <c r="UFJ14" s="98"/>
      <c r="UFK14" s="98"/>
      <c r="UFL14" s="98"/>
      <c r="UFM14" s="98"/>
      <c r="UFN14" s="98"/>
      <c r="UFO14" s="98"/>
      <c r="UFP14" s="98"/>
      <c r="UFQ14" s="98"/>
      <c r="UFR14" s="98"/>
      <c r="UFS14" s="98"/>
      <c r="UFT14" s="98"/>
      <c r="UFU14" s="98"/>
      <c r="UFV14" s="98"/>
      <c r="UFW14" s="98"/>
      <c r="UFX14" s="98"/>
      <c r="UFY14" s="98"/>
      <c r="UFZ14" s="98"/>
      <c r="UGA14" s="98"/>
      <c r="UGB14" s="98"/>
      <c r="UGC14" s="98"/>
      <c r="UGD14" s="98"/>
      <c r="UGE14" s="98"/>
      <c r="UGF14" s="98"/>
      <c r="UGG14" s="98"/>
      <c r="UGH14" s="98"/>
      <c r="UGI14" s="98"/>
      <c r="UGJ14" s="98"/>
      <c r="UGK14" s="98"/>
      <c r="UGL14" s="98"/>
      <c r="UGM14" s="98"/>
      <c r="UGN14" s="98"/>
      <c r="UGO14" s="98"/>
      <c r="UGP14" s="98"/>
      <c r="UGQ14" s="98"/>
      <c r="UGR14" s="98"/>
      <c r="UGS14" s="98"/>
      <c r="UGT14" s="98"/>
      <c r="UGU14" s="98"/>
      <c r="UGV14" s="98"/>
      <c r="UGW14" s="98"/>
      <c r="UGX14" s="98"/>
      <c r="UGY14" s="98"/>
      <c r="UGZ14" s="98"/>
      <c r="UHA14" s="98"/>
      <c r="UHB14" s="98"/>
      <c r="UHC14" s="98"/>
      <c r="UHD14" s="98"/>
      <c r="UHE14" s="98"/>
      <c r="UHF14" s="98"/>
      <c r="UHG14" s="98"/>
      <c r="UHH14" s="98"/>
      <c r="UHI14" s="98"/>
      <c r="UHJ14" s="98"/>
      <c r="UHK14" s="98"/>
      <c r="UHL14" s="98"/>
      <c r="UHM14" s="98"/>
      <c r="UHN14" s="98"/>
      <c r="UHO14" s="98"/>
      <c r="UHP14" s="98"/>
      <c r="UHQ14" s="98"/>
      <c r="UHR14" s="98"/>
      <c r="UHS14" s="98"/>
      <c r="UHT14" s="98"/>
      <c r="UHU14" s="98"/>
      <c r="UHV14" s="98"/>
      <c r="UHW14" s="98"/>
      <c r="UHX14" s="98"/>
      <c r="UHY14" s="98"/>
      <c r="UHZ14" s="98"/>
      <c r="UIA14" s="98"/>
      <c r="UIB14" s="98"/>
      <c r="UIC14" s="98"/>
      <c r="UID14" s="98"/>
      <c r="UIE14" s="98"/>
      <c r="UIF14" s="98"/>
      <c r="UIG14" s="98"/>
      <c r="UIH14" s="98"/>
      <c r="UII14" s="98"/>
      <c r="UIJ14" s="98"/>
      <c r="UIK14" s="98"/>
      <c r="UIL14" s="98"/>
      <c r="UIM14" s="98"/>
      <c r="UIN14" s="98"/>
      <c r="UIO14" s="98"/>
      <c r="UIP14" s="98"/>
      <c r="UIQ14" s="98"/>
      <c r="UIR14" s="98"/>
      <c r="UIS14" s="98"/>
      <c r="UIT14" s="98"/>
      <c r="UIU14" s="98"/>
      <c r="UIV14" s="98"/>
      <c r="UIW14" s="98"/>
      <c r="UIX14" s="98"/>
      <c r="UIY14" s="98"/>
      <c r="UIZ14" s="98"/>
      <c r="UJA14" s="98"/>
      <c r="UJB14" s="98"/>
      <c r="UJC14" s="98"/>
      <c r="UJD14" s="98"/>
      <c r="UJE14" s="98"/>
      <c r="UJF14" s="98"/>
      <c r="UJG14" s="98"/>
      <c r="UJH14" s="98"/>
      <c r="UJI14" s="98"/>
      <c r="UJJ14" s="98"/>
      <c r="UJK14" s="98"/>
      <c r="UJL14" s="98"/>
      <c r="UJM14" s="98"/>
      <c r="UJN14" s="98"/>
      <c r="UJO14" s="98"/>
      <c r="UJP14" s="98"/>
      <c r="UJQ14" s="98"/>
      <c r="UJR14" s="98"/>
      <c r="UJS14" s="98"/>
      <c r="UJT14" s="98"/>
      <c r="UJU14" s="98"/>
      <c r="UJV14" s="98"/>
      <c r="UJW14" s="98"/>
      <c r="UJX14" s="98"/>
      <c r="UJY14" s="98"/>
      <c r="UJZ14" s="98"/>
      <c r="UKA14" s="98"/>
      <c r="UKB14" s="98"/>
      <c r="UKC14" s="98"/>
      <c r="UKD14" s="98"/>
      <c r="UKE14" s="98"/>
      <c r="UKF14" s="98"/>
      <c r="UKG14" s="98"/>
      <c r="UKH14" s="98"/>
      <c r="UKI14" s="98"/>
      <c r="UKJ14" s="98"/>
      <c r="UKK14" s="98"/>
      <c r="UKL14" s="98"/>
      <c r="UKM14" s="98"/>
      <c r="UKN14" s="98"/>
      <c r="UKO14" s="98"/>
      <c r="UKP14" s="98"/>
      <c r="UKQ14" s="98"/>
      <c r="UKR14" s="98"/>
      <c r="UKS14" s="98"/>
      <c r="UKT14" s="98"/>
      <c r="UKU14" s="98"/>
      <c r="UKV14" s="98"/>
      <c r="UKW14" s="98"/>
      <c r="UKX14" s="98"/>
      <c r="UKY14" s="98"/>
      <c r="UKZ14" s="98"/>
      <c r="ULA14" s="98"/>
      <c r="ULB14" s="98"/>
      <c r="ULC14" s="98"/>
      <c r="ULD14" s="98"/>
      <c r="ULE14" s="98"/>
      <c r="ULF14" s="98"/>
      <c r="ULG14" s="98"/>
      <c r="ULH14" s="98"/>
      <c r="ULI14" s="98"/>
      <c r="ULJ14" s="98"/>
      <c r="ULK14" s="98"/>
      <c r="ULL14" s="98"/>
      <c r="ULM14" s="98"/>
      <c r="ULN14" s="98"/>
      <c r="ULO14" s="98"/>
      <c r="ULP14" s="98"/>
      <c r="ULQ14" s="98"/>
      <c r="ULR14" s="98"/>
      <c r="ULS14" s="98"/>
      <c r="ULT14" s="98"/>
      <c r="ULU14" s="98"/>
      <c r="ULV14" s="98"/>
      <c r="ULW14" s="98"/>
      <c r="ULX14" s="98"/>
      <c r="ULY14" s="98"/>
      <c r="ULZ14" s="98"/>
      <c r="UMA14" s="98"/>
      <c r="UMB14" s="98"/>
      <c r="UMC14" s="98"/>
      <c r="UMD14" s="98"/>
      <c r="UME14" s="98"/>
      <c r="UMF14" s="98"/>
      <c r="UMG14" s="98"/>
      <c r="UMH14" s="98"/>
      <c r="UMI14" s="98"/>
      <c r="UMJ14" s="98"/>
      <c r="UMK14" s="98"/>
      <c r="UML14" s="98"/>
      <c r="UMM14" s="98"/>
      <c r="UMN14" s="98"/>
      <c r="UMO14" s="98"/>
      <c r="UMP14" s="98"/>
      <c r="UMQ14" s="98"/>
      <c r="UMR14" s="98"/>
      <c r="UMS14" s="98"/>
      <c r="UMT14" s="98"/>
      <c r="UMU14" s="98"/>
      <c r="UMV14" s="98"/>
      <c r="UMW14" s="98"/>
      <c r="UMX14" s="98"/>
      <c r="UMY14" s="98"/>
      <c r="UMZ14" s="98"/>
      <c r="UNA14" s="98"/>
      <c r="UNB14" s="98"/>
      <c r="UNC14" s="98"/>
      <c r="UND14" s="98"/>
      <c r="UNE14" s="98"/>
      <c r="UNF14" s="98"/>
      <c r="UNG14" s="98"/>
      <c r="UNH14" s="98"/>
      <c r="UNI14" s="98"/>
      <c r="UNJ14" s="98"/>
      <c r="UNK14" s="98"/>
      <c r="UNL14" s="98"/>
      <c r="UNM14" s="98"/>
      <c r="UNN14" s="98"/>
      <c r="UNO14" s="98"/>
      <c r="UNP14" s="98"/>
      <c r="UNQ14" s="98"/>
      <c r="UNR14" s="98"/>
      <c r="UNS14" s="98"/>
      <c r="UNT14" s="98"/>
      <c r="UNU14" s="98"/>
      <c r="UNV14" s="98"/>
      <c r="UNW14" s="98"/>
      <c r="UNX14" s="98"/>
      <c r="UNY14" s="98"/>
      <c r="UNZ14" s="98"/>
      <c r="UOA14" s="98"/>
      <c r="UOB14" s="98"/>
      <c r="UOC14" s="98"/>
      <c r="UOD14" s="98"/>
      <c r="UOE14" s="98"/>
      <c r="UOF14" s="98"/>
      <c r="UOG14" s="98"/>
      <c r="UOH14" s="98"/>
      <c r="UOI14" s="98"/>
      <c r="UOJ14" s="98"/>
      <c r="UOK14" s="98"/>
      <c r="UOL14" s="98"/>
      <c r="UOM14" s="98"/>
      <c r="UON14" s="98"/>
      <c r="UOO14" s="98"/>
      <c r="UOP14" s="98"/>
      <c r="UOQ14" s="98"/>
      <c r="UOR14" s="98"/>
      <c r="UOS14" s="98"/>
      <c r="UOT14" s="98"/>
      <c r="UOU14" s="98"/>
      <c r="UOV14" s="98"/>
      <c r="UOW14" s="98"/>
      <c r="UOX14" s="98"/>
      <c r="UOY14" s="98"/>
      <c r="UOZ14" s="98"/>
      <c r="UPA14" s="98"/>
      <c r="UPB14" s="98"/>
      <c r="UPC14" s="98"/>
      <c r="UPD14" s="98"/>
      <c r="UPE14" s="98"/>
      <c r="UPF14" s="98"/>
      <c r="UPG14" s="98"/>
      <c r="UPH14" s="98"/>
      <c r="UPI14" s="98"/>
      <c r="UPJ14" s="98"/>
      <c r="UPK14" s="98"/>
      <c r="UPL14" s="98"/>
      <c r="UPM14" s="98"/>
      <c r="UPN14" s="98"/>
      <c r="UPO14" s="98"/>
      <c r="UPP14" s="98"/>
      <c r="UPQ14" s="98"/>
      <c r="UPR14" s="98"/>
      <c r="UPS14" s="98"/>
      <c r="UPT14" s="98"/>
      <c r="UPU14" s="98"/>
      <c r="UPV14" s="98"/>
      <c r="UPW14" s="98"/>
      <c r="UPX14" s="98"/>
      <c r="UPY14" s="98"/>
      <c r="UPZ14" s="98"/>
      <c r="UQA14" s="98"/>
      <c r="UQB14" s="98"/>
      <c r="UQC14" s="98"/>
      <c r="UQD14" s="98"/>
      <c r="UQE14" s="98"/>
      <c r="UQF14" s="98"/>
      <c r="UQG14" s="98"/>
      <c r="UQH14" s="98"/>
      <c r="UQI14" s="98"/>
      <c r="UQJ14" s="98"/>
      <c r="UQK14" s="98"/>
      <c r="UQL14" s="98"/>
      <c r="UQM14" s="98"/>
      <c r="UQN14" s="98"/>
      <c r="UQO14" s="98"/>
      <c r="UQP14" s="98"/>
      <c r="UQQ14" s="98"/>
      <c r="UQR14" s="98"/>
      <c r="UQS14" s="98"/>
      <c r="UQT14" s="98"/>
      <c r="UQU14" s="98"/>
      <c r="UQV14" s="98"/>
      <c r="UQW14" s="98"/>
      <c r="UQX14" s="98"/>
      <c r="UQY14" s="98"/>
      <c r="UQZ14" s="98"/>
      <c r="URA14" s="98"/>
      <c r="URB14" s="98"/>
      <c r="URC14" s="98"/>
      <c r="URD14" s="98"/>
      <c r="URE14" s="98"/>
      <c r="URF14" s="98"/>
      <c r="URG14" s="98"/>
      <c r="URH14" s="98"/>
      <c r="URI14" s="98"/>
      <c r="URJ14" s="98"/>
      <c r="URK14" s="98"/>
      <c r="URL14" s="98"/>
      <c r="URM14" s="98"/>
      <c r="URN14" s="98"/>
      <c r="URO14" s="98"/>
      <c r="URP14" s="98"/>
      <c r="URQ14" s="98"/>
      <c r="URR14" s="98"/>
      <c r="URS14" s="98"/>
      <c r="URT14" s="98"/>
      <c r="URU14" s="98"/>
      <c r="URV14" s="98"/>
      <c r="URW14" s="98"/>
      <c r="URX14" s="98"/>
      <c r="URY14" s="98"/>
      <c r="URZ14" s="98"/>
      <c r="USA14" s="98"/>
      <c r="USB14" s="98"/>
      <c r="USC14" s="98"/>
      <c r="USD14" s="98"/>
      <c r="USE14" s="98"/>
      <c r="USF14" s="98"/>
      <c r="USG14" s="98"/>
      <c r="USH14" s="98"/>
      <c r="USI14" s="98"/>
      <c r="USJ14" s="98"/>
      <c r="USK14" s="98"/>
      <c r="USL14" s="98"/>
      <c r="USM14" s="98"/>
      <c r="USN14" s="98"/>
      <c r="USO14" s="98"/>
      <c r="USP14" s="98"/>
      <c r="USQ14" s="98"/>
      <c r="USR14" s="98"/>
      <c r="USS14" s="98"/>
      <c r="UST14" s="98"/>
      <c r="USU14" s="98"/>
      <c r="USV14" s="98"/>
      <c r="USW14" s="98"/>
      <c r="USX14" s="98"/>
      <c r="USY14" s="98"/>
      <c r="USZ14" s="98"/>
      <c r="UTA14" s="98"/>
      <c r="UTB14" s="98"/>
      <c r="UTC14" s="98"/>
      <c r="UTD14" s="98"/>
      <c r="UTE14" s="98"/>
      <c r="UTF14" s="98"/>
      <c r="UTG14" s="98"/>
      <c r="UTH14" s="98"/>
      <c r="UTI14" s="98"/>
      <c r="UTJ14" s="98"/>
      <c r="UTK14" s="98"/>
      <c r="UTL14" s="98"/>
      <c r="UTM14" s="98"/>
      <c r="UTN14" s="98"/>
      <c r="UTO14" s="98"/>
      <c r="UTP14" s="98"/>
      <c r="UTQ14" s="98"/>
      <c r="UTR14" s="98"/>
      <c r="UTS14" s="98"/>
      <c r="UTT14" s="98"/>
      <c r="UTU14" s="98"/>
      <c r="UTV14" s="98"/>
      <c r="UTW14" s="98"/>
      <c r="UTX14" s="98"/>
      <c r="UTY14" s="98"/>
      <c r="UTZ14" s="98"/>
      <c r="UUA14" s="98"/>
      <c r="UUB14" s="98"/>
      <c r="UUC14" s="98"/>
      <c r="UUD14" s="98"/>
      <c r="UUE14" s="98"/>
      <c r="UUF14" s="98"/>
      <c r="UUG14" s="98"/>
      <c r="UUH14" s="98"/>
      <c r="UUI14" s="98"/>
      <c r="UUJ14" s="98"/>
      <c r="UUK14" s="98"/>
      <c r="UUL14" s="98"/>
      <c r="UUM14" s="98"/>
      <c r="UUN14" s="98"/>
      <c r="UUO14" s="98"/>
      <c r="UUP14" s="98"/>
      <c r="UUQ14" s="98"/>
      <c r="UUR14" s="98"/>
      <c r="UUS14" s="98"/>
      <c r="UUT14" s="98"/>
      <c r="UUU14" s="98"/>
      <c r="UUV14" s="98"/>
      <c r="UUW14" s="98"/>
      <c r="UUX14" s="98"/>
      <c r="UUY14" s="98"/>
      <c r="UUZ14" s="98"/>
      <c r="UVA14" s="98"/>
      <c r="UVB14" s="98"/>
      <c r="UVC14" s="98"/>
      <c r="UVD14" s="98"/>
      <c r="UVE14" s="98"/>
      <c r="UVF14" s="98"/>
      <c r="UVG14" s="98"/>
      <c r="UVH14" s="98"/>
      <c r="UVI14" s="98"/>
      <c r="UVJ14" s="98"/>
      <c r="UVK14" s="98"/>
      <c r="UVL14" s="98"/>
      <c r="UVM14" s="98"/>
      <c r="UVN14" s="98"/>
      <c r="UVO14" s="98"/>
      <c r="UVP14" s="98"/>
      <c r="UVQ14" s="98"/>
      <c r="UVR14" s="98"/>
      <c r="UVS14" s="98"/>
      <c r="UVT14" s="98"/>
      <c r="UVU14" s="98"/>
      <c r="UVV14" s="98"/>
      <c r="UVW14" s="98"/>
      <c r="UVX14" s="98"/>
      <c r="UVY14" s="98"/>
      <c r="UVZ14" s="98"/>
      <c r="UWA14" s="98"/>
      <c r="UWB14" s="98"/>
      <c r="UWC14" s="98"/>
      <c r="UWD14" s="98"/>
      <c r="UWE14" s="98"/>
      <c r="UWF14" s="98"/>
      <c r="UWG14" s="98"/>
      <c r="UWH14" s="98"/>
      <c r="UWI14" s="98"/>
      <c r="UWJ14" s="98"/>
      <c r="UWK14" s="98"/>
      <c r="UWL14" s="98"/>
      <c r="UWM14" s="98"/>
      <c r="UWN14" s="98"/>
      <c r="UWO14" s="98"/>
      <c r="UWP14" s="98"/>
      <c r="UWQ14" s="98"/>
      <c r="UWR14" s="98"/>
      <c r="UWS14" s="98"/>
      <c r="UWT14" s="98"/>
      <c r="UWU14" s="98"/>
      <c r="UWV14" s="98"/>
      <c r="UWW14" s="98"/>
      <c r="UWX14" s="98"/>
      <c r="UWY14" s="98"/>
      <c r="UWZ14" s="98"/>
      <c r="UXA14" s="98"/>
      <c r="UXB14" s="98"/>
      <c r="UXC14" s="98"/>
      <c r="UXD14" s="98"/>
      <c r="UXE14" s="98"/>
      <c r="UXF14" s="98"/>
      <c r="UXG14" s="98"/>
      <c r="UXH14" s="98"/>
      <c r="UXI14" s="98"/>
      <c r="UXJ14" s="98"/>
      <c r="UXK14" s="98"/>
      <c r="UXL14" s="98"/>
      <c r="UXM14" s="98"/>
      <c r="UXN14" s="98"/>
      <c r="UXO14" s="98"/>
      <c r="UXP14" s="98"/>
      <c r="UXQ14" s="98"/>
      <c r="UXR14" s="98"/>
      <c r="UXS14" s="98"/>
      <c r="UXT14" s="98"/>
      <c r="UXU14" s="98"/>
      <c r="UXV14" s="98"/>
      <c r="UXW14" s="98"/>
      <c r="UXX14" s="98"/>
      <c r="UXY14" s="98"/>
      <c r="UXZ14" s="98"/>
      <c r="UYA14" s="98"/>
      <c r="UYB14" s="98"/>
      <c r="UYC14" s="98"/>
      <c r="UYD14" s="98"/>
      <c r="UYE14" s="98"/>
      <c r="UYF14" s="98"/>
      <c r="UYG14" s="98"/>
      <c r="UYH14" s="98"/>
      <c r="UYI14" s="98"/>
      <c r="UYJ14" s="98"/>
      <c r="UYK14" s="98"/>
      <c r="UYL14" s="98"/>
      <c r="UYM14" s="98"/>
      <c r="UYN14" s="98"/>
      <c r="UYO14" s="98"/>
      <c r="UYP14" s="98"/>
      <c r="UYQ14" s="98"/>
      <c r="UYR14" s="98"/>
      <c r="UYS14" s="98"/>
      <c r="UYT14" s="98"/>
      <c r="UYU14" s="98"/>
      <c r="UYV14" s="98"/>
      <c r="UYW14" s="98"/>
      <c r="UYX14" s="98"/>
      <c r="UYY14" s="98"/>
      <c r="UYZ14" s="98"/>
      <c r="UZA14" s="98"/>
      <c r="UZB14" s="98"/>
      <c r="UZC14" s="98"/>
      <c r="UZD14" s="98"/>
      <c r="UZE14" s="98"/>
      <c r="UZF14" s="98"/>
      <c r="UZG14" s="98"/>
      <c r="UZH14" s="98"/>
      <c r="UZI14" s="98"/>
      <c r="UZJ14" s="98"/>
      <c r="UZK14" s="98"/>
      <c r="UZL14" s="98"/>
      <c r="UZM14" s="98"/>
      <c r="UZN14" s="98"/>
      <c r="UZO14" s="98"/>
      <c r="UZP14" s="98"/>
      <c r="UZQ14" s="98"/>
      <c r="UZR14" s="98"/>
      <c r="UZS14" s="98"/>
      <c r="UZT14" s="98"/>
      <c r="UZU14" s="98"/>
      <c r="UZV14" s="98"/>
      <c r="UZW14" s="98"/>
      <c r="UZX14" s="98"/>
      <c r="UZY14" s="98"/>
      <c r="UZZ14" s="98"/>
      <c r="VAA14" s="98"/>
      <c r="VAB14" s="98"/>
      <c r="VAC14" s="98"/>
      <c r="VAD14" s="98"/>
      <c r="VAE14" s="98"/>
      <c r="VAF14" s="98"/>
      <c r="VAG14" s="98"/>
      <c r="VAH14" s="98"/>
      <c r="VAI14" s="98"/>
      <c r="VAJ14" s="98"/>
      <c r="VAK14" s="98"/>
      <c r="VAL14" s="98"/>
      <c r="VAM14" s="98"/>
      <c r="VAN14" s="98"/>
      <c r="VAO14" s="98"/>
      <c r="VAP14" s="98"/>
      <c r="VAQ14" s="98"/>
      <c r="VAR14" s="98"/>
      <c r="VAS14" s="98"/>
      <c r="VAT14" s="98"/>
      <c r="VAU14" s="98"/>
      <c r="VAV14" s="98"/>
      <c r="VAW14" s="98"/>
      <c r="VAX14" s="98"/>
      <c r="VAY14" s="98"/>
      <c r="VAZ14" s="98"/>
      <c r="VBA14" s="98"/>
      <c r="VBB14" s="98"/>
      <c r="VBC14" s="98"/>
      <c r="VBD14" s="98"/>
      <c r="VBE14" s="98"/>
      <c r="VBF14" s="98"/>
      <c r="VBG14" s="98"/>
      <c r="VBH14" s="98"/>
      <c r="VBI14" s="98"/>
      <c r="VBJ14" s="98"/>
      <c r="VBK14" s="98"/>
      <c r="VBL14" s="98"/>
      <c r="VBM14" s="98"/>
      <c r="VBN14" s="98"/>
      <c r="VBO14" s="98"/>
      <c r="VBP14" s="98"/>
      <c r="VBQ14" s="98"/>
      <c r="VBR14" s="98"/>
      <c r="VBS14" s="98"/>
      <c r="VBT14" s="98"/>
      <c r="VBU14" s="98"/>
      <c r="VBV14" s="98"/>
      <c r="VBW14" s="98"/>
      <c r="VBX14" s="98"/>
      <c r="VBY14" s="98"/>
      <c r="VBZ14" s="98"/>
      <c r="VCA14" s="98"/>
      <c r="VCB14" s="98"/>
      <c r="VCC14" s="98"/>
      <c r="VCD14" s="98"/>
      <c r="VCE14" s="98"/>
      <c r="VCF14" s="98"/>
      <c r="VCG14" s="98"/>
      <c r="VCH14" s="98"/>
      <c r="VCI14" s="98"/>
      <c r="VCJ14" s="98"/>
      <c r="VCK14" s="98"/>
      <c r="VCL14" s="98"/>
      <c r="VCM14" s="98"/>
      <c r="VCN14" s="98"/>
      <c r="VCO14" s="98"/>
      <c r="VCP14" s="98"/>
      <c r="VCQ14" s="98"/>
      <c r="VCR14" s="98"/>
      <c r="VCS14" s="98"/>
      <c r="VCT14" s="98"/>
      <c r="VCU14" s="98"/>
      <c r="VCV14" s="98"/>
      <c r="VCW14" s="98"/>
      <c r="VCX14" s="98"/>
      <c r="VCY14" s="98"/>
      <c r="VCZ14" s="98"/>
      <c r="VDA14" s="98"/>
      <c r="VDB14" s="98"/>
      <c r="VDC14" s="98"/>
      <c r="VDD14" s="98"/>
      <c r="VDE14" s="98"/>
      <c r="VDF14" s="98"/>
      <c r="VDG14" s="98"/>
      <c r="VDH14" s="98"/>
      <c r="VDI14" s="98"/>
      <c r="VDJ14" s="98"/>
      <c r="VDK14" s="98"/>
      <c r="VDL14" s="98"/>
      <c r="VDM14" s="98"/>
      <c r="VDN14" s="98"/>
      <c r="VDO14" s="98"/>
      <c r="VDP14" s="98"/>
      <c r="VDQ14" s="98"/>
      <c r="VDR14" s="98"/>
      <c r="VDS14" s="98"/>
      <c r="VDT14" s="98"/>
      <c r="VDU14" s="98"/>
      <c r="VDV14" s="98"/>
      <c r="VDW14" s="98"/>
      <c r="VDX14" s="98"/>
      <c r="VDY14" s="98"/>
      <c r="VDZ14" s="98"/>
      <c r="VEA14" s="98"/>
      <c r="VEB14" s="98"/>
      <c r="VEC14" s="98"/>
      <c r="VED14" s="98"/>
      <c r="VEE14" s="98"/>
      <c r="VEF14" s="98"/>
      <c r="VEG14" s="98"/>
      <c r="VEH14" s="98"/>
      <c r="VEI14" s="98"/>
      <c r="VEJ14" s="98"/>
      <c r="VEK14" s="98"/>
      <c r="VEL14" s="98"/>
      <c r="VEM14" s="98"/>
      <c r="VEN14" s="98"/>
      <c r="VEO14" s="98"/>
      <c r="VEP14" s="98"/>
      <c r="VEQ14" s="98"/>
      <c r="VER14" s="98"/>
      <c r="VES14" s="98"/>
      <c r="VET14" s="98"/>
      <c r="VEU14" s="98"/>
      <c r="VEV14" s="98"/>
      <c r="VEW14" s="98"/>
      <c r="VEX14" s="98"/>
      <c r="VEY14" s="98"/>
      <c r="VEZ14" s="98"/>
      <c r="VFA14" s="98"/>
      <c r="VFB14" s="98"/>
      <c r="VFC14" s="98"/>
      <c r="VFD14" s="98"/>
      <c r="VFE14" s="98"/>
      <c r="VFF14" s="98"/>
      <c r="VFG14" s="98"/>
      <c r="VFH14" s="98"/>
      <c r="VFI14" s="98"/>
      <c r="VFJ14" s="98"/>
      <c r="VFK14" s="98"/>
      <c r="VFL14" s="98"/>
      <c r="VFM14" s="98"/>
      <c r="VFN14" s="98"/>
      <c r="VFO14" s="98"/>
      <c r="VFP14" s="98"/>
      <c r="VFQ14" s="98"/>
      <c r="VFR14" s="98"/>
      <c r="VFS14" s="98"/>
      <c r="VFT14" s="98"/>
      <c r="VFU14" s="98"/>
      <c r="VFV14" s="98"/>
      <c r="VFW14" s="98"/>
      <c r="VFX14" s="98"/>
      <c r="VFY14" s="98"/>
      <c r="VFZ14" s="98"/>
      <c r="VGA14" s="98"/>
      <c r="VGB14" s="98"/>
      <c r="VGC14" s="98"/>
      <c r="VGD14" s="98"/>
      <c r="VGE14" s="98"/>
      <c r="VGF14" s="98"/>
      <c r="VGG14" s="98"/>
      <c r="VGH14" s="98"/>
      <c r="VGI14" s="98"/>
      <c r="VGJ14" s="98"/>
      <c r="VGK14" s="98"/>
      <c r="VGL14" s="98"/>
      <c r="VGM14" s="98"/>
      <c r="VGN14" s="98"/>
      <c r="VGO14" s="98"/>
      <c r="VGP14" s="98"/>
      <c r="VGQ14" s="98"/>
      <c r="VGR14" s="98"/>
      <c r="VGS14" s="98"/>
      <c r="VGT14" s="98"/>
      <c r="VGU14" s="98"/>
      <c r="VGV14" s="98"/>
      <c r="VGW14" s="98"/>
      <c r="VGX14" s="98"/>
      <c r="VGY14" s="98"/>
      <c r="VGZ14" s="98"/>
      <c r="VHA14" s="98"/>
      <c r="VHB14" s="98"/>
      <c r="VHC14" s="98"/>
      <c r="VHD14" s="98"/>
      <c r="VHE14" s="98"/>
      <c r="VHF14" s="98"/>
      <c r="VHG14" s="98"/>
      <c r="VHH14" s="98"/>
      <c r="VHI14" s="98"/>
      <c r="VHJ14" s="98"/>
      <c r="VHK14" s="98"/>
      <c r="VHL14" s="98"/>
      <c r="VHM14" s="98"/>
      <c r="VHN14" s="98"/>
      <c r="VHO14" s="98"/>
      <c r="VHP14" s="98"/>
      <c r="VHQ14" s="98"/>
      <c r="VHR14" s="98"/>
      <c r="VHS14" s="98"/>
      <c r="VHT14" s="98"/>
      <c r="VHU14" s="98"/>
      <c r="VHV14" s="98"/>
      <c r="VHW14" s="98"/>
      <c r="VHX14" s="98"/>
      <c r="VHY14" s="98"/>
      <c r="VHZ14" s="98"/>
      <c r="VIA14" s="98"/>
      <c r="VIB14" s="98"/>
      <c r="VIC14" s="98"/>
      <c r="VID14" s="98"/>
      <c r="VIE14" s="98"/>
      <c r="VIF14" s="98"/>
      <c r="VIG14" s="98"/>
      <c r="VIH14" s="98"/>
      <c r="VII14" s="98"/>
      <c r="VIJ14" s="98"/>
      <c r="VIK14" s="98"/>
      <c r="VIL14" s="98"/>
      <c r="VIM14" s="98"/>
      <c r="VIN14" s="98"/>
      <c r="VIO14" s="98"/>
      <c r="VIP14" s="98"/>
      <c r="VIQ14" s="98"/>
      <c r="VIR14" s="98"/>
      <c r="VIS14" s="98"/>
      <c r="VIT14" s="98"/>
      <c r="VIU14" s="98"/>
      <c r="VIV14" s="98"/>
      <c r="VIW14" s="98"/>
      <c r="VIX14" s="98"/>
      <c r="VIY14" s="98"/>
      <c r="VIZ14" s="98"/>
      <c r="VJA14" s="98"/>
      <c r="VJB14" s="98"/>
      <c r="VJC14" s="98"/>
      <c r="VJD14" s="98"/>
      <c r="VJE14" s="98"/>
      <c r="VJF14" s="98"/>
      <c r="VJG14" s="98"/>
      <c r="VJH14" s="98"/>
      <c r="VJI14" s="98"/>
      <c r="VJJ14" s="98"/>
      <c r="VJK14" s="98"/>
      <c r="VJL14" s="98"/>
      <c r="VJM14" s="98"/>
      <c r="VJN14" s="98"/>
      <c r="VJO14" s="98"/>
      <c r="VJP14" s="98"/>
      <c r="VJQ14" s="98"/>
      <c r="VJR14" s="98"/>
      <c r="VJS14" s="98"/>
      <c r="VJT14" s="98"/>
      <c r="VJU14" s="98"/>
      <c r="VJV14" s="98"/>
      <c r="VJW14" s="98"/>
      <c r="VJX14" s="98"/>
      <c r="VJY14" s="98"/>
      <c r="VJZ14" s="98"/>
      <c r="VKA14" s="98"/>
      <c r="VKB14" s="98"/>
      <c r="VKC14" s="98"/>
      <c r="VKD14" s="98"/>
      <c r="VKE14" s="98"/>
      <c r="VKF14" s="98"/>
      <c r="VKG14" s="98"/>
      <c r="VKH14" s="98"/>
      <c r="VKI14" s="98"/>
      <c r="VKJ14" s="98"/>
      <c r="VKK14" s="98"/>
      <c r="VKL14" s="98"/>
      <c r="VKM14" s="98"/>
      <c r="VKN14" s="98"/>
      <c r="VKO14" s="98"/>
      <c r="VKP14" s="98"/>
      <c r="VKQ14" s="98"/>
      <c r="VKR14" s="98"/>
      <c r="VKS14" s="98"/>
      <c r="VKT14" s="98"/>
      <c r="VKU14" s="98"/>
      <c r="VKV14" s="98"/>
      <c r="VKW14" s="98"/>
      <c r="VKX14" s="98"/>
      <c r="VKY14" s="98"/>
      <c r="VKZ14" s="98"/>
      <c r="VLA14" s="98"/>
      <c r="VLB14" s="98"/>
      <c r="VLC14" s="98"/>
      <c r="VLD14" s="98"/>
      <c r="VLE14" s="98"/>
      <c r="VLF14" s="98"/>
      <c r="VLG14" s="98"/>
      <c r="VLH14" s="98"/>
      <c r="VLI14" s="98"/>
      <c r="VLJ14" s="98"/>
      <c r="VLK14" s="98"/>
      <c r="VLL14" s="98"/>
      <c r="VLM14" s="98"/>
      <c r="VLN14" s="98"/>
      <c r="VLO14" s="98"/>
      <c r="VLP14" s="98"/>
      <c r="VLQ14" s="98"/>
      <c r="VLR14" s="98"/>
      <c r="VLS14" s="98"/>
      <c r="VLT14" s="98"/>
      <c r="VLU14" s="98"/>
      <c r="VLV14" s="98"/>
      <c r="VLW14" s="98"/>
      <c r="VLX14" s="98"/>
      <c r="VLY14" s="98"/>
      <c r="VLZ14" s="98"/>
      <c r="VMA14" s="98"/>
      <c r="VMB14" s="98"/>
      <c r="VMC14" s="98"/>
      <c r="VMD14" s="98"/>
      <c r="VME14" s="98"/>
      <c r="VMF14" s="98"/>
      <c r="VMG14" s="98"/>
      <c r="VMH14" s="98"/>
      <c r="VMI14" s="98"/>
      <c r="VMJ14" s="98"/>
      <c r="VMK14" s="98"/>
      <c r="VML14" s="98"/>
      <c r="VMM14" s="98"/>
      <c r="VMN14" s="98"/>
      <c r="VMO14" s="98"/>
      <c r="VMP14" s="98"/>
      <c r="VMQ14" s="98"/>
      <c r="VMR14" s="98"/>
      <c r="VMS14" s="98"/>
      <c r="VMT14" s="98"/>
      <c r="VMU14" s="98"/>
      <c r="VMV14" s="98"/>
      <c r="VMW14" s="98"/>
      <c r="VMX14" s="98"/>
      <c r="VMY14" s="98"/>
      <c r="VMZ14" s="98"/>
      <c r="VNA14" s="98"/>
      <c r="VNB14" s="98"/>
      <c r="VNC14" s="98"/>
      <c r="VND14" s="98"/>
      <c r="VNE14" s="98"/>
      <c r="VNF14" s="98"/>
      <c r="VNG14" s="98"/>
      <c r="VNH14" s="98"/>
      <c r="VNI14" s="98"/>
      <c r="VNJ14" s="98"/>
      <c r="VNK14" s="98"/>
      <c r="VNL14" s="98"/>
      <c r="VNM14" s="98"/>
      <c r="VNN14" s="98"/>
      <c r="VNO14" s="98"/>
      <c r="VNP14" s="98"/>
      <c r="VNQ14" s="98"/>
      <c r="VNR14" s="98"/>
      <c r="VNS14" s="98"/>
      <c r="VNT14" s="98"/>
      <c r="VNU14" s="98"/>
      <c r="VNV14" s="98"/>
      <c r="VNW14" s="98"/>
      <c r="VNX14" s="98"/>
      <c r="VNY14" s="98"/>
      <c r="VNZ14" s="98"/>
      <c r="VOA14" s="98"/>
      <c r="VOB14" s="98"/>
      <c r="VOC14" s="98"/>
      <c r="VOD14" s="98"/>
      <c r="VOE14" s="98"/>
      <c r="VOF14" s="98"/>
      <c r="VOG14" s="98"/>
      <c r="VOH14" s="98"/>
      <c r="VOI14" s="98"/>
      <c r="VOJ14" s="98"/>
      <c r="VOK14" s="98"/>
      <c r="VOL14" s="98"/>
      <c r="VOM14" s="98"/>
      <c r="VON14" s="98"/>
      <c r="VOO14" s="98"/>
      <c r="VOP14" s="98"/>
      <c r="VOQ14" s="98"/>
      <c r="VOR14" s="98"/>
      <c r="VOS14" s="98"/>
      <c r="VOT14" s="98"/>
      <c r="VOU14" s="98"/>
      <c r="VOV14" s="98"/>
      <c r="VOW14" s="98"/>
      <c r="VOX14" s="98"/>
      <c r="VOY14" s="98"/>
      <c r="VOZ14" s="98"/>
      <c r="VPA14" s="98"/>
      <c r="VPB14" s="98"/>
      <c r="VPC14" s="98"/>
      <c r="VPD14" s="98"/>
      <c r="VPE14" s="98"/>
      <c r="VPF14" s="98"/>
      <c r="VPG14" s="98"/>
      <c r="VPH14" s="98"/>
      <c r="VPI14" s="98"/>
      <c r="VPJ14" s="98"/>
      <c r="VPK14" s="98"/>
      <c r="VPL14" s="98"/>
      <c r="VPM14" s="98"/>
      <c r="VPN14" s="98"/>
      <c r="VPO14" s="98"/>
      <c r="VPP14" s="98"/>
      <c r="VPQ14" s="98"/>
      <c r="VPR14" s="98"/>
      <c r="VPS14" s="98"/>
      <c r="VPT14" s="98"/>
      <c r="VPU14" s="98"/>
      <c r="VPV14" s="98"/>
      <c r="VPW14" s="98"/>
      <c r="VPX14" s="98"/>
      <c r="VPY14" s="98"/>
      <c r="VPZ14" s="98"/>
      <c r="VQA14" s="98"/>
      <c r="VQB14" s="98"/>
      <c r="VQC14" s="98"/>
      <c r="VQD14" s="98"/>
      <c r="VQE14" s="98"/>
      <c r="VQF14" s="98"/>
      <c r="VQG14" s="98"/>
      <c r="VQH14" s="98"/>
      <c r="VQI14" s="98"/>
      <c r="VQJ14" s="98"/>
      <c r="VQK14" s="98"/>
      <c r="VQL14" s="98"/>
      <c r="VQM14" s="98"/>
      <c r="VQN14" s="98"/>
      <c r="VQO14" s="98"/>
      <c r="VQP14" s="98"/>
      <c r="VQQ14" s="98"/>
      <c r="VQR14" s="98"/>
      <c r="VQS14" s="98"/>
      <c r="VQT14" s="98"/>
      <c r="VQU14" s="98"/>
      <c r="VQV14" s="98"/>
      <c r="VQW14" s="98"/>
      <c r="VQX14" s="98"/>
      <c r="VQY14" s="98"/>
      <c r="VQZ14" s="98"/>
      <c r="VRA14" s="98"/>
      <c r="VRB14" s="98"/>
      <c r="VRC14" s="98"/>
      <c r="VRD14" s="98"/>
      <c r="VRE14" s="98"/>
      <c r="VRF14" s="98"/>
      <c r="VRG14" s="98"/>
      <c r="VRH14" s="98"/>
      <c r="VRI14" s="98"/>
      <c r="VRJ14" s="98"/>
      <c r="VRK14" s="98"/>
      <c r="VRL14" s="98"/>
      <c r="VRM14" s="98"/>
      <c r="VRN14" s="98"/>
      <c r="VRO14" s="98"/>
      <c r="VRP14" s="98"/>
      <c r="VRQ14" s="98"/>
      <c r="VRR14" s="98"/>
      <c r="VRS14" s="98"/>
      <c r="VRT14" s="98"/>
      <c r="VRU14" s="98"/>
      <c r="VRV14" s="98"/>
      <c r="VRW14" s="98"/>
      <c r="VRX14" s="98"/>
      <c r="VRY14" s="98"/>
      <c r="VRZ14" s="98"/>
      <c r="VSA14" s="98"/>
      <c r="VSB14" s="98"/>
      <c r="VSC14" s="98"/>
      <c r="VSD14" s="98"/>
      <c r="VSE14" s="98"/>
      <c r="VSF14" s="98"/>
      <c r="VSG14" s="98"/>
      <c r="VSH14" s="98"/>
      <c r="VSI14" s="98"/>
      <c r="VSJ14" s="98"/>
      <c r="VSK14" s="98"/>
      <c r="VSL14" s="98"/>
      <c r="VSM14" s="98"/>
      <c r="VSN14" s="98"/>
      <c r="VSO14" s="98"/>
      <c r="VSP14" s="98"/>
      <c r="VSQ14" s="98"/>
      <c r="VSR14" s="98"/>
      <c r="VSS14" s="98"/>
      <c r="VST14" s="98"/>
      <c r="VSU14" s="98"/>
      <c r="VSV14" s="98"/>
      <c r="VSW14" s="98"/>
      <c r="VSX14" s="98"/>
      <c r="VSY14" s="98"/>
      <c r="VSZ14" s="98"/>
      <c r="VTA14" s="98"/>
      <c r="VTB14" s="98"/>
      <c r="VTC14" s="98"/>
      <c r="VTD14" s="98"/>
      <c r="VTE14" s="98"/>
      <c r="VTF14" s="98"/>
      <c r="VTG14" s="98"/>
      <c r="VTH14" s="98"/>
      <c r="VTI14" s="98"/>
      <c r="VTJ14" s="98"/>
      <c r="VTK14" s="98"/>
      <c r="VTL14" s="98"/>
      <c r="VTM14" s="98"/>
      <c r="VTN14" s="98"/>
      <c r="VTO14" s="98"/>
      <c r="VTP14" s="98"/>
      <c r="VTQ14" s="98"/>
      <c r="VTR14" s="98"/>
      <c r="VTS14" s="98"/>
      <c r="VTT14" s="98"/>
      <c r="VTU14" s="98"/>
      <c r="VTV14" s="98"/>
      <c r="VTW14" s="98"/>
      <c r="VTX14" s="98"/>
      <c r="VTY14" s="98"/>
      <c r="VTZ14" s="98"/>
      <c r="VUA14" s="98"/>
      <c r="VUB14" s="98"/>
      <c r="VUC14" s="98"/>
      <c r="VUD14" s="98"/>
      <c r="VUE14" s="98"/>
      <c r="VUF14" s="98"/>
      <c r="VUG14" s="98"/>
      <c r="VUH14" s="98"/>
      <c r="VUI14" s="98"/>
      <c r="VUJ14" s="98"/>
      <c r="VUK14" s="98"/>
      <c r="VUL14" s="98"/>
      <c r="VUM14" s="98"/>
      <c r="VUN14" s="98"/>
      <c r="VUO14" s="98"/>
      <c r="VUP14" s="98"/>
      <c r="VUQ14" s="98"/>
      <c r="VUR14" s="98"/>
      <c r="VUS14" s="98"/>
      <c r="VUT14" s="98"/>
      <c r="VUU14" s="98"/>
      <c r="VUV14" s="98"/>
      <c r="VUW14" s="98"/>
      <c r="VUX14" s="98"/>
      <c r="VUY14" s="98"/>
      <c r="VUZ14" s="98"/>
      <c r="VVA14" s="98"/>
      <c r="VVB14" s="98"/>
      <c r="VVC14" s="98"/>
      <c r="VVD14" s="98"/>
      <c r="VVE14" s="98"/>
      <c r="VVF14" s="98"/>
      <c r="VVG14" s="98"/>
      <c r="VVH14" s="98"/>
      <c r="VVI14" s="98"/>
      <c r="VVJ14" s="98"/>
      <c r="VVK14" s="98"/>
      <c r="VVL14" s="98"/>
      <c r="VVM14" s="98"/>
      <c r="VVN14" s="98"/>
      <c r="VVO14" s="98"/>
      <c r="VVP14" s="98"/>
      <c r="VVQ14" s="98"/>
      <c r="VVR14" s="98"/>
      <c r="VVS14" s="98"/>
      <c r="VVT14" s="98"/>
      <c r="VVU14" s="98"/>
      <c r="VVV14" s="98"/>
      <c r="VVW14" s="98"/>
      <c r="VVX14" s="98"/>
      <c r="VVY14" s="98"/>
      <c r="VVZ14" s="98"/>
      <c r="VWA14" s="98"/>
      <c r="VWB14" s="98"/>
      <c r="VWC14" s="98"/>
      <c r="VWD14" s="98"/>
      <c r="VWE14" s="98"/>
      <c r="VWF14" s="98"/>
      <c r="VWG14" s="98"/>
      <c r="VWH14" s="98"/>
      <c r="VWI14" s="98"/>
      <c r="VWJ14" s="98"/>
      <c r="VWK14" s="98"/>
      <c r="VWL14" s="98"/>
      <c r="VWM14" s="98"/>
      <c r="VWN14" s="98"/>
      <c r="VWO14" s="98"/>
      <c r="VWP14" s="98"/>
      <c r="VWQ14" s="98"/>
      <c r="VWR14" s="98"/>
      <c r="VWS14" s="98"/>
      <c r="VWT14" s="98"/>
      <c r="VWU14" s="98"/>
      <c r="VWV14" s="98"/>
      <c r="VWW14" s="98"/>
      <c r="VWX14" s="98"/>
      <c r="VWY14" s="98"/>
      <c r="VWZ14" s="98"/>
      <c r="VXA14" s="98"/>
      <c r="VXB14" s="98"/>
      <c r="VXC14" s="98"/>
      <c r="VXD14" s="98"/>
      <c r="VXE14" s="98"/>
      <c r="VXF14" s="98"/>
      <c r="VXG14" s="98"/>
      <c r="VXH14" s="98"/>
      <c r="VXI14" s="98"/>
      <c r="VXJ14" s="98"/>
      <c r="VXK14" s="98"/>
      <c r="VXL14" s="98"/>
      <c r="VXM14" s="98"/>
      <c r="VXN14" s="98"/>
      <c r="VXO14" s="98"/>
      <c r="VXP14" s="98"/>
      <c r="VXQ14" s="98"/>
      <c r="VXR14" s="98"/>
      <c r="VXS14" s="98"/>
      <c r="VXT14" s="98"/>
      <c r="VXU14" s="98"/>
      <c r="VXV14" s="98"/>
      <c r="VXW14" s="98"/>
      <c r="VXX14" s="98"/>
      <c r="VXY14" s="98"/>
      <c r="VXZ14" s="98"/>
      <c r="VYA14" s="98"/>
      <c r="VYB14" s="98"/>
      <c r="VYC14" s="98"/>
      <c r="VYD14" s="98"/>
      <c r="VYE14" s="98"/>
      <c r="VYF14" s="98"/>
      <c r="VYG14" s="98"/>
      <c r="VYH14" s="98"/>
      <c r="VYI14" s="98"/>
      <c r="VYJ14" s="98"/>
      <c r="VYK14" s="98"/>
      <c r="VYL14" s="98"/>
      <c r="VYM14" s="98"/>
      <c r="VYN14" s="98"/>
      <c r="VYO14" s="98"/>
      <c r="VYP14" s="98"/>
      <c r="VYQ14" s="98"/>
      <c r="VYR14" s="98"/>
      <c r="VYS14" s="98"/>
      <c r="VYT14" s="98"/>
      <c r="VYU14" s="98"/>
      <c r="VYV14" s="98"/>
      <c r="VYW14" s="98"/>
      <c r="VYX14" s="98"/>
      <c r="VYY14" s="98"/>
      <c r="VYZ14" s="98"/>
      <c r="VZA14" s="98"/>
      <c r="VZB14" s="98"/>
      <c r="VZC14" s="98"/>
      <c r="VZD14" s="98"/>
      <c r="VZE14" s="98"/>
      <c r="VZF14" s="98"/>
      <c r="VZG14" s="98"/>
      <c r="VZH14" s="98"/>
      <c r="VZI14" s="98"/>
      <c r="VZJ14" s="98"/>
      <c r="VZK14" s="98"/>
      <c r="VZL14" s="98"/>
      <c r="VZM14" s="98"/>
      <c r="VZN14" s="98"/>
      <c r="VZO14" s="98"/>
      <c r="VZP14" s="98"/>
      <c r="VZQ14" s="98"/>
      <c r="VZR14" s="98"/>
      <c r="VZS14" s="98"/>
      <c r="VZT14" s="98"/>
      <c r="VZU14" s="98"/>
      <c r="VZV14" s="98"/>
      <c r="VZW14" s="98"/>
      <c r="VZX14" s="98"/>
      <c r="VZY14" s="98"/>
      <c r="VZZ14" s="98"/>
      <c r="WAA14" s="98"/>
      <c r="WAB14" s="98"/>
      <c r="WAC14" s="98"/>
      <c r="WAD14" s="98"/>
      <c r="WAE14" s="98"/>
      <c r="WAF14" s="98"/>
      <c r="WAG14" s="98"/>
      <c r="WAH14" s="98"/>
      <c r="WAI14" s="98"/>
      <c r="WAJ14" s="98"/>
      <c r="WAK14" s="98"/>
      <c r="WAL14" s="98"/>
      <c r="WAM14" s="98"/>
      <c r="WAN14" s="98"/>
      <c r="WAO14" s="98"/>
      <c r="WAP14" s="98"/>
      <c r="WAQ14" s="98"/>
      <c r="WAR14" s="98"/>
      <c r="WAS14" s="98"/>
      <c r="WAT14" s="98"/>
      <c r="WAU14" s="98"/>
      <c r="WAV14" s="98"/>
      <c r="WAW14" s="98"/>
      <c r="WAX14" s="98"/>
      <c r="WAY14" s="98"/>
      <c r="WAZ14" s="98"/>
      <c r="WBA14" s="98"/>
      <c r="WBB14" s="98"/>
      <c r="WBC14" s="98"/>
      <c r="WBD14" s="98"/>
      <c r="WBE14" s="98"/>
      <c r="WBF14" s="98"/>
      <c r="WBG14" s="98"/>
      <c r="WBH14" s="98"/>
      <c r="WBI14" s="98"/>
      <c r="WBJ14" s="98"/>
      <c r="WBK14" s="98"/>
      <c r="WBL14" s="98"/>
      <c r="WBM14" s="98"/>
      <c r="WBN14" s="98"/>
      <c r="WBO14" s="98"/>
      <c r="WBP14" s="98"/>
      <c r="WBQ14" s="98"/>
      <c r="WBR14" s="98"/>
      <c r="WBS14" s="98"/>
      <c r="WBT14" s="98"/>
      <c r="WBU14" s="98"/>
      <c r="WBV14" s="98"/>
      <c r="WBW14" s="98"/>
      <c r="WBX14" s="98"/>
      <c r="WBY14" s="98"/>
      <c r="WBZ14" s="98"/>
      <c r="WCA14" s="98"/>
      <c r="WCB14" s="98"/>
      <c r="WCC14" s="98"/>
      <c r="WCD14" s="98"/>
      <c r="WCE14" s="98"/>
      <c r="WCF14" s="98"/>
      <c r="WCG14" s="98"/>
      <c r="WCH14" s="98"/>
      <c r="WCI14" s="98"/>
      <c r="WCJ14" s="98"/>
      <c r="WCK14" s="98"/>
      <c r="WCL14" s="98"/>
      <c r="WCM14" s="98"/>
      <c r="WCN14" s="98"/>
      <c r="WCO14" s="98"/>
      <c r="WCP14" s="98"/>
      <c r="WCQ14" s="98"/>
      <c r="WCR14" s="98"/>
      <c r="WCS14" s="98"/>
      <c r="WCT14" s="98"/>
      <c r="WCU14" s="98"/>
      <c r="WCV14" s="98"/>
      <c r="WCW14" s="98"/>
      <c r="WCX14" s="98"/>
      <c r="WCY14" s="98"/>
      <c r="WCZ14" s="98"/>
      <c r="WDA14" s="98"/>
      <c r="WDB14" s="98"/>
      <c r="WDC14" s="98"/>
      <c r="WDD14" s="98"/>
      <c r="WDE14" s="98"/>
      <c r="WDF14" s="98"/>
      <c r="WDG14" s="98"/>
      <c r="WDH14" s="98"/>
      <c r="WDI14" s="98"/>
      <c r="WDJ14" s="98"/>
      <c r="WDK14" s="98"/>
      <c r="WDL14" s="98"/>
      <c r="WDM14" s="98"/>
      <c r="WDN14" s="98"/>
      <c r="WDO14" s="98"/>
      <c r="WDP14" s="98"/>
      <c r="WDQ14" s="98"/>
      <c r="WDR14" s="98"/>
      <c r="WDS14" s="98"/>
      <c r="WDT14" s="98"/>
      <c r="WDU14" s="98"/>
      <c r="WDV14" s="98"/>
      <c r="WDW14" s="98"/>
      <c r="WDX14" s="98"/>
      <c r="WDY14" s="98"/>
      <c r="WDZ14" s="98"/>
      <c r="WEA14" s="98"/>
      <c r="WEB14" s="98"/>
      <c r="WEC14" s="98"/>
      <c r="WED14" s="98"/>
      <c r="WEE14" s="98"/>
      <c r="WEF14" s="98"/>
      <c r="WEG14" s="98"/>
      <c r="WEH14" s="98"/>
      <c r="WEI14" s="98"/>
      <c r="WEJ14" s="98"/>
      <c r="WEK14" s="98"/>
      <c r="WEL14" s="98"/>
      <c r="WEM14" s="98"/>
      <c r="WEN14" s="98"/>
      <c r="WEO14" s="98"/>
      <c r="WEP14" s="98"/>
      <c r="WEQ14" s="98"/>
      <c r="WER14" s="98"/>
      <c r="WES14" s="98"/>
      <c r="WET14" s="98"/>
      <c r="WEU14" s="98"/>
      <c r="WEV14" s="98"/>
      <c r="WEW14" s="98"/>
      <c r="WEX14" s="98"/>
      <c r="WEY14" s="98"/>
      <c r="WEZ14" s="98"/>
      <c r="WFA14" s="98"/>
      <c r="WFB14" s="98"/>
      <c r="WFC14" s="98"/>
      <c r="WFD14" s="98"/>
      <c r="WFE14" s="98"/>
      <c r="WFF14" s="98"/>
      <c r="WFG14" s="98"/>
      <c r="WFH14" s="98"/>
      <c r="WFI14" s="98"/>
      <c r="WFJ14" s="98"/>
      <c r="WFK14" s="98"/>
      <c r="WFL14" s="98"/>
      <c r="WFM14" s="98"/>
      <c r="WFN14" s="98"/>
      <c r="WFO14" s="98"/>
      <c r="WFP14" s="98"/>
      <c r="WFQ14" s="98"/>
      <c r="WFR14" s="98"/>
      <c r="WFS14" s="98"/>
      <c r="WFT14" s="98"/>
      <c r="WFU14" s="98"/>
      <c r="WFV14" s="98"/>
      <c r="WFW14" s="98"/>
      <c r="WFX14" s="98"/>
      <c r="WFY14" s="98"/>
      <c r="WFZ14" s="98"/>
      <c r="WGA14" s="98"/>
      <c r="WGB14" s="98"/>
      <c r="WGC14" s="98"/>
      <c r="WGD14" s="98"/>
      <c r="WGE14" s="98"/>
      <c r="WGF14" s="98"/>
      <c r="WGG14" s="98"/>
      <c r="WGH14" s="98"/>
      <c r="WGI14" s="98"/>
      <c r="WGJ14" s="98"/>
      <c r="WGK14" s="98"/>
      <c r="WGL14" s="98"/>
      <c r="WGM14" s="98"/>
      <c r="WGN14" s="98"/>
      <c r="WGO14" s="98"/>
      <c r="WGP14" s="98"/>
      <c r="WGQ14" s="98"/>
      <c r="WGR14" s="98"/>
      <c r="WGS14" s="98"/>
      <c r="WGT14" s="98"/>
      <c r="WGU14" s="98"/>
      <c r="WGV14" s="98"/>
      <c r="WGW14" s="98"/>
      <c r="WGX14" s="98"/>
      <c r="WGY14" s="98"/>
      <c r="WGZ14" s="98"/>
      <c r="WHA14" s="98"/>
      <c r="WHB14" s="98"/>
      <c r="WHC14" s="98"/>
      <c r="WHD14" s="98"/>
      <c r="WHE14" s="98"/>
      <c r="WHF14" s="98"/>
      <c r="WHG14" s="98"/>
      <c r="WHH14" s="98"/>
      <c r="WHI14" s="98"/>
      <c r="WHJ14" s="98"/>
      <c r="WHK14" s="98"/>
      <c r="WHL14" s="98"/>
      <c r="WHM14" s="98"/>
      <c r="WHN14" s="98"/>
      <c r="WHO14" s="98"/>
      <c r="WHP14" s="98"/>
      <c r="WHQ14" s="98"/>
      <c r="WHR14" s="98"/>
      <c r="WHS14" s="98"/>
      <c r="WHT14" s="98"/>
      <c r="WHU14" s="98"/>
      <c r="WHV14" s="98"/>
      <c r="WHW14" s="98"/>
      <c r="WHX14" s="98"/>
      <c r="WHY14" s="98"/>
      <c r="WHZ14" s="98"/>
      <c r="WIA14" s="98"/>
      <c r="WIB14" s="98"/>
      <c r="WIC14" s="98"/>
      <c r="WID14" s="98"/>
      <c r="WIE14" s="98"/>
      <c r="WIF14" s="98"/>
      <c r="WIG14" s="98"/>
      <c r="WIH14" s="98"/>
      <c r="WII14" s="98"/>
      <c r="WIJ14" s="98"/>
      <c r="WIK14" s="98"/>
      <c r="WIL14" s="98"/>
      <c r="WIM14" s="98"/>
      <c r="WIN14" s="98"/>
      <c r="WIO14" s="98"/>
      <c r="WIP14" s="98"/>
      <c r="WIQ14" s="98"/>
      <c r="WIR14" s="98"/>
      <c r="WIS14" s="98"/>
      <c r="WIT14" s="98"/>
      <c r="WIU14" s="98"/>
      <c r="WIV14" s="98"/>
      <c r="WIW14" s="98"/>
      <c r="WIX14" s="98"/>
      <c r="WIY14" s="98"/>
      <c r="WIZ14" s="98"/>
      <c r="WJA14" s="98"/>
      <c r="WJB14" s="98"/>
      <c r="WJC14" s="98"/>
      <c r="WJD14" s="98"/>
      <c r="WJE14" s="98"/>
      <c r="WJF14" s="98"/>
      <c r="WJG14" s="98"/>
      <c r="WJH14" s="98"/>
      <c r="WJI14" s="98"/>
      <c r="WJJ14" s="98"/>
      <c r="WJK14" s="98"/>
      <c r="WJL14" s="98"/>
      <c r="WJM14" s="98"/>
      <c r="WJN14" s="98"/>
      <c r="WJO14" s="98"/>
      <c r="WJP14" s="98"/>
      <c r="WJQ14" s="98"/>
      <c r="WJR14" s="98"/>
      <c r="WJS14" s="98"/>
      <c r="WJT14" s="98"/>
      <c r="WJU14" s="98"/>
      <c r="WJV14" s="98"/>
      <c r="WJW14" s="98"/>
      <c r="WJX14" s="98"/>
      <c r="WJY14" s="98"/>
      <c r="WJZ14" s="98"/>
      <c r="WKA14" s="98"/>
      <c r="WKB14" s="98"/>
      <c r="WKC14" s="98"/>
      <c r="WKD14" s="98"/>
      <c r="WKE14" s="98"/>
      <c r="WKF14" s="98"/>
      <c r="WKG14" s="98"/>
      <c r="WKH14" s="98"/>
      <c r="WKI14" s="98"/>
      <c r="WKJ14" s="98"/>
      <c r="WKK14" s="98"/>
      <c r="WKL14" s="98"/>
      <c r="WKM14" s="98"/>
      <c r="WKN14" s="98"/>
      <c r="WKO14" s="98"/>
      <c r="WKP14" s="98"/>
      <c r="WKQ14" s="98"/>
      <c r="WKR14" s="98"/>
      <c r="WKS14" s="98"/>
      <c r="WKT14" s="98"/>
      <c r="WKU14" s="98"/>
      <c r="WKV14" s="98"/>
      <c r="WKW14" s="98"/>
      <c r="WKX14" s="98"/>
      <c r="WKY14" s="98"/>
      <c r="WKZ14" s="98"/>
      <c r="WLA14" s="98"/>
      <c r="WLB14" s="98"/>
      <c r="WLC14" s="98"/>
      <c r="WLD14" s="98"/>
      <c r="WLE14" s="98"/>
      <c r="WLF14" s="98"/>
      <c r="WLG14" s="98"/>
      <c r="WLH14" s="98"/>
      <c r="WLI14" s="98"/>
      <c r="WLJ14" s="98"/>
      <c r="WLK14" s="98"/>
      <c r="WLL14" s="98"/>
      <c r="WLM14" s="98"/>
      <c r="WLN14" s="98"/>
      <c r="WLO14" s="98"/>
      <c r="WLP14" s="98"/>
      <c r="WLQ14" s="98"/>
      <c r="WLR14" s="98"/>
      <c r="WLS14" s="98"/>
      <c r="WLT14" s="98"/>
      <c r="WLU14" s="98"/>
      <c r="WLV14" s="98"/>
      <c r="WLW14" s="98"/>
      <c r="WLX14" s="98"/>
      <c r="WLY14" s="98"/>
      <c r="WLZ14" s="98"/>
      <c r="WMA14" s="98"/>
      <c r="WMB14" s="98"/>
      <c r="WMC14" s="98"/>
      <c r="WMD14" s="98"/>
      <c r="WME14" s="98"/>
      <c r="WMF14" s="98"/>
      <c r="WMG14" s="98"/>
      <c r="WMH14" s="98"/>
      <c r="WMI14" s="98"/>
      <c r="WMJ14" s="98"/>
      <c r="WMK14" s="98"/>
      <c r="WML14" s="98"/>
      <c r="WMM14" s="98"/>
      <c r="WMN14" s="98"/>
      <c r="WMO14" s="98"/>
      <c r="WMP14" s="98"/>
      <c r="WMQ14" s="98"/>
      <c r="WMR14" s="98"/>
      <c r="WMS14" s="98"/>
      <c r="WMT14" s="98"/>
      <c r="WMU14" s="98"/>
      <c r="WMV14" s="98"/>
      <c r="WMW14" s="98"/>
      <c r="WMX14" s="98"/>
      <c r="WMY14" s="98"/>
      <c r="WMZ14" s="98"/>
      <c r="WNA14" s="98"/>
      <c r="WNB14" s="98"/>
      <c r="WNC14" s="98"/>
      <c r="WND14" s="98"/>
      <c r="WNE14" s="98"/>
      <c r="WNF14" s="98"/>
      <c r="WNG14" s="98"/>
      <c r="WNH14" s="98"/>
      <c r="WNI14" s="98"/>
      <c r="WNJ14" s="98"/>
      <c r="WNK14" s="98"/>
      <c r="WNL14" s="98"/>
      <c r="WNM14" s="98"/>
      <c r="WNN14" s="98"/>
      <c r="WNO14" s="98"/>
      <c r="WNP14" s="98"/>
      <c r="WNQ14" s="98"/>
      <c r="WNR14" s="98"/>
      <c r="WNS14" s="98"/>
      <c r="WNT14" s="98"/>
      <c r="WNU14" s="98"/>
      <c r="WNV14" s="98"/>
      <c r="WNW14" s="98"/>
      <c r="WNX14" s="98"/>
      <c r="WNY14" s="98"/>
      <c r="WNZ14" s="98"/>
      <c r="WOA14" s="98"/>
      <c r="WOB14" s="98"/>
      <c r="WOC14" s="98"/>
      <c r="WOD14" s="98"/>
      <c r="WOE14" s="98"/>
      <c r="WOF14" s="98"/>
      <c r="WOG14" s="98"/>
      <c r="WOH14" s="98"/>
      <c r="WOI14" s="98"/>
      <c r="WOJ14" s="98"/>
      <c r="WOK14" s="98"/>
      <c r="WOL14" s="98"/>
      <c r="WOM14" s="98"/>
      <c r="WON14" s="98"/>
      <c r="WOO14" s="98"/>
      <c r="WOP14" s="98"/>
      <c r="WOQ14" s="98"/>
      <c r="WOR14" s="98"/>
      <c r="WOS14" s="98"/>
      <c r="WOT14" s="98"/>
      <c r="WOU14" s="98"/>
      <c r="WOV14" s="98"/>
      <c r="WOW14" s="98"/>
      <c r="WOX14" s="98"/>
      <c r="WOY14" s="98"/>
      <c r="WOZ14" s="98"/>
      <c r="WPA14" s="98"/>
      <c r="WPB14" s="98"/>
      <c r="WPC14" s="98"/>
      <c r="WPD14" s="98"/>
      <c r="WPE14" s="98"/>
      <c r="WPF14" s="98"/>
      <c r="WPG14" s="98"/>
      <c r="WPH14" s="98"/>
      <c r="WPI14" s="98"/>
      <c r="WPJ14" s="98"/>
      <c r="WPK14" s="98"/>
      <c r="WPL14" s="98"/>
      <c r="WPM14" s="98"/>
      <c r="WPN14" s="98"/>
      <c r="WPO14" s="98"/>
      <c r="WPP14" s="98"/>
      <c r="WPQ14" s="98"/>
      <c r="WPR14" s="98"/>
      <c r="WPS14" s="98"/>
      <c r="WPT14" s="98"/>
      <c r="WPU14" s="98"/>
      <c r="WPV14" s="98"/>
      <c r="WPW14" s="98"/>
      <c r="WPX14" s="98"/>
      <c r="WPY14" s="98"/>
      <c r="WPZ14" s="98"/>
      <c r="WQA14" s="98"/>
      <c r="WQB14" s="98"/>
      <c r="WQC14" s="98"/>
      <c r="WQD14" s="98"/>
      <c r="WQE14" s="98"/>
      <c r="WQF14" s="98"/>
      <c r="WQG14" s="98"/>
      <c r="WQH14" s="98"/>
      <c r="WQI14" s="98"/>
      <c r="WQJ14" s="98"/>
      <c r="WQK14" s="98"/>
      <c r="WQL14" s="98"/>
      <c r="WQM14" s="98"/>
      <c r="WQN14" s="98"/>
      <c r="WQO14" s="98"/>
      <c r="WQP14" s="98"/>
      <c r="WQQ14" s="98"/>
      <c r="WQR14" s="98"/>
      <c r="WQS14" s="98"/>
      <c r="WQT14" s="98"/>
      <c r="WQU14" s="98"/>
      <c r="WQV14" s="98"/>
      <c r="WQW14" s="98"/>
      <c r="WQX14" s="98"/>
      <c r="WQY14" s="98"/>
      <c r="WQZ14" s="98"/>
      <c r="WRA14" s="98"/>
      <c r="WRB14" s="98"/>
      <c r="WRC14" s="98"/>
      <c r="WRD14" s="98"/>
      <c r="WRE14" s="98"/>
      <c r="WRF14" s="98"/>
      <c r="WRG14" s="98"/>
      <c r="WRH14" s="98"/>
      <c r="WRI14" s="98"/>
      <c r="WRJ14" s="98"/>
      <c r="WRK14" s="98"/>
      <c r="WRL14" s="98"/>
      <c r="WRM14" s="98"/>
      <c r="WRN14" s="98"/>
      <c r="WRO14" s="98"/>
      <c r="WRP14" s="98"/>
      <c r="WRQ14" s="98"/>
      <c r="WRR14" s="98"/>
      <c r="WRS14" s="98"/>
      <c r="WRT14" s="98"/>
      <c r="WRU14" s="98"/>
      <c r="WRV14" s="98"/>
      <c r="WRW14" s="98"/>
      <c r="WRX14" s="98"/>
      <c r="WRY14" s="98"/>
      <c r="WRZ14" s="98"/>
      <c r="WSA14" s="98"/>
      <c r="WSB14" s="98"/>
      <c r="WSC14" s="98"/>
      <c r="WSD14" s="98"/>
      <c r="WSE14" s="98"/>
      <c r="WSF14" s="98"/>
      <c r="WSG14" s="98"/>
      <c r="WSH14" s="98"/>
      <c r="WSI14" s="98"/>
      <c r="WSJ14" s="98"/>
      <c r="WSK14" s="98"/>
      <c r="WSL14" s="98"/>
      <c r="WSM14" s="98"/>
      <c r="WSN14" s="98"/>
      <c r="WSO14" s="98"/>
      <c r="WSP14" s="98"/>
      <c r="WSQ14" s="98"/>
      <c r="WSR14" s="98"/>
      <c r="WSS14" s="98"/>
      <c r="WST14" s="98"/>
      <c r="WSU14" s="98"/>
      <c r="WSV14" s="98"/>
      <c r="WSW14" s="98"/>
      <c r="WSX14" s="98"/>
      <c r="WSY14" s="98"/>
      <c r="WSZ14" s="98"/>
      <c r="WTA14" s="98"/>
      <c r="WTB14" s="98"/>
      <c r="WTC14" s="98"/>
      <c r="WTD14" s="98"/>
      <c r="WTE14" s="98"/>
      <c r="WTF14" s="98"/>
      <c r="WTG14" s="98"/>
      <c r="WTH14" s="98"/>
      <c r="WTI14" s="98"/>
      <c r="WTJ14" s="98"/>
      <c r="WTK14" s="98"/>
      <c r="WTL14" s="98"/>
      <c r="WTM14" s="98"/>
      <c r="WTN14" s="98"/>
      <c r="WTO14" s="98"/>
      <c r="WTP14" s="98"/>
      <c r="WTQ14" s="98"/>
      <c r="WTR14" s="98"/>
      <c r="WTS14" s="98"/>
      <c r="WTT14" s="98"/>
      <c r="WTU14" s="98"/>
      <c r="WTV14" s="98"/>
      <c r="WTW14" s="98"/>
      <c r="WTX14" s="98"/>
      <c r="WTY14" s="98"/>
      <c r="WTZ14" s="98"/>
      <c r="WUA14" s="98"/>
      <c r="WUB14" s="98"/>
      <c r="WUC14" s="98"/>
      <c r="WUD14" s="98"/>
      <c r="WUE14" s="98"/>
      <c r="WUF14" s="98"/>
      <c r="WUG14" s="98"/>
      <c r="WUH14" s="98"/>
      <c r="WUI14" s="98"/>
      <c r="WUJ14" s="98"/>
      <c r="WUK14" s="98"/>
      <c r="WUL14" s="98"/>
      <c r="WUM14" s="98"/>
      <c r="WUN14" s="98"/>
      <c r="WUO14" s="98"/>
      <c r="WUP14" s="98"/>
      <c r="WUQ14" s="98"/>
      <c r="WUR14" s="98"/>
      <c r="WUS14" s="98"/>
      <c r="WUT14" s="98"/>
      <c r="WUU14" s="98"/>
      <c r="WUV14" s="98"/>
      <c r="WUW14" s="98"/>
      <c r="WUX14" s="98"/>
      <c r="WUY14" s="98"/>
      <c r="WUZ14" s="98"/>
      <c r="WVA14" s="98"/>
      <c r="WVB14" s="98"/>
      <c r="WVC14" s="98"/>
      <c r="WVD14" s="98"/>
      <c r="WVE14" s="98"/>
      <c r="WVF14" s="98"/>
      <c r="WVG14" s="98"/>
      <c r="WVH14" s="98"/>
      <c r="WVI14" s="98"/>
      <c r="WVJ14" s="98"/>
      <c r="WVK14" s="98"/>
      <c r="WVL14" s="98"/>
      <c r="WVM14" s="98"/>
      <c r="WVN14" s="98"/>
      <c r="WVO14" s="98"/>
      <c r="WVP14" s="98"/>
      <c r="WVQ14" s="98"/>
      <c r="WVR14" s="98"/>
      <c r="WVS14" s="98"/>
      <c r="WVT14" s="98"/>
      <c r="WVU14" s="98"/>
      <c r="WVV14" s="98"/>
      <c r="WVW14" s="98"/>
      <c r="WVX14" s="98"/>
      <c r="WVY14" s="98"/>
      <c r="WVZ14" s="98"/>
      <c r="WWA14" s="98"/>
      <c r="WWB14" s="98"/>
      <c r="WWC14" s="98"/>
      <c r="WWD14" s="98"/>
      <c r="WWE14" s="98"/>
      <c r="WWF14" s="98"/>
      <c r="WWG14" s="98"/>
      <c r="WWH14" s="98"/>
      <c r="WWI14" s="98"/>
      <c r="WWJ14" s="98"/>
      <c r="WWK14" s="98"/>
      <c r="WWL14" s="98"/>
      <c r="WWM14" s="98"/>
      <c r="WWN14" s="98"/>
      <c r="WWO14" s="98"/>
      <c r="WWP14" s="98"/>
      <c r="WWQ14" s="98"/>
      <c r="WWR14" s="98"/>
      <c r="WWS14" s="98"/>
      <c r="WWT14" s="98"/>
      <c r="WWU14" s="98"/>
      <c r="WWV14" s="98"/>
      <c r="WWW14" s="98"/>
      <c r="WWX14" s="98"/>
      <c r="WWY14" s="98"/>
      <c r="WWZ14" s="98"/>
      <c r="WXA14" s="98"/>
      <c r="WXB14" s="98"/>
      <c r="WXC14" s="98"/>
      <c r="WXD14" s="98"/>
      <c r="WXE14" s="98"/>
      <c r="WXF14" s="98"/>
      <c r="WXG14" s="98"/>
      <c r="WXH14" s="98"/>
      <c r="WXI14" s="98"/>
      <c r="WXJ14" s="98"/>
      <c r="WXK14" s="98"/>
      <c r="WXL14" s="98"/>
      <c r="WXM14" s="98"/>
      <c r="WXN14" s="98"/>
      <c r="WXO14" s="98"/>
      <c r="WXP14" s="98"/>
      <c r="WXQ14" s="98"/>
      <c r="WXR14" s="98"/>
      <c r="WXS14" s="98"/>
      <c r="WXT14" s="98"/>
      <c r="WXU14" s="98"/>
      <c r="WXV14" s="98"/>
      <c r="WXW14" s="98"/>
      <c r="WXX14" s="98"/>
      <c r="WXY14" s="98"/>
      <c r="WXZ14" s="98"/>
      <c r="WYA14" s="98"/>
      <c r="WYB14" s="98"/>
      <c r="WYC14" s="98"/>
      <c r="WYD14" s="98"/>
      <c r="WYE14" s="98"/>
      <c r="WYF14" s="98"/>
      <c r="WYG14" s="98"/>
      <c r="WYH14" s="98"/>
      <c r="WYI14" s="98"/>
      <c r="WYJ14" s="98"/>
      <c r="WYK14" s="98"/>
      <c r="WYL14" s="98"/>
      <c r="WYM14" s="98"/>
      <c r="WYN14" s="98"/>
      <c r="WYO14" s="98"/>
      <c r="WYP14" s="98"/>
      <c r="WYQ14" s="98"/>
      <c r="WYR14" s="98"/>
      <c r="WYS14" s="98"/>
      <c r="WYT14" s="98"/>
      <c r="WYU14" s="98"/>
      <c r="WYV14" s="98"/>
      <c r="WYW14" s="98"/>
      <c r="WYX14" s="98"/>
      <c r="WYY14" s="98"/>
      <c r="WYZ14" s="98"/>
      <c r="WZA14" s="98"/>
      <c r="WZB14" s="98"/>
      <c r="WZC14" s="98"/>
      <c r="WZD14" s="98"/>
      <c r="WZE14" s="98"/>
      <c r="WZF14" s="98"/>
      <c r="WZG14" s="98"/>
      <c r="WZH14" s="98"/>
      <c r="WZI14" s="98"/>
      <c r="WZJ14" s="98"/>
      <c r="WZK14" s="98"/>
      <c r="WZL14" s="98"/>
      <c r="WZM14" s="98"/>
      <c r="WZN14" s="98"/>
      <c r="WZO14" s="98"/>
      <c r="WZP14" s="98"/>
      <c r="WZQ14" s="98"/>
      <c r="WZR14" s="98"/>
      <c r="WZS14" s="98"/>
      <c r="WZT14" s="98"/>
      <c r="WZU14" s="98"/>
      <c r="WZV14" s="98"/>
      <c r="WZW14" s="98"/>
      <c r="WZX14" s="98"/>
      <c r="WZY14" s="98"/>
      <c r="WZZ14" s="98"/>
      <c r="XAA14" s="98"/>
      <c r="XAB14" s="98"/>
      <c r="XAC14" s="98"/>
      <c r="XAD14" s="98"/>
      <c r="XAE14" s="98"/>
      <c r="XAF14" s="98"/>
      <c r="XAG14" s="98"/>
      <c r="XAH14" s="98"/>
      <c r="XAI14" s="98"/>
      <c r="XAJ14" s="98"/>
      <c r="XAK14" s="98"/>
      <c r="XAL14" s="98"/>
      <c r="XAM14" s="98"/>
      <c r="XAN14" s="98"/>
      <c r="XAO14" s="98"/>
      <c r="XAP14" s="98"/>
      <c r="XAQ14" s="98"/>
      <c r="XAR14" s="98"/>
      <c r="XAS14" s="98"/>
      <c r="XAT14" s="98"/>
      <c r="XAU14" s="98"/>
      <c r="XAV14" s="98"/>
      <c r="XAW14" s="98"/>
      <c r="XAX14" s="98"/>
      <c r="XAY14" s="98"/>
      <c r="XAZ14" s="98"/>
      <c r="XBA14" s="98"/>
      <c r="XBB14" s="98"/>
      <c r="XBC14" s="98"/>
      <c r="XBD14" s="98"/>
      <c r="XBE14" s="98"/>
      <c r="XBF14" s="98"/>
      <c r="XBG14" s="98"/>
      <c r="XBH14" s="98"/>
      <c r="XBI14" s="98"/>
      <c r="XBJ14" s="98"/>
      <c r="XBK14" s="98"/>
      <c r="XBL14" s="98"/>
      <c r="XBM14" s="98"/>
      <c r="XBN14" s="98"/>
      <c r="XBO14" s="98"/>
      <c r="XBP14" s="98"/>
      <c r="XBQ14" s="98"/>
      <c r="XBR14" s="98"/>
      <c r="XBS14" s="98"/>
      <c r="XBT14" s="98"/>
      <c r="XBU14" s="98"/>
      <c r="XBV14" s="98"/>
      <c r="XBW14" s="98"/>
      <c r="XBX14" s="98"/>
      <c r="XBY14" s="98"/>
      <c r="XBZ14" s="98"/>
      <c r="XCA14" s="98"/>
      <c r="XCB14" s="98"/>
      <c r="XCC14" s="98"/>
      <c r="XCD14" s="98"/>
      <c r="XCE14" s="98"/>
      <c r="XCF14" s="98"/>
      <c r="XCG14" s="98"/>
      <c r="XCH14" s="98"/>
      <c r="XCI14" s="98"/>
      <c r="XCJ14" s="98"/>
      <c r="XCK14" s="98"/>
      <c r="XCL14" s="98"/>
      <c r="XCM14" s="98"/>
      <c r="XCN14" s="98"/>
      <c r="XCO14" s="98"/>
      <c r="XCP14" s="98"/>
      <c r="XCQ14" s="98"/>
      <c r="XCR14" s="98"/>
      <c r="XCS14" s="98"/>
      <c r="XCT14" s="98"/>
      <c r="XCU14" s="98"/>
      <c r="XCV14" s="98"/>
      <c r="XCW14" s="98"/>
      <c r="XCX14" s="98"/>
      <c r="XCY14" s="98"/>
      <c r="XCZ14" s="98"/>
      <c r="XDA14" s="98"/>
      <c r="XDB14" s="98"/>
      <c r="XDC14" s="98"/>
      <c r="XDD14" s="98"/>
      <c r="XDE14" s="98"/>
      <c r="XDF14" s="98"/>
      <c r="XDG14" s="98"/>
      <c r="XDH14" s="98"/>
      <c r="XDI14" s="98"/>
      <c r="XDJ14" s="98"/>
      <c r="XDK14" s="98"/>
      <c r="XDL14" s="98"/>
      <c r="XDM14" s="98"/>
      <c r="XDN14" s="98"/>
      <c r="XDO14" s="98"/>
      <c r="XDP14" s="98"/>
      <c r="XDQ14" s="98"/>
      <c r="XDR14" s="98"/>
      <c r="XDS14" s="98"/>
      <c r="XDT14" s="98"/>
      <c r="XDU14" s="98"/>
      <c r="XDV14" s="98"/>
      <c r="XDW14" s="98"/>
      <c r="XDX14" s="98"/>
      <c r="XDY14" s="98"/>
      <c r="XDZ14" s="98"/>
      <c r="XEA14" s="98"/>
      <c r="XEB14" s="98"/>
      <c r="XEC14" s="98"/>
      <c r="XED14" s="98"/>
      <c r="XEE14" s="98"/>
      <c r="XEF14" s="98"/>
      <c r="XEG14" s="98"/>
      <c r="XEH14" s="98"/>
      <c r="XEI14" s="98"/>
      <c r="XEJ14" s="98"/>
    </row>
    <row r="15" spans="1:16364" s="98" customFormat="1" hidden="1" x14ac:dyDescent="0.3">
      <c r="A15" s="384"/>
      <c r="B15" s="157" t="s">
        <v>324</v>
      </c>
      <c r="C15" s="158"/>
      <c r="D15" s="158" t="b">
        <f>-D11=[1]결산전표입력후BSP!E24</f>
        <v>1</v>
      </c>
      <c r="E15" s="158" t="b">
        <f>-E11=[1]결산전표입력후BSP!F24</f>
        <v>1</v>
      </c>
      <c r="F15" s="158" t="b">
        <f>-F11=[1]결산전표입력후BSP!G24</f>
        <v>1</v>
      </c>
      <c r="G15" s="158" t="b">
        <f>-G11=[1]결산전표입력후BSP!H24</f>
        <v>1</v>
      </c>
      <c r="H15" s="158" t="b">
        <f>-H11=[1]결산전표입력후BSP!I24</f>
        <v>1</v>
      </c>
      <c r="I15" s="158" t="b">
        <f>-I11=[1]결산전표입력후BSP!J24</f>
        <v>1</v>
      </c>
      <c r="J15" s="158" t="b">
        <f>-J11=[1]결산전표입력후BSP!K24</f>
        <v>1</v>
      </c>
      <c r="K15" s="158" t="b">
        <f>-K11=[1]결산전표입력후BSP!L24</f>
        <v>1</v>
      </c>
      <c r="L15" s="158" t="b">
        <f>-L11=[1]결산전표입력후BSP!M24</f>
        <v>1</v>
      </c>
      <c r="M15" s="158"/>
      <c r="N15" s="158"/>
      <c r="O15" s="159"/>
      <c r="P15" s="159"/>
      <c r="Q15" s="159"/>
      <c r="R15" s="159"/>
      <c r="S15" s="159"/>
      <c r="T15" s="159"/>
      <c r="U15" s="159"/>
      <c r="V15" s="159"/>
      <c r="W15" s="159"/>
      <c r="X15" s="159"/>
      <c r="Y15" s="159"/>
      <c r="Z15" s="159"/>
      <c r="AA15" s="159"/>
      <c r="AB15" s="159"/>
      <c r="AC15" s="159"/>
      <c r="AD15" s="159"/>
      <c r="AE15" s="159"/>
      <c r="AF15" s="159"/>
      <c r="AG15" s="159"/>
      <c r="AH15" s="159"/>
      <c r="AI15" s="159"/>
      <c r="AJ15" s="159"/>
      <c r="AK15" s="159"/>
      <c r="AL15" s="159"/>
      <c r="AM15" s="159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  <c r="JZ15"/>
      <c r="KA15"/>
      <c r="KB15"/>
      <c r="KC15"/>
      <c r="KD15"/>
      <c r="KE15"/>
      <c r="KF15"/>
      <c r="KG15"/>
      <c r="KH15"/>
      <c r="KI15"/>
      <c r="KJ15"/>
      <c r="KK15"/>
      <c r="KL15"/>
      <c r="KM15"/>
      <c r="KN15"/>
      <c r="KO15"/>
      <c r="KP15"/>
      <c r="KQ15"/>
      <c r="KR15"/>
      <c r="KS15"/>
      <c r="KT15"/>
      <c r="KU15"/>
      <c r="KV15"/>
      <c r="KW15"/>
      <c r="KX15"/>
      <c r="KY15"/>
      <c r="KZ15"/>
      <c r="LA15"/>
      <c r="LB15"/>
      <c r="LC15"/>
      <c r="LD15"/>
      <c r="LE15"/>
      <c r="LF15"/>
      <c r="LG15"/>
      <c r="LH15"/>
      <c r="LI15"/>
      <c r="LJ15"/>
      <c r="LK15"/>
      <c r="LL15"/>
      <c r="LM15"/>
      <c r="LN15"/>
      <c r="LO15"/>
      <c r="LP15"/>
      <c r="LQ15"/>
      <c r="LR15"/>
      <c r="LS15"/>
      <c r="LT15"/>
      <c r="LU15"/>
      <c r="LV15"/>
      <c r="LW15"/>
      <c r="LX15"/>
      <c r="LY15"/>
      <c r="LZ15"/>
      <c r="MA15"/>
      <c r="MB15"/>
      <c r="MC15"/>
      <c r="MD15"/>
      <c r="ME15"/>
      <c r="MF15"/>
      <c r="MG15"/>
      <c r="MH15"/>
      <c r="MI15"/>
      <c r="MJ15"/>
      <c r="MK15"/>
      <c r="ML15"/>
      <c r="MM15"/>
      <c r="MN15"/>
      <c r="MO15"/>
      <c r="MP15"/>
      <c r="MQ15"/>
      <c r="MR15"/>
      <c r="MS15"/>
      <c r="MT15"/>
      <c r="MU15"/>
      <c r="MV15"/>
      <c r="MW15"/>
      <c r="MX15"/>
      <c r="MY15"/>
      <c r="MZ15"/>
      <c r="NA15"/>
      <c r="NB15"/>
      <c r="NC15"/>
      <c r="ND15"/>
      <c r="NE15"/>
      <c r="NF15"/>
      <c r="NG15"/>
      <c r="NH15"/>
      <c r="NI15"/>
      <c r="NJ15"/>
      <c r="NK15"/>
      <c r="NL15"/>
      <c r="NM15"/>
      <c r="NN15"/>
      <c r="NO15"/>
      <c r="NP15"/>
      <c r="NQ15"/>
      <c r="NR15"/>
      <c r="NS15"/>
      <c r="NT15"/>
      <c r="NU15"/>
      <c r="NV15"/>
      <c r="NW15"/>
      <c r="NX15"/>
      <c r="NY15"/>
      <c r="NZ15"/>
      <c r="OA15"/>
      <c r="OB15"/>
      <c r="OC15"/>
      <c r="OD15"/>
      <c r="OE15"/>
      <c r="OF15"/>
      <c r="OG15"/>
      <c r="OH15"/>
      <c r="OI15"/>
      <c r="OJ15"/>
      <c r="OK15"/>
      <c r="OL15"/>
      <c r="OM15"/>
      <c r="ON15"/>
      <c r="OO15"/>
      <c r="OP15"/>
      <c r="OQ15"/>
      <c r="OR15"/>
      <c r="OS15"/>
      <c r="OT15"/>
      <c r="OU15"/>
      <c r="OV15"/>
      <c r="OW15"/>
      <c r="OX15"/>
      <c r="OY15"/>
      <c r="OZ15"/>
      <c r="PA15"/>
      <c r="PB15"/>
      <c r="PC15"/>
      <c r="PD15"/>
      <c r="PE15"/>
      <c r="PF15"/>
      <c r="PG15"/>
      <c r="PH15"/>
      <c r="PI15"/>
      <c r="PJ15"/>
      <c r="PK15"/>
      <c r="PL15"/>
      <c r="PM15"/>
      <c r="PN15"/>
      <c r="PO15"/>
      <c r="PP15"/>
      <c r="PQ15"/>
      <c r="PR15"/>
      <c r="PS15"/>
      <c r="PT15"/>
      <c r="PU15"/>
      <c r="PV15"/>
      <c r="PW15"/>
      <c r="PX15"/>
      <c r="PY15"/>
      <c r="PZ15"/>
      <c r="QA15"/>
      <c r="QB15"/>
      <c r="QC15"/>
      <c r="QD15"/>
      <c r="QE15"/>
      <c r="QF15"/>
      <c r="QG15"/>
      <c r="QH15"/>
      <c r="QI15"/>
      <c r="QJ15"/>
      <c r="QK15"/>
      <c r="QL15"/>
      <c r="QM15"/>
      <c r="QN15"/>
      <c r="QO15"/>
      <c r="QP15"/>
      <c r="QQ15"/>
      <c r="QR15"/>
      <c r="QS15"/>
      <c r="QT15"/>
      <c r="QU15"/>
      <c r="QV15"/>
      <c r="QW15"/>
      <c r="QX15"/>
      <c r="QY15"/>
      <c r="QZ15"/>
      <c r="RA15"/>
      <c r="RB15"/>
      <c r="RC15"/>
      <c r="RD15"/>
      <c r="RE15"/>
      <c r="RF15"/>
      <c r="RG15"/>
      <c r="RH15"/>
      <c r="RI15"/>
      <c r="RJ15"/>
      <c r="RK15"/>
      <c r="RL15"/>
      <c r="RM15"/>
      <c r="RN15"/>
      <c r="RO15"/>
      <c r="RP15"/>
      <c r="RQ15"/>
      <c r="RR15"/>
      <c r="RS15"/>
      <c r="RT15"/>
      <c r="RU15"/>
      <c r="RV15"/>
      <c r="RW15"/>
      <c r="RX15"/>
      <c r="RY15"/>
      <c r="RZ15"/>
      <c r="SA15"/>
      <c r="SB15"/>
      <c r="SC15"/>
      <c r="SD15"/>
      <c r="SE15"/>
      <c r="SF15"/>
      <c r="SG15"/>
      <c r="SH15"/>
      <c r="SI15"/>
      <c r="SJ15"/>
      <c r="SK15"/>
      <c r="SL15"/>
      <c r="SM15"/>
      <c r="SN15"/>
      <c r="SO15"/>
      <c r="SP15"/>
      <c r="SQ15"/>
      <c r="SR15"/>
      <c r="SS15"/>
      <c r="ST15"/>
      <c r="SU15"/>
      <c r="SV15"/>
      <c r="SW15"/>
      <c r="SX15"/>
      <c r="SY15"/>
      <c r="SZ15"/>
      <c r="TA15"/>
      <c r="TB15"/>
      <c r="TC15"/>
      <c r="TD15"/>
      <c r="TE15"/>
      <c r="TF15"/>
      <c r="TG15"/>
      <c r="TH15"/>
      <c r="TI15"/>
      <c r="TJ15"/>
      <c r="TK15"/>
      <c r="TL15"/>
      <c r="TM15"/>
      <c r="TN15"/>
      <c r="TO15"/>
      <c r="TP15"/>
      <c r="TQ15"/>
      <c r="TR15"/>
      <c r="TS15"/>
      <c r="TT15"/>
      <c r="TU15"/>
      <c r="TV15"/>
      <c r="TW15"/>
      <c r="TX15"/>
      <c r="TY15"/>
      <c r="TZ15"/>
      <c r="UA15"/>
      <c r="UB15"/>
      <c r="UC15"/>
      <c r="UD15"/>
      <c r="UE15"/>
      <c r="UF15"/>
      <c r="UG15"/>
      <c r="UH15"/>
      <c r="UI15"/>
      <c r="UJ15"/>
      <c r="UK15"/>
      <c r="UL15"/>
      <c r="UM15"/>
      <c r="UN15"/>
      <c r="UO15"/>
      <c r="UP15"/>
      <c r="UQ15"/>
      <c r="UR15"/>
      <c r="US15"/>
      <c r="UT15"/>
      <c r="UU15"/>
      <c r="UV15"/>
      <c r="UW15"/>
      <c r="UX15"/>
      <c r="UY15"/>
      <c r="UZ15"/>
      <c r="VA15"/>
      <c r="VB15"/>
      <c r="VC15"/>
      <c r="VD15"/>
      <c r="VE15"/>
      <c r="VF15"/>
      <c r="VG15"/>
      <c r="VH15"/>
      <c r="VI15"/>
      <c r="VJ15"/>
      <c r="VK15"/>
      <c r="VL15"/>
      <c r="VM15"/>
      <c r="VN15"/>
      <c r="VO15"/>
      <c r="VP15"/>
      <c r="VQ15"/>
      <c r="VR15"/>
      <c r="VS15"/>
      <c r="VT15"/>
      <c r="VU15"/>
      <c r="VV15"/>
      <c r="VW15"/>
      <c r="VX15"/>
      <c r="VY15"/>
      <c r="VZ15"/>
      <c r="WA15"/>
      <c r="WB15"/>
      <c r="WC15"/>
      <c r="WD15"/>
      <c r="WE15"/>
      <c r="WF15"/>
      <c r="WG15"/>
      <c r="WH15"/>
      <c r="WI15"/>
      <c r="WJ15"/>
      <c r="WK15"/>
      <c r="WL15"/>
      <c r="WM15"/>
      <c r="WN15"/>
      <c r="WO15"/>
      <c r="WP15"/>
      <c r="WQ15"/>
      <c r="WR15"/>
      <c r="WS15"/>
      <c r="WT15"/>
      <c r="WU15"/>
      <c r="WV15"/>
      <c r="WW15"/>
      <c r="WX15"/>
      <c r="WY15"/>
      <c r="WZ15"/>
      <c r="XA15"/>
      <c r="XB15"/>
      <c r="XC15"/>
      <c r="XD15"/>
      <c r="XE15"/>
      <c r="XF15"/>
      <c r="XG15"/>
      <c r="XH15"/>
      <c r="XI15"/>
      <c r="XJ15"/>
      <c r="XK15"/>
      <c r="XL15"/>
      <c r="XM15"/>
      <c r="XN15"/>
      <c r="XO15"/>
      <c r="XP15"/>
      <c r="XQ15"/>
      <c r="XR15"/>
      <c r="XS15"/>
      <c r="XT15"/>
      <c r="XU15"/>
      <c r="XV15"/>
      <c r="XW15"/>
      <c r="XX15"/>
      <c r="XY15"/>
      <c r="XZ15"/>
      <c r="YA15"/>
      <c r="YB15"/>
      <c r="YC15"/>
      <c r="YD15"/>
      <c r="YE15"/>
      <c r="YF15"/>
      <c r="YG15"/>
      <c r="YH15"/>
      <c r="YI15"/>
      <c r="YJ15"/>
      <c r="YK15"/>
      <c r="YL15"/>
      <c r="YM15"/>
      <c r="YN15"/>
      <c r="YO15"/>
      <c r="YP15"/>
      <c r="YQ15"/>
      <c r="YR15"/>
      <c r="YS15"/>
      <c r="YT15"/>
      <c r="YU15"/>
      <c r="YV15"/>
      <c r="YW15"/>
      <c r="YX15"/>
      <c r="YY15"/>
      <c r="YZ15"/>
      <c r="ZA15"/>
      <c r="ZB15"/>
      <c r="ZC15"/>
      <c r="ZD15"/>
      <c r="ZE15"/>
      <c r="ZF15"/>
      <c r="ZG15"/>
      <c r="ZH15"/>
      <c r="ZI15"/>
      <c r="ZJ15"/>
      <c r="ZK15"/>
      <c r="ZL15"/>
      <c r="ZM15"/>
      <c r="ZN15"/>
      <c r="ZO15"/>
      <c r="ZP15"/>
      <c r="ZQ15"/>
      <c r="ZR15"/>
      <c r="ZS15"/>
      <c r="ZT15"/>
      <c r="ZU15"/>
      <c r="ZV15"/>
      <c r="ZW15"/>
      <c r="ZX15"/>
      <c r="ZY15"/>
      <c r="ZZ15"/>
      <c r="AAA15"/>
      <c r="AAB15"/>
      <c r="AAC15"/>
      <c r="AAD15"/>
      <c r="AAE15"/>
      <c r="AAF15"/>
      <c r="AAG15"/>
      <c r="AAH15"/>
      <c r="AAI15"/>
      <c r="AAJ15"/>
      <c r="AAK15"/>
      <c r="AAL15"/>
      <c r="AAM15"/>
      <c r="AAN15"/>
      <c r="AAO15"/>
      <c r="AAP15"/>
      <c r="AAQ15"/>
      <c r="AAR15"/>
      <c r="AAS15"/>
      <c r="AAT15"/>
      <c r="AAU15"/>
      <c r="AAV15"/>
      <c r="AAW15"/>
      <c r="AAX15"/>
      <c r="AAY15"/>
      <c r="AAZ15"/>
      <c r="ABA15"/>
      <c r="ABB15"/>
      <c r="ABC15"/>
      <c r="ABD15"/>
      <c r="ABE15"/>
      <c r="ABF15"/>
      <c r="ABG15"/>
      <c r="ABH15"/>
      <c r="ABI15"/>
      <c r="ABJ15"/>
      <c r="ABK15"/>
      <c r="ABL15"/>
      <c r="ABM15"/>
      <c r="ABN15"/>
      <c r="ABO15"/>
      <c r="ABP15"/>
      <c r="ABQ15"/>
      <c r="ABR15"/>
      <c r="ABS15"/>
      <c r="ABT15"/>
      <c r="ABU15"/>
      <c r="ABV15"/>
      <c r="ABW15"/>
      <c r="ABX15"/>
      <c r="ABY15"/>
      <c r="ABZ15"/>
      <c r="ACA15"/>
      <c r="ACB15"/>
      <c r="ACC15"/>
      <c r="ACD15"/>
      <c r="ACE15"/>
      <c r="ACF15"/>
      <c r="ACG15"/>
      <c r="ACH15"/>
      <c r="ACI15"/>
      <c r="ACJ15"/>
      <c r="ACK15"/>
      <c r="ACL15"/>
      <c r="ACM15"/>
      <c r="ACN15"/>
      <c r="ACO15"/>
      <c r="ACP15"/>
      <c r="ACQ15"/>
      <c r="ACR15"/>
      <c r="ACS15"/>
      <c r="ACT15"/>
      <c r="ACU15"/>
      <c r="ACV15"/>
      <c r="ACW15"/>
      <c r="ACX15"/>
      <c r="ACY15"/>
      <c r="ACZ15"/>
      <c r="ADA15"/>
      <c r="ADB15"/>
      <c r="ADC15"/>
      <c r="ADD15"/>
      <c r="ADE15"/>
      <c r="ADF15"/>
      <c r="ADG15"/>
      <c r="ADH15"/>
      <c r="ADI15"/>
      <c r="ADJ15"/>
      <c r="ADK15"/>
      <c r="ADL15"/>
      <c r="ADM15"/>
      <c r="ADN15"/>
      <c r="ADO15"/>
      <c r="ADP15"/>
      <c r="ADQ15"/>
      <c r="ADR15"/>
      <c r="ADS15"/>
      <c r="ADT15"/>
      <c r="ADU15"/>
      <c r="ADV15"/>
      <c r="ADW15"/>
      <c r="ADX15"/>
      <c r="ADY15"/>
      <c r="ADZ15"/>
      <c r="AEA15"/>
      <c r="AEB15"/>
      <c r="AEC15"/>
      <c r="AED15"/>
      <c r="AEE15"/>
      <c r="AEF15"/>
      <c r="AEG15"/>
      <c r="AEH15"/>
      <c r="AEI15"/>
      <c r="AEJ15"/>
      <c r="AEK15"/>
      <c r="AEL15"/>
      <c r="AEM15"/>
      <c r="AEN15"/>
      <c r="AEO15"/>
      <c r="AEP15"/>
      <c r="AEQ15"/>
      <c r="AER15"/>
      <c r="AES15"/>
      <c r="AET15"/>
      <c r="AEU15"/>
      <c r="AEV15"/>
      <c r="AEW15"/>
      <c r="AEX15"/>
      <c r="AEY15"/>
      <c r="AEZ15"/>
      <c r="AFA15"/>
      <c r="AFB15"/>
      <c r="AFC15"/>
      <c r="AFD15"/>
      <c r="AFE15"/>
      <c r="AFF15"/>
      <c r="AFG15"/>
      <c r="AFH15"/>
      <c r="AFI15"/>
      <c r="AFJ15"/>
      <c r="AFK15"/>
      <c r="AFL15"/>
      <c r="AFM15"/>
      <c r="AFN15"/>
      <c r="AFO15"/>
      <c r="AFP15"/>
      <c r="AFQ15"/>
      <c r="AFR15"/>
      <c r="AFS15"/>
      <c r="AFT15"/>
      <c r="AFU15"/>
      <c r="AFV15"/>
      <c r="AFW15"/>
      <c r="AFX15"/>
      <c r="AFY15"/>
      <c r="AFZ15"/>
      <c r="AGA15"/>
      <c r="AGB15"/>
      <c r="AGC15"/>
      <c r="AGD15"/>
      <c r="AGE15"/>
      <c r="AGF15"/>
      <c r="AGG15"/>
      <c r="AGH15"/>
      <c r="AGI15"/>
      <c r="AGJ15"/>
      <c r="AGK15"/>
      <c r="AGL15"/>
      <c r="AGM15"/>
      <c r="AGN15"/>
      <c r="AGO15"/>
      <c r="AGP15"/>
      <c r="AGQ15"/>
      <c r="AGR15"/>
      <c r="AGS15"/>
      <c r="AGT15"/>
      <c r="AGU15"/>
      <c r="AGV15"/>
      <c r="AGW15"/>
      <c r="AGX15"/>
      <c r="AGY15"/>
      <c r="AGZ15"/>
      <c r="AHA15"/>
      <c r="AHB15"/>
      <c r="AHC15"/>
      <c r="AHD15"/>
      <c r="AHE15"/>
      <c r="AHF15"/>
      <c r="AHG15"/>
      <c r="AHH15"/>
      <c r="AHI15"/>
      <c r="AHJ15"/>
      <c r="AHK15"/>
      <c r="AHL15"/>
      <c r="AHM15"/>
      <c r="AHN15"/>
      <c r="AHO15"/>
      <c r="AHP15"/>
      <c r="AHQ15"/>
      <c r="AHR15"/>
      <c r="AHS15"/>
      <c r="AHT15"/>
      <c r="AHU15"/>
      <c r="AHV15"/>
      <c r="AHW15"/>
      <c r="AHX15"/>
      <c r="AHY15"/>
      <c r="AHZ15"/>
      <c r="AIA15"/>
      <c r="AIB15"/>
      <c r="AIC15"/>
      <c r="AID15"/>
      <c r="AIE15"/>
      <c r="AIF15"/>
      <c r="AIG15"/>
      <c r="AIH15"/>
      <c r="AII15"/>
      <c r="AIJ15"/>
      <c r="AIK15"/>
      <c r="AIL15"/>
      <c r="AIM15"/>
      <c r="AIN15"/>
      <c r="AIO15"/>
      <c r="AIP15"/>
      <c r="AIQ15"/>
      <c r="AIR15"/>
      <c r="AIS15"/>
      <c r="AIT15"/>
      <c r="AIU15"/>
      <c r="AIV15"/>
      <c r="AIW15"/>
      <c r="AIX15"/>
      <c r="AIY15"/>
      <c r="AIZ15"/>
      <c r="AJA15"/>
      <c r="AJB15"/>
      <c r="AJC15"/>
      <c r="AJD15"/>
      <c r="AJE15"/>
      <c r="AJF15"/>
      <c r="AJG15"/>
      <c r="AJH15"/>
      <c r="AJI15"/>
      <c r="AJJ15"/>
      <c r="AJK15"/>
      <c r="AJL15"/>
      <c r="AJM15"/>
      <c r="AJN15"/>
      <c r="AJO15"/>
      <c r="AJP15"/>
      <c r="AJQ15"/>
      <c r="AJR15"/>
      <c r="AJS15"/>
      <c r="AJT15"/>
      <c r="AJU15"/>
      <c r="AJV15"/>
      <c r="AJW15"/>
      <c r="AJX15"/>
      <c r="AJY15"/>
      <c r="AJZ15"/>
      <c r="AKA15"/>
      <c r="AKB15"/>
      <c r="AKC15"/>
      <c r="AKD15"/>
      <c r="AKE15"/>
      <c r="AKF15"/>
      <c r="AKG15"/>
      <c r="AKH15"/>
      <c r="AKI15"/>
      <c r="AKJ15"/>
      <c r="AKK15"/>
      <c r="AKL15"/>
      <c r="AKM15"/>
      <c r="AKN15"/>
      <c r="AKO15"/>
      <c r="AKP15"/>
      <c r="AKQ15"/>
      <c r="AKR15"/>
      <c r="AKS15"/>
      <c r="AKT15"/>
      <c r="AKU15"/>
      <c r="AKV15"/>
      <c r="AKW15"/>
      <c r="AKX15"/>
      <c r="AKY15"/>
      <c r="AKZ15"/>
      <c r="ALA15"/>
      <c r="ALB15"/>
      <c r="ALC15"/>
      <c r="ALD15"/>
      <c r="ALE15"/>
      <c r="ALF15"/>
      <c r="ALG15"/>
      <c r="ALH15"/>
      <c r="ALI15"/>
      <c r="ALJ15"/>
      <c r="ALK15"/>
      <c r="ALL15"/>
      <c r="ALM15"/>
      <c r="ALN15"/>
      <c r="ALO15"/>
      <c r="ALP15"/>
      <c r="ALQ15"/>
      <c r="ALR15"/>
      <c r="ALS15"/>
      <c r="ALT15"/>
      <c r="ALU15"/>
      <c r="ALV15"/>
      <c r="ALW15"/>
      <c r="ALX15"/>
      <c r="ALY15"/>
      <c r="ALZ15"/>
      <c r="AMA15"/>
      <c r="AMB15"/>
      <c r="AMC15"/>
      <c r="AMD15"/>
      <c r="AME15"/>
      <c r="AMF15"/>
      <c r="AMG15"/>
      <c r="AMH15"/>
      <c r="AMI15"/>
      <c r="AMJ15"/>
      <c r="AMK15"/>
      <c r="AML15"/>
      <c r="AMM15"/>
      <c r="AMN15"/>
      <c r="AMO15"/>
      <c r="AMP15"/>
      <c r="AMQ15"/>
      <c r="AMR15"/>
      <c r="AMS15"/>
      <c r="AMT15"/>
      <c r="AMU15"/>
      <c r="AMV15"/>
      <c r="AMW15"/>
      <c r="AMX15"/>
      <c r="AMY15"/>
      <c r="AMZ15"/>
      <c r="ANA15"/>
      <c r="ANB15"/>
      <c r="ANC15"/>
      <c r="AND15"/>
      <c r="ANE15"/>
      <c r="ANF15"/>
      <c r="ANG15"/>
      <c r="ANH15"/>
      <c r="ANI15"/>
      <c r="ANJ15"/>
      <c r="ANK15"/>
      <c r="ANL15"/>
      <c r="ANM15"/>
      <c r="ANN15"/>
      <c r="ANO15"/>
      <c r="ANP15"/>
      <c r="ANQ15"/>
      <c r="ANR15"/>
      <c r="ANS15"/>
      <c r="ANT15"/>
      <c r="ANU15"/>
      <c r="ANV15"/>
      <c r="ANW15"/>
      <c r="ANX15"/>
      <c r="ANY15"/>
      <c r="ANZ15"/>
      <c r="AOA15"/>
      <c r="AOB15"/>
      <c r="AOC15"/>
      <c r="AOD15"/>
      <c r="AOE15"/>
      <c r="AOF15"/>
      <c r="AOG15"/>
      <c r="AOH15"/>
      <c r="AOI15"/>
      <c r="AOJ15"/>
      <c r="AOK15"/>
      <c r="AOL15"/>
      <c r="AOM15"/>
      <c r="AON15"/>
      <c r="AOO15"/>
      <c r="AOP15"/>
      <c r="AOQ15"/>
      <c r="AOR15"/>
      <c r="AOS15"/>
      <c r="AOT15"/>
      <c r="AOU15"/>
      <c r="AOV15"/>
      <c r="AOW15"/>
      <c r="AOX15"/>
      <c r="AOY15"/>
      <c r="AOZ15"/>
      <c r="APA15"/>
      <c r="APB15"/>
      <c r="APC15"/>
      <c r="APD15"/>
      <c r="APE15"/>
      <c r="APF15"/>
      <c r="APG15"/>
      <c r="APH15"/>
      <c r="API15"/>
      <c r="APJ15"/>
      <c r="APK15"/>
      <c r="APL15"/>
      <c r="APM15"/>
      <c r="APN15"/>
      <c r="APO15"/>
      <c r="APP15"/>
      <c r="APQ15"/>
      <c r="APR15"/>
      <c r="APS15"/>
      <c r="APT15"/>
      <c r="APU15"/>
      <c r="APV15"/>
      <c r="APW15"/>
      <c r="APX15"/>
      <c r="APY15"/>
      <c r="APZ15"/>
      <c r="AQA15"/>
      <c r="AQB15"/>
      <c r="AQC15"/>
      <c r="AQD15"/>
      <c r="AQE15"/>
      <c r="AQF15"/>
      <c r="AQG15"/>
      <c r="AQH15"/>
      <c r="AQI15"/>
      <c r="AQJ15"/>
      <c r="AQK15"/>
      <c r="AQL15"/>
      <c r="AQM15"/>
      <c r="AQN15"/>
      <c r="AQO15"/>
      <c r="AQP15"/>
      <c r="AQQ15"/>
      <c r="AQR15"/>
      <c r="AQS15"/>
      <c r="AQT15"/>
      <c r="AQU15"/>
      <c r="AQV15"/>
      <c r="AQW15"/>
      <c r="AQX15"/>
      <c r="AQY15"/>
      <c r="AQZ15"/>
      <c r="ARA15"/>
      <c r="ARB15"/>
      <c r="ARC15"/>
      <c r="ARD15"/>
      <c r="ARE15"/>
      <c r="ARF15"/>
      <c r="ARG15"/>
      <c r="ARH15"/>
      <c r="ARI15"/>
      <c r="ARJ15"/>
      <c r="ARK15"/>
      <c r="ARL15"/>
      <c r="ARM15"/>
      <c r="ARN15"/>
      <c r="ARO15"/>
      <c r="ARP15"/>
      <c r="ARQ15"/>
      <c r="ARR15"/>
      <c r="ARS15"/>
      <c r="ART15"/>
      <c r="ARU15"/>
      <c r="ARV15"/>
      <c r="ARW15"/>
      <c r="ARX15"/>
      <c r="ARY15"/>
      <c r="ARZ15"/>
      <c r="ASA15"/>
      <c r="ASB15"/>
      <c r="ASC15"/>
      <c r="ASD15"/>
      <c r="ASE15"/>
      <c r="ASF15"/>
      <c r="ASG15"/>
      <c r="ASH15"/>
      <c r="ASI15"/>
      <c r="ASJ15"/>
      <c r="ASK15"/>
      <c r="ASL15"/>
      <c r="ASM15"/>
      <c r="ASN15"/>
      <c r="ASO15"/>
      <c r="ASP15"/>
      <c r="ASQ15"/>
      <c r="ASR15"/>
      <c r="ASS15"/>
      <c r="AST15"/>
      <c r="ASU15"/>
      <c r="ASV15"/>
      <c r="ASW15"/>
      <c r="ASX15"/>
      <c r="ASY15"/>
      <c r="ASZ15"/>
      <c r="ATA15"/>
      <c r="ATB15"/>
      <c r="ATC15"/>
      <c r="ATD15"/>
      <c r="ATE15"/>
      <c r="ATF15"/>
      <c r="ATG15"/>
      <c r="ATH15"/>
      <c r="ATI15"/>
      <c r="ATJ15"/>
      <c r="ATK15"/>
      <c r="ATL15"/>
      <c r="ATM15"/>
      <c r="ATN15"/>
      <c r="ATO15"/>
      <c r="ATP15"/>
      <c r="ATQ15"/>
      <c r="ATR15"/>
      <c r="ATS15"/>
      <c r="ATT15"/>
      <c r="ATU15"/>
      <c r="ATV15"/>
      <c r="ATW15"/>
      <c r="ATX15"/>
      <c r="ATY15"/>
      <c r="ATZ15"/>
      <c r="AUA15"/>
      <c r="AUB15"/>
      <c r="AUC15"/>
      <c r="AUD15"/>
      <c r="AUE15"/>
      <c r="AUF15"/>
      <c r="AUG15"/>
      <c r="AUH15"/>
      <c r="AUI15"/>
      <c r="AUJ15"/>
      <c r="AUK15"/>
      <c r="AUL15"/>
      <c r="AUM15"/>
      <c r="AUN15"/>
      <c r="AUO15"/>
      <c r="AUP15"/>
      <c r="AUQ15"/>
      <c r="AUR15"/>
      <c r="AUS15"/>
      <c r="AUT15"/>
      <c r="AUU15"/>
      <c r="AUV15"/>
      <c r="AUW15"/>
      <c r="AUX15"/>
      <c r="AUY15"/>
      <c r="AUZ15"/>
      <c r="AVA15"/>
      <c r="AVB15"/>
      <c r="AVC15"/>
      <c r="AVD15"/>
      <c r="AVE15"/>
      <c r="AVF15"/>
      <c r="AVG15"/>
      <c r="AVH15"/>
      <c r="AVI15"/>
      <c r="AVJ15"/>
      <c r="AVK15"/>
      <c r="AVL15"/>
      <c r="AVM15"/>
      <c r="AVN15"/>
      <c r="AVO15"/>
      <c r="AVP15"/>
      <c r="AVQ15"/>
      <c r="AVR15"/>
      <c r="AVS15"/>
      <c r="AVT15"/>
      <c r="AVU15"/>
      <c r="AVV15"/>
      <c r="AVW15"/>
      <c r="AVX15"/>
      <c r="AVY15"/>
      <c r="AVZ15"/>
      <c r="AWA15"/>
      <c r="AWB15"/>
      <c r="AWC15"/>
      <c r="AWD15"/>
      <c r="AWE15"/>
      <c r="AWF15"/>
      <c r="AWG15"/>
      <c r="AWH15"/>
      <c r="AWI15"/>
      <c r="AWJ15"/>
      <c r="AWK15"/>
      <c r="AWL15"/>
      <c r="AWM15"/>
      <c r="AWN15"/>
      <c r="AWO15"/>
      <c r="AWP15"/>
      <c r="AWQ15"/>
      <c r="AWR15"/>
      <c r="AWS15"/>
      <c r="AWT15"/>
      <c r="AWU15"/>
      <c r="AWV15"/>
      <c r="AWW15"/>
      <c r="AWX15"/>
      <c r="AWY15"/>
      <c r="AWZ15"/>
      <c r="AXA15"/>
      <c r="AXB15"/>
      <c r="AXC15"/>
      <c r="AXD15"/>
      <c r="AXE15"/>
      <c r="AXF15"/>
      <c r="AXG15"/>
      <c r="AXH15"/>
      <c r="AXI15"/>
      <c r="AXJ15"/>
      <c r="AXK15"/>
      <c r="AXL15"/>
      <c r="AXM15"/>
      <c r="AXN15"/>
      <c r="AXO15"/>
      <c r="AXP15"/>
      <c r="AXQ15"/>
      <c r="AXR15"/>
      <c r="AXS15"/>
      <c r="AXT15"/>
      <c r="AXU15"/>
      <c r="AXV15"/>
      <c r="AXW15"/>
      <c r="AXX15"/>
      <c r="AXY15"/>
      <c r="AXZ15"/>
      <c r="AYA15"/>
      <c r="AYB15"/>
      <c r="AYC15"/>
      <c r="AYD15"/>
      <c r="AYE15"/>
      <c r="AYF15"/>
      <c r="AYG15"/>
      <c r="AYH15"/>
      <c r="AYI15"/>
      <c r="AYJ15"/>
      <c r="AYK15"/>
      <c r="AYL15"/>
      <c r="AYM15"/>
      <c r="AYN15"/>
      <c r="AYO15"/>
      <c r="AYP15"/>
      <c r="AYQ15"/>
      <c r="AYR15"/>
      <c r="AYS15"/>
      <c r="AYT15"/>
      <c r="AYU15"/>
      <c r="AYV15"/>
      <c r="AYW15"/>
      <c r="AYX15"/>
      <c r="AYY15"/>
      <c r="AYZ15"/>
      <c r="AZA15"/>
      <c r="AZB15"/>
      <c r="AZC15"/>
      <c r="AZD15"/>
      <c r="AZE15"/>
      <c r="AZF15"/>
      <c r="AZG15"/>
      <c r="AZH15"/>
      <c r="AZI15"/>
      <c r="AZJ15"/>
      <c r="AZK15"/>
      <c r="AZL15"/>
      <c r="AZM15"/>
      <c r="AZN15"/>
      <c r="AZO15"/>
      <c r="AZP15"/>
      <c r="AZQ15"/>
      <c r="AZR15"/>
      <c r="AZS15"/>
      <c r="AZT15"/>
      <c r="AZU15"/>
      <c r="AZV15"/>
      <c r="AZW15"/>
      <c r="AZX15"/>
      <c r="AZY15"/>
      <c r="AZZ15"/>
      <c r="BAA15"/>
      <c r="BAB15"/>
      <c r="BAC15"/>
      <c r="BAD15"/>
      <c r="BAE15"/>
      <c r="BAF15"/>
      <c r="BAG15"/>
      <c r="BAH15"/>
      <c r="BAI15"/>
      <c r="BAJ15"/>
      <c r="BAK15"/>
      <c r="BAL15"/>
      <c r="BAM15"/>
      <c r="BAN15"/>
      <c r="BAO15"/>
      <c r="BAP15"/>
      <c r="BAQ15"/>
      <c r="BAR15"/>
      <c r="BAS15"/>
      <c r="BAT15"/>
      <c r="BAU15"/>
      <c r="BAV15"/>
      <c r="BAW15"/>
      <c r="BAX15"/>
      <c r="BAY15"/>
      <c r="BAZ15"/>
      <c r="BBA15"/>
      <c r="BBB15"/>
      <c r="BBC15"/>
      <c r="BBD15"/>
      <c r="BBE15"/>
      <c r="BBF15"/>
      <c r="BBG15"/>
      <c r="BBH15"/>
      <c r="BBI15"/>
      <c r="BBJ15"/>
      <c r="BBK15"/>
      <c r="BBL15"/>
      <c r="BBM15"/>
      <c r="BBN15"/>
      <c r="BBO15"/>
      <c r="BBP15"/>
      <c r="BBQ15"/>
      <c r="BBR15"/>
      <c r="BBS15"/>
      <c r="BBT15"/>
      <c r="BBU15"/>
      <c r="BBV15"/>
      <c r="BBW15"/>
      <c r="BBX15"/>
      <c r="BBY15"/>
      <c r="BBZ15"/>
      <c r="BCA15"/>
      <c r="BCB15"/>
      <c r="BCC15"/>
      <c r="BCD15"/>
      <c r="BCE15"/>
      <c r="BCF15"/>
      <c r="BCG15"/>
      <c r="BCH15"/>
      <c r="BCI15"/>
      <c r="BCJ15"/>
      <c r="BCK15"/>
      <c r="BCL15"/>
      <c r="BCM15"/>
      <c r="BCN15"/>
      <c r="BCO15"/>
      <c r="BCP15"/>
      <c r="BCQ15"/>
      <c r="BCR15"/>
      <c r="BCS15"/>
      <c r="BCT15"/>
      <c r="BCU15"/>
      <c r="BCV15"/>
      <c r="BCW15"/>
      <c r="BCX15"/>
      <c r="BCY15"/>
      <c r="BCZ15"/>
      <c r="BDA15"/>
      <c r="BDB15"/>
      <c r="BDC15"/>
      <c r="BDD15"/>
      <c r="BDE15"/>
      <c r="BDF15"/>
      <c r="BDG15"/>
      <c r="BDH15"/>
      <c r="BDI15"/>
      <c r="BDJ15"/>
      <c r="BDK15"/>
      <c r="BDL15"/>
      <c r="BDM15"/>
      <c r="BDN15"/>
      <c r="BDO15"/>
      <c r="BDP15"/>
      <c r="BDQ15"/>
      <c r="BDR15"/>
      <c r="BDS15"/>
      <c r="BDT15"/>
      <c r="BDU15"/>
      <c r="BDV15"/>
      <c r="BDW15"/>
      <c r="BDX15"/>
      <c r="BDY15"/>
      <c r="BDZ15"/>
      <c r="BEA15"/>
      <c r="BEB15"/>
      <c r="BEC15"/>
      <c r="BED15"/>
      <c r="BEE15"/>
      <c r="BEF15"/>
      <c r="BEG15"/>
      <c r="BEH15"/>
      <c r="BEI15"/>
      <c r="BEJ15"/>
      <c r="BEK15"/>
      <c r="BEL15"/>
      <c r="BEM15"/>
      <c r="BEN15"/>
      <c r="BEO15"/>
      <c r="BEP15"/>
      <c r="BEQ15"/>
      <c r="BER15"/>
      <c r="BES15"/>
      <c r="BET15"/>
      <c r="BEU15"/>
      <c r="BEV15"/>
      <c r="BEW15"/>
      <c r="BEX15"/>
      <c r="BEY15"/>
      <c r="BEZ15"/>
      <c r="BFA15"/>
      <c r="BFB15"/>
      <c r="BFC15"/>
      <c r="BFD15"/>
      <c r="BFE15"/>
      <c r="BFF15"/>
      <c r="BFG15"/>
      <c r="BFH15"/>
      <c r="BFI15"/>
      <c r="BFJ15"/>
      <c r="BFK15"/>
      <c r="BFL15"/>
      <c r="BFM15"/>
      <c r="BFN15"/>
      <c r="BFO15"/>
      <c r="BFP15"/>
      <c r="BFQ15"/>
      <c r="BFR15"/>
      <c r="BFS15"/>
      <c r="BFT15"/>
      <c r="BFU15"/>
      <c r="BFV15"/>
      <c r="BFW15"/>
      <c r="BFX15"/>
      <c r="BFY15"/>
      <c r="BFZ15"/>
      <c r="BGA15"/>
      <c r="BGB15"/>
      <c r="BGC15"/>
      <c r="BGD15"/>
      <c r="BGE15"/>
      <c r="BGF15"/>
      <c r="BGG15"/>
      <c r="BGH15"/>
      <c r="BGI15"/>
      <c r="BGJ15"/>
      <c r="BGK15"/>
      <c r="BGL15"/>
      <c r="BGM15"/>
      <c r="BGN15"/>
      <c r="BGO15"/>
      <c r="BGP15"/>
      <c r="BGQ15"/>
      <c r="BGR15"/>
      <c r="BGS15"/>
      <c r="BGT15"/>
      <c r="BGU15"/>
      <c r="BGV15"/>
      <c r="BGW15"/>
      <c r="BGX15"/>
      <c r="BGY15"/>
      <c r="BGZ15"/>
      <c r="BHA15"/>
      <c r="BHB15"/>
      <c r="BHC15"/>
      <c r="BHD15"/>
      <c r="BHE15"/>
      <c r="BHF15"/>
      <c r="BHG15"/>
      <c r="BHH15"/>
      <c r="BHI15"/>
      <c r="BHJ15"/>
      <c r="BHK15"/>
      <c r="BHL15"/>
      <c r="BHM15"/>
      <c r="BHN15"/>
      <c r="BHO15"/>
      <c r="BHP15"/>
      <c r="BHQ15"/>
      <c r="BHR15"/>
      <c r="BHS15"/>
      <c r="BHT15"/>
      <c r="BHU15"/>
      <c r="BHV15"/>
      <c r="BHW15"/>
      <c r="BHX15"/>
      <c r="BHY15"/>
      <c r="BHZ15"/>
      <c r="BIA15"/>
      <c r="BIB15"/>
      <c r="BIC15"/>
      <c r="BID15"/>
      <c r="BIE15"/>
      <c r="BIF15"/>
      <c r="BIG15"/>
      <c r="BIH15"/>
      <c r="BII15"/>
      <c r="BIJ15"/>
      <c r="BIK15"/>
      <c r="BIL15"/>
      <c r="BIM15"/>
      <c r="BIN15"/>
      <c r="BIO15"/>
      <c r="BIP15"/>
      <c r="BIQ15"/>
      <c r="BIR15"/>
      <c r="BIS15"/>
      <c r="BIT15"/>
      <c r="BIU15"/>
      <c r="BIV15"/>
      <c r="BIW15"/>
      <c r="BIX15"/>
      <c r="BIY15"/>
      <c r="BIZ15"/>
      <c r="BJA15"/>
      <c r="BJB15"/>
      <c r="BJC15"/>
      <c r="BJD15"/>
      <c r="BJE15"/>
      <c r="BJF15"/>
      <c r="BJG15"/>
      <c r="BJH15"/>
      <c r="BJI15"/>
      <c r="BJJ15"/>
      <c r="BJK15"/>
      <c r="BJL15"/>
      <c r="BJM15"/>
      <c r="BJN15"/>
      <c r="BJO15"/>
      <c r="BJP15"/>
      <c r="BJQ15"/>
      <c r="BJR15"/>
      <c r="BJS15"/>
      <c r="BJT15"/>
      <c r="BJU15"/>
      <c r="BJV15"/>
      <c r="BJW15"/>
      <c r="BJX15"/>
      <c r="BJY15"/>
      <c r="BJZ15"/>
      <c r="BKA15"/>
      <c r="BKB15"/>
      <c r="BKC15"/>
      <c r="BKD15"/>
      <c r="BKE15"/>
      <c r="BKF15"/>
      <c r="BKG15"/>
      <c r="BKH15"/>
      <c r="BKI15"/>
      <c r="BKJ15"/>
      <c r="BKK15"/>
      <c r="BKL15"/>
      <c r="BKM15"/>
      <c r="BKN15"/>
      <c r="BKO15"/>
      <c r="BKP15"/>
      <c r="BKQ15"/>
      <c r="BKR15"/>
      <c r="BKS15"/>
      <c r="BKT15"/>
      <c r="BKU15"/>
      <c r="BKV15"/>
      <c r="BKW15"/>
      <c r="BKX15"/>
      <c r="BKY15"/>
      <c r="BKZ15"/>
      <c r="BLA15"/>
      <c r="BLB15"/>
      <c r="BLC15"/>
      <c r="BLD15"/>
      <c r="BLE15"/>
      <c r="BLF15"/>
      <c r="BLG15"/>
      <c r="BLH15"/>
      <c r="BLI15"/>
      <c r="BLJ15"/>
      <c r="BLK15"/>
      <c r="BLL15"/>
      <c r="BLM15"/>
      <c r="BLN15"/>
      <c r="BLO15"/>
      <c r="BLP15"/>
      <c r="BLQ15"/>
      <c r="BLR15"/>
      <c r="BLS15"/>
      <c r="BLT15"/>
      <c r="BLU15"/>
      <c r="BLV15"/>
      <c r="BLW15"/>
      <c r="BLX15"/>
      <c r="BLY15"/>
      <c r="BLZ15"/>
      <c r="BMA15"/>
      <c r="BMB15"/>
      <c r="BMC15"/>
      <c r="BMD15"/>
      <c r="BME15"/>
      <c r="BMF15"/>
      <c r="BMG15"/>
      <c r="BMH15"/>
      <c r="BMI15"/>
      <c r="BMJ15"/>
      <c r="BMK15"/>
      <c r="BML15"/>
      <c r="BMM15"/>
      <c r="BMN15"/>
      <c r="BMO15"/>
      <c r="BMP15"/>
      <c r="BMQ15"/>
      <c r="BMR15"/>
      <c r="BMS15"/>
      <c r="BMT15"/>
      <c r="BMU15"/>
      <c r="BMV15"/>
      <c r="BMW15"/>
      <c r="BMX15"/>
      <c r="BMY15"/>
      <c r="BMZ15"/>
      <c r="BNA15"/>
      <c r="BNB15"/>
      <c r="BNC15"/>
      <c r="BND15"/>
      <c r="BNE15"/>
      <c r="BNF15"/>
      <c r="BNG15"/>
      <c r="BNH15"/>
      <c r="BNI15"/>
      <c r="BNJ15"/>
      <c r="BNK15"/>
      <c r="BNL15"/>
      <c r="BNM15"/>
      <c r="BNN15"/>
      <c r="BNO15"/>
      <c r="BNP15"/>
      <c r="BNQ15"/>
      <c r="BNR15"/>
      <c r="BNS15"/>
      <c r="BNT15"/>
      <c r="BNU15"/>
      <c r="BNV15"/>
      <c r="BNW15"/>
      <c r="BNX15"/>
      <c r="BNY15"/>
      <c r="BNZ15"/>
      <c r="BOA15"/>
      <c r="BOB15"/>
      <c r="BOC15"/>
      <c r="BOD15"/>
      <c r="BOE15"/>
      <c r="BOF15"/>
      <c r="BOG15"/>
      <c r="BOH15"/>
      <c r="BOI15"/>
      <c r="BOJ15"/>
      <c r="BOK15"/>
      <c r="BOL15"/>
      <c r="BOM15"/>
      <c r="BON15"/>
      <c r="BOO15"/>
      <c r="BOP15"/>
      <c r="BOQ15"/>
      <c r="BOR15"/>
      <c r="BOS15"/>
      <c r="BOT15"/>
      <c r="BOU15"/>
      <c r="BOV15"/>
      <c r="BOW15"/>
      <c r="BOX15"/>
      <c r="BOY15"/>
      <c r="BOZ15"/>
      <c r="BPA15"/>
      <c r="BPB15"/>
      <c r="BPC15"/>
      <c r="BPD15"/>
      <c r="BPE15"/>
      <c r="BPF15"/>
      <c r="BPG15"/>
      <c r="BPH15"/>
      <c r="BPI15"/>
      <c r="BPJ15"/>
      <c r="BPK15"/>
      <c r="BPL15"/>
      <c r="BPM15"/>
      <c r="BPN15"/>
      <c r="BPO15"/>
      <c r="BPP15"/>
      <c r="BPQ15"/>
      <c r="BPR15"/>
      <c r="BPS15"/>
      <c r="BPT15"/>
      <c r="BPU15"/>
      <c r="BPV15"/>
      <c r="BPW15"/>
      <c r="BPX15"/>
      <c r="BPY15"/>
      <c r="BPZ15"/>
      <c r="BQA15"/>
      <c r="BQB15"/>
      <c r="BQC15"/>
      <c r="BQD15"/>
      <c r="BQE15"/>
      <c r="BQF15"/>
      <c r="BQG15"/>
      <c r="BQH15"/>
      <c r="BQI15"/>
      <c r="BQJ15"/>
      <c r="BQK15"/>
      <c r="BQL15"/>
      <c r="BQM15"/>
      <c r="BQN15"/>
      <c r="BQO15"/>
      <c r="BQP15"/>
      <c r="BQQ15"/>
      <c r="BQR15"/>
      <c r="BQS15"/>
      <c r="BQT15"/>
      <c r="BQU15"/>
      <c r="BQV15"/>
      <c r="BQW15"/>
      <c r="BQX15"/>
      <c r="BQY15"/>
      <c r="BQZ15"/>
      <c r="BRA15"/>
      <c r="BRB15"/>
      <c r="BRC15"/>
      <c r="BRD15"/>
      <c r="BRE15"/>
      <c r="BRF15"/>
      <c r="BRG15"/>
      <c r="BRH15"/>
      <c r="BRI15"/>
      <c r="BRJ15"/>
      <c r="BRK15"/>
      <c r="BRL15"/>
      <c r="BRM15"/>
      <c r="BRN15"/>
      <c r="BRO15"/>
      <c r="BRP15"/>
      <c r="BRQ15"/>
      <c r="BRR15"/>
      <c r="BRS15"/>
      <c r="BRT15"/>
      <c r="BRU15"/>
      <c r="BRV15"/>
      <c r="BRW15"/>
      <c r="BRX15"/>
      <c r="BRY15"/>
      <c r="BRZ15"/>
      <c r="BSA15"/>
      <c r="BSB15"/>
      <c r="BSC15"/>
      <c r="BSD15"/>
      <c r="BSE15"/>
      <c r="BSF15"/>
      <c r="BSG15"/>
      <c r="BSH15"/>
      <c r="BSI15"/>
      <c r="BSJ15"/>
      <c r="BSK15"/>
      <c r="BSL15"/>
      <c r="BSM15"/>
      <c r="BSN15"/>
      <c r="BSO15"/>
      <c r="BSP15"/>
      <c r="BSQ15"/>
      <c r="BSR15"/>
      <c r="BSS15"/>
      <c r="BST15"/>
      <c r="BSU15"/>
      <c r="BSV15"/>
      <c r="BSW15"/>
      <c r="BSX15"/>
      <c r="BSY15"/>
      <c r="BSZ15"/>
      <c r="BTA15"/>
      <c r="BTB15"/>
      <c r="BTC15"/>
      <c r="BTD15"/>
      <c r="BTE15"/>
      <c r="BTF15"/>
      <c r="BTG15"/>
      <c r="BTH15"/>
      <c r="BTI15"/>
      <c r="BTJ15"/>
      <c r="BTK15"/>
      <c r="BTL15"/>
      <c r="BTM15"/>
      <c r="BTN15"/>
      <c r="BTO15"/>
      <c r="BTP15"/>
      <c r="BTQ15"/>
      <c r="BTR15"/>
      <c r="BTS15"/>
      <c r="BTT15"/>
      <c r="BTU15"/>
      <c r="BTV15"/>
      <c r="BTW15"/>
      <c r="BTX15"/>
      <c r="BTY15"/>
      <c r="BTZ15"/>
      <c r="BUA15"/>
      <c r="BUB15"/>
      <c r="BUC15"/>
      <c r="BUD15"/>
      <c r="BUE15"/>
      <c r="BUF15"/>
      <c r="BUG15"/>
      <c r="BUH15"/>
      <c r="BUI15"/>
      <c r="BUJ15"/>
      <c r="BUK15"/>
      <c r="BUL15"/>
      <c r="BUM15"/>
      <c r="BUN15"/>
      <c r="BUO15"/>
      <c r="BUP15"/>
      <c r="BUQ15"/>
      <c r="BUR15"/>
      <c r="BUS15"/>
      <c r="BUT15"/>
      <c r="BUU15"/>
      <c r="BUV15"/>
      <c r="BUW15"/>
      <c r="BUX15"/>
      <c r="BUY15"/>
      <c r="BUZ15"/>
      <c r="BVA15"/>
      <c r="BVB15"/>
      <c r="BVC15"/>
      <c r="BVD15"/>
      <c r="BVE15"/>
      <c r="BVF15"/>
      <c r="BVG15"/>
      <c r="BVH15"/>
      <c r="BVI15"/>
      <c r="BVJ15"/>
      <c r="BVK15"/>
      <c r="BVL15"/>
      <c r="BVM15"/>
      <c r="BVN15"/>
      <c r="BVO15"/>
      <c r="BVP15"/>
      <c r="BVQ15"/>
      <c r="BVR15"/>
      <c r="BVS15"/>
      <c r="BVT15"/>
      <c r="BVU15"/>
      <c r="BVV15"/>
      <c r="BVW15"/>
      <c r="BVX15"/>
      <c r="BVY15"/>
      <c r="BVZ15"/>
      <c r="BWA15"/>
      <c r="BWB15"/>
      <c r="BWC15"/>
      <c r="BWD15"/>
      <c r="BWE15"/>
      <c r="BWF15"/>
      <c r="BWG15"/>
      <c r="BWH15"/>
      <c r="BWI15"/>
      <c r="BWJ15"/>
      <c r="BWK15"/>
      <c r="BWL15"/>
      <c r="BWM15"/>
      <c r="BWN15"/>
      <c r="BWO15"/>
      <c r="BWP15"/>
      <c r="BWQ15"/>
      <c r="BWR15"/>
      <c r="BWS15"/>
      <c r="BWT15"/>
      <c r="BWU15"/>
      <c r="BWV15"/>
      <c r="BWW15"/>
      <c r="BWX15"/>
      <c r="BWY15"/>
      <c r="BWZ15"/>
      <c r="BXA15"/>
      <c r="BXB15"/>
      <c r="BXC15"/>
      <c r="BXD15"/>
      <c r="BXE15"/>
      <c r="BXF15"/>
      <c r="BXG15"/>
      <c r="BXH15"/>
      <c r="BXI15"/>
      <c r="BXJ15"/>
      <c r="BXK15"/>
      <c r="BXL15"/>
      <c r="BXM15"/>
      <c r="BXN15"/>
      <c r="BXO15"/>
      <c r="BXP15"/>
      <c r="BXQ15"/>
      <c r="BXR15"/>
      <c r="BXS15"/>
      <c r="BXT15"/>
      <c r="BXU15"/>
      <c r="BXV15"/>
      <c r="BXW15"/>
      <c r="BXX15"/>
      <c r="BXY15"/>
      <c r="BXZ15"/>
      <c r="BYA15"/>
      <c r="BYB15"/>
      <c r="BYC15"/>
      <c r="BYD15"/>
      <c r="BYE15"/>
      <c r="BYF15"/>
      <c r="BYG15"/>
      <c r="BYH15"/>
      <c r="BYI15"/>
      <c r="BYJ15"/>
      <c r="BYK15"/>
      <c r="BYL15"/>
      <c r="BYM15"/>
      <c r="BYN15"/>
      <c r="BYO15"/>
      <c r="BYP15"/>
      <c r="BYQ15"/>
      <c r="BYR15"/>
      <c r="BYS15"/>
      <c r="BYT15"/>
      <c r="BYU15"/>
      <c r="BYV15"/>
      <c r="BYW15"/>
      <c r="BYX15"/>
      <c r="BYY15"/>
      <c r="BYZ15"/>
      <c r="BZA15"/>
      <c r="BZB15"/>
      <c r="BZC15"/>
      <c r="BZD15"/>
      <c r="BZE15"/>
      <c r="BZF15"/>
      <c r="BZG15"/>
      <c r="BZH15"/>
      <c r="BZI15"/>
      <c r="BZJ15"/>
      <c r="BZK15"/>
      <c r="BZL15"/>
      <c r="BZM15"/>
      <c r="BZN15"/>
      <c r="BZO15"/>
      <c r="BZP15"/>
      <c r="BZQ15"/>
      <c r="BZR15"/>
      <c r="BZS15"/>
      <c r="BZT15"/>
      <c r="BZU15"/>
      <c r="BZV15"/>
      <c r="BZW15"/>
      <c r="BZX15"/>
      <c r="BZY15"/>
      <c r="BZZ15"/>
      <c r="CAA15"/>
      <c r="CAB15"/>
      <c r="CAC15"/>
      <c r="CAD15"/>
      <c r="CAE15"/>
      <c r="CAF15"/>
      <c r="CAG15"/>
      <c r="CAH15"/>
      <c r="CAI15"/>
      <c r="CAJ15"/>
      <c r="CAK15"/>
      <c r="CAL15"/>
      <c r="CAM15"/>
      <c r="CAN15"/>
      <c r="CAO15"/>
      <c r="CAP15"/>
      <c r="CAQ15"/>
      <c r="CAR15"/>
      <c r="CAS15"/>
      <c r="CAT15"/>
      <c r="CAU15"/>
      <c r="CAV15"/>
      <c r="CAW15"/>
      <c r="CAX15"/>
      <c r="CAY15"/>
      <c r="CAZ15"/>
      <c r="CBA15"/>
      <c r="CBB15"/>
      <c r="CBC15"/>
      <c r="CBD15"/>
      <c r="CBE15"/>
      <c r="CBF15"/>
      <c r="CBG15"/>
      <c r="CBH15"/>
      <c r="CBI15"/>
      <c r="CBJ15"/>
      <c r="CBK15"/>
      <c r="CBL15"/>
      <c r="CBM15"/>
      <c r="CBN15"/>
      <c r="CBO15"/>
      <c r="CBP15"/>
      <c r="CBQ15"/>
      <c r="CBR15"/>
      <c r="CBS15"/>
      <c r="CBT15"/>
      <c r="CBU15"/>
      <c r="CBV15"/>
      <c r="CBW15"/>
      <c r="CBX15"/>
      <c r="CBY15"/>
      <c r="CBZ15"/>
      <c r="CCA15"/>
      <c r="CCB15"/>
      <c r="CCC15"/>
      <c r="CCD15"/>
      <c r="CCE15"/>
      <c r="CCF15"/>
      <c r="CCG15"/>
      <c r="CCH15"/>
      <c r="CCI15"/>
      <c r="CCJ15"/>
      <c r="CCK15"/>
      <c r="CCL15"/>
      <c r="CCM15"/>
      <c r="CCN15"/>
      <c r="CCO15"/>
      <c r="CCP15"/>
      <c r="CCQ15"/>
      <c r="CCR15"/>
      <c r="CCS15"/>
      <c r="CCT15"/>
      <c r="CCU15"/>
      <c r="CCV15"/>
      <c r="CCW15"/>
      <c r="CCX15"/>
      <c r="CCY15"/>
      <c r="CCZ15"/>
      <c r="CDA15"/>
      <c r="CDB15"/>
      <c r="CDC15"/>
      <c r="CDD15"/>
      <c r="CDE15"/>
      <c r="CDF15"/>
      <c r="CDG15"/>
      <c r="CDH15"/>
      <c r="CDI15"/>
      <c r="CDJ15"/>
      <c r="CDK15"/>
      <c r="CDL15"/>
      <c r="CDM15"/>
      <c r="CDN15"/>
      <c r="CDO15"/>
      <c r="CDP15"/>
      <c r="CDQ15"/>
      <c r="CDR15"/>
      <c r="CDS15"/>
      <c r="CDT15"/>
      <c r="CDU15"/>
      <c r="CDV15"/>
      <c r="CDW15"/>
      <c r="CDX15"/>
      <c r="CDY15"/>
      <c r="CDZ15"/>
      <c r="CEA15"/>
      <c r="CEB15"/>
      <c r="CEC15"/>
      <c r="CED15"/>
      <c r="CEE15"/>
      <c r="CEF15"/>
      <c r="CEG15"/>
      <c r="CEH15"/>
      <c r="CEI15"/>
      <c r="CEJ15"/>
      <c r="CEK15"/>
      <c r="CEL15"/>
      <c r="CEM15"/>
      <c r="CEN15"/>
      <c r="CEO15"/>
      <c r="CEP15"/>
      <c r="CEQ15"/>
      <c r="CER15"/>
      <c r="CES15"/>
      <c r="CET15"/>
      <c r="CEU15"/>
      <c r="CEV15"/>
      <c r="CEW15"/>
      <c r="CEX15"/>
      <c r="CEY15"/>
      <c r="CEZ15"/>
      <c r="CFA15"/>
      <c r="CFB15"/>
      <c r="CFC15"/>
      <c r="CFD15"/>
      <c r="CFE15"/>
      <c r="CFF15"/>
      <c r="CFG15"/>
      <c r="CFH15"/>
      <c r="CFI15"/>
      <c r="CFJ15"/>
      <c r="CFK15"/>
      <c r="CFL15"/>
      <c r="CFM15"/>
      <c r="CFN15"/>
      <c r="CFO15"/>
      <c r="CFP15"/>
      <c r="CFQ15"/>
      <c r="CFR15"/>
      <c r="CFS15"/>
      <c r="CFT15"/>
      <c r="CFU15"/>
      <c r="CFV15"/>
      <c r="CFW15"/>
      <c r="CFX15"/>
      <c r="CFY15"/>
      <c r="CFZ15"/>
      <c r="CGA15"/>
      <c r="CGB15"/>
      <c r="CGC15"/>
      <c r="CGD15"/>
      <c r="CGE15"/>
      <c r="CGF15"/>
      <c r="CGG15"/>
      <c r="CGH15"/>
      <c r="CGI15"/>
      <c r="CGJ15"/>
      <c r="CGK15"/>
      <c r="CGL15"/>
      <c r="CGM15"/>
      <c r="CGN15"/>
      <c r="CGO15"/>
      <c r="CGP15"/>
      <c r="CGQ15"/>
      <c r="CGR15"/>
      <c r="CGS15"/>
      <c r="CGT15"/>
      <c r="CGU15"/>
      <c r="CGV15"/>
      <c r="CGW15"/>
      <c r="CGX15"/>
      <c r="CGY15"/>
      <c r="CGZ15"/>
      <c r="CHA15"/>
      <c r="CHB15"/>
      <c r="CHC15"/>
      <c r="CHD15"/>
      <c r="CHE15"/>
      <c r="CHF15"/>
      <c r="CHG15"/>
      <c r="CHH15"/>
      <c r="CHI15"/>
      <c r="CHJ15"/>
      <c r="CHK15"/>
      <c r="CHL15"/>
      <c r="CHM15"/>
      <c r="CHN15"/>
      <c r="CHO15"/>
      <c r="CHP15"/>
      <c r="CHQ15"/>
      <c r="CHR15"/>
      <c r="CHS15"/>
      <c r="CHT15"/>
      <c r="CHU15"/>
      <c r="CHV15"/>
      <c r="CHW15"/>
      <c r="CHX15"/>
      <c r="CHY15"/>
      <c r="CHZ15"/>
      <c r="CIA15"/>
      <c r="CIB15"/>
      <c r="CIC15"/>
      <c r="CID15"/>
      <c r="CIE15"/>
      <c r="CIF15"/>
      <c r="CIG15"/>
      <c r="CIH15"/>
      <c r="CII15"/>
      <c r="CIJ15"/>
      <c r="CIK15"/>
      <c r="CIL15"/>
      <c r="CIM15"/>
      <c r="CIN15"/>
      <c r="CIO15"/>
      <c r="CIP15"/>
      <c r="CIQ15"/>
      <c r="CIR15"/>
      <c r="CIS15"/>
      <c r="CIT15"/>
      <c r="CIU15"/>
      <c r="CIV15"/>
      <c r="CIW15"/>
      <c r="CIX15"/>
      <c r="CIY15"/>
      <c r="CIZ15"/>
      <c r="CJA15"/>
      <c r="CJB15"/>
      <c r="CJC15"/>
      <c r="CJD15"/>
      <c r="CJE15"/>
      <c r="CJF15"/>
      <c r="CJG15"/>
      <c r="CJH15"/>
      <c r="CJI15"/>
      <c r="CJJ15"/>
      <c r="CJK15"/>
      <c r="CJL15"/>
      <c r="CJM15"/>
      <c r="CJN15"/>
      <c r="CJO15"/>
      <c r="CJP15"/>
      <c r="CJQ15"/>
      <c r="CJR15"/>
      <c r="CJS15"/>
      <c r="CJT15"/>
      <c r="CJU15"/>
      <c r="CJV15"/>
      <c r="CJW15"/>
      <c r="CJX15"/>
      <c r="CJY15"/>
      <c r="CJZ15"/>
      <c r="CKA15"/>
      <c r="CKB15"/>
      <c r="CKC15"/>
      <c r="CKD15"/>
      <c r="CKE15"/>
      <c r="CKF15"/>
      <c r="CKG15"/>
      <c r="CKH15"/>
      <c r="CKI15"/>
      <c r="CKJ15"/>
      <c r="CKK15"/>
      <c r="CKL15"/>
      <c r="CKM15"/>
      <c r="CKN15"/>
      <c r="CKO15"/>
      <c r="CKP15"/>
      <c r="CKQ15"/>
      <c r="CKR15"/>
      <c r="CKS15"/>
      <c r="CKT15"/>
      <c r="CKU15"/>
      <c r="CKV15"/>
      <c r="CKW15"/>
      <c r="CKX15"/>
      <c r="CKY15"/>
      <c r="CKZ15"/>
      <c r="CLA15"/>
      <c r="CLB15"/>
      <c r="CLC15"/>
      <c r="CLD15"/>
      <c r="CLE15"/>
      <c r="CLF15"/>
      <c r="CLG15"/>
      <c r="CLH15"/>
      <c r="CLI15"/>
      <c r="CLJ15"/>
      <c r="CLK15"/>
      <c r="CLL15"/>
      <c r="CLM15"/>
      <c r="CLN15"/>
      <c r="CLO15"/>
      <c r="CLP15"/>
      <c r="CLQ15"/>
      <c r="CLR15"/>
      <c r="CLS15"/>
      <c r="CLT15"/>
      <c r="CLU15"/>
      <c r="CLV15"/>
      <c r="CLW15"/>
      <c r="CLX15"/>
      <c r="CLY15"/>
      <c r="CLZ15"/>
      <c r="CMA15"/>
      <c r="CMB15"/>
      <c r="CMC15"/>
      <c r="CMD15"/>
      <c r="CME15"/>
      <c r="CMF15"/>
      <c r="CMG15"/>
      <c r="CMH15"/>
      <c r="CMI15"/>
      <c r="CMJ15"/>
      <c r="CMK15"/>
      <c r="CML15"/>
      <c r="CMM15"/>
      <c r="CMN15"/>
      <c r="CMO15"/>
      <c r="CMP15"/>
      <c r="CMQ15"/>
      <c r="CMR15"/>
      <c r="CMS15"/>
      <c r="CMT15"/>
      <c r="CMU15"/>
      <c r="CMV15"/>
      <c r="CMW15"/>
      <c r="CMX15"/>
      <c r="CMY15"/>
      <c r="CMZ15"/>
      <c r="CNA15"/>
      <c r="CNB15"/>
      <c r="CNC15"/>
      <c r="CND15"/>
      <c r="CNE15"/>
      <c r="CNF15"/>
      <c r="CNG15"/>
      <c r="CNH15"/>
      <c r="CNI15"/>
      <c r="CNJ15"/>
      <c r="CNK15"/>
      <c r="CNL15"/>
      <c r="CNM15"/>
      <c r="CNN15"/>
      <c r="CNO15"/>
      <c r="CNP15"/>
      <c r="CNQ15"/>
      <c r="CNR15"/>
      <c r="CNS15"/>
      <c r="CNT15"/>
      <c r="CNU15"/>
      <c r="CNV15"/>
      <c r="CNW15"/>
      <c r="CNX15"/>
      <c r="CNY15"/>
      <c r="CNZ15"/>
      <c r="COA15"/>
      <c r="COB15"/>
      <c r="COC15"/>
      <c r="COD15"/>
      <c r="COE15"/>
      <c r="COF15"/>
      <c r="COG15"/>
      <c r="COH15"/>
      <c r="COI15"/>
      <c r="COJ15"/>
      <c r="COK15"/>
      <c r="COL15"/>
      <c r="COM15"/>
      <c r="CON15"/>
      <c r="COO15"/>
      <c r="COP15"/>
      <c r="COQ15"/>
      <c r="COR15"/>
      <c r="COS15"/>
      <c r="COT15"/>
      <c r="COU15"/>
      <c r="COV15"/>
      <c r="COW15"/>
      <c r="COX15"/>
      <c r="COY15"/>
      <c r="COZ15"/>
      <c r="CPA15"/>
      <c r="CPB15"/>
      <c r="CPC15"/>
      <c r="CPD15"/>
      <c r="CPE15"/>
      <c r="CPF15"/>
      <c r="CPG15"/>
      <c r="CPH15"/>
      <c r="CPI15"/>
      <c r="CPJ15"/>
      <c r="CPK15"/>
      <c r="CPL15"/>
      <c r="CPM15"/>
      <c r="CPN15"/>
      <c r="CPO15"/>
      <c r="CPP15"/>
      <c r="CPQ15"/>
      <c r="CPR15"/>
      <c r="CPS15"/>
      <c r="CPT15"/>
      <c r="CPU15"/>
      <c r="CPV15"/>
      <c r="CPW15"/>
      <c r="CPX15"/>
      <c r="CPY15"/>
      <c r="CPZ15"/>
      <c r="CQA15"/>
      <c r="CQB15"/>
      <c r="CQC15"/>
      <c r="CQD15"/>
      <c r="CQE15"/>
      <c r="CQF15"/>
      <c r="CQG15"/>
      <c r="CQH15"/>
      <c r="CQI15"/>
      <c r="CQJ15"/>
      <c r="CQK15"/>
      <c r="CQL15"/>
      <c r="CQM15"/>
      <c r="CQN15"/>
      <c r="CQO15"/>
      <c r="CQP15"/>
      <c r="CQQ15"/>
      <c r="CQR15"/>
      <c r="CQS15"/>
      <c r="CQT15"/>
      <c r="CQU15"/>
      <c r="CQV15"/>
      <c r="CQW15"/>
      <c r="CQX15"/>
      <c r="CQY15"/>
      <c r="CQZ15"/>
      <c r="CRA15"/>
      <c r="CRB15"/>
      <c r="CRC15"/>
      <c r="CRD15"/>
      <c r="CRE15"/>
      <c r="CRF15"/>
      <c r="CRG15"/>
      <c r="CRH15"/>
      <c r="CRI15"/>
      <c r="CRJ15"/>
      <c r="CRK15"/>
      <c r="CRL15"/>
      <c r="CRM15"/>
      <c r="CRN15"/>
      <c r="CRO15"/>
      <c r="CRP15"/>
      <c r="CRQ15"/>
      <c r="CRR15"/>
      <c r="CRS15"/>
      <c r="CRT15"/>
      <c r="CRU15"/>
      <c r="CRV15"/>
      <c r="CRW15"/>
      <c r="CRX15"/>
      <c r="CRY15"/>
      <c r="CRZ15"/>
      <c r="CSA15"/>
      <c r="CSB15"/>
      <c r="CSC15"/>
      <c r="CSD15"/>
      <c r="CSE15"/>
      <c r="CSF15"/>
      <c r="CSG15"/>
      <c r="CSH15"/>
      <c r="CSI15"/>
      <c r="CSJ15"/>
      <c r="CSK15"/>
      <c r="CSL15"/>
      <c r="CSM15"/>
      <c r="CSN15"/>
      <c r="CSO15"/>
      <c r="CSP15"/>
      <c r="CSQ15"/>
      <c r="CSR15"/>
      <c r="CSS15"/>
      <c r="CST15"/>
      <c r="CSU15"/>
      <c r="CSV15"/>
      <c r="CSW15"/>
      <c r="CSX15"/>
      <c r="CSY15"/>
      <c r="CSZ15"/>
      <c r="CTA15"/>
      <c r="CTB15"/>
      <c r="CTC15"/>
      <c r="CTD15"/>
      <c r="CTE15"/>
      <c r="CTF15"/>
      <c r="CTG15"/>
      <c r="CTH15"/>
      <c r="CTI15"/>
      <c r="CTJ15"/>
      <c r="CTK15"/>
      <c r="CTL15"/>
      <c r="CTM15"/>
      <c r="CTN15"/>
      <c r="CTO15"/>
      <c r="CTP15"/>
      <c r="CTQ15"/>
      <c r="CTR15"/>
      <c r="CTS15"/>
      <c r="CTT15"/>
      <c r="CTU15"/>
      <c r="CTV15"/>
      <c r="CTW15"/>
      <c r="CTX15"/>
      <c r="CTY15"/>
      <c r="CTZ15"/>
      <c r="CUA15"/>
      <c r="CUB15"/>
      <c r="CUC15"/>
      <c r="CUD15"/>
      <c r="CUE15"/>
      <c r="CUF15"/>
      <c r="CUG15"/>
      <c r="CUH15"/>
      <c r="CUI15"/>
      <c r="CUJ15"/>
      <c r="CUK15"/>
      <c r="CUL15"/>
      <c r="CUM15"/>
      <c r="CUN15"/>
      <c r="CUO15"/>
      <c r="CUP15"/>
      <c r="CUQ15"/>
      <c r="CUR15"/>
      <c r="CUS15"/>
      <c r="CUT15"/>
      <c r="CUU15"/>
      <c r="CUV15"/>
      <c r="CUW15"/>
      <c r="CUX15"/>
      <c r="CUY15"/>
      <c r="CUZ15"/>
      <c r="CVA15"/>
      <c r="CVB15"/>
      <c r="CVC15"/>
      <c r="CVD15"/>
      <c r="CVE15"/>
      <c r="CVF15"/>
      <c r="CVG15"/>
      <c r="CVH15"/>
      <c r="CVI15"/>
      <c r="CVJ15"/>
      <c r="CVK15"/>
      <c r="CVL15"/>
      <c r="CVM15"/>
      <c r="CVN15"/>
      <c r="CVO15"/>
      <c r="CVP15"/>
      <c r="CVQ15"/>
      <c r="CVR15"/>
      <c r="CVS15"/>
      <c r="CVT15"/>
      <c r="CVU15"/>
      <c r="CVV15"/>
      <c r="CVW15"/>
      <c r="CVX15"/>
      <c r="CVY15"/>
      <c r="CVZ15"/>
      <c r="CWA15"/>
      <c r="CWB15"/>
      <c r="CWC15"/>
      <c r="CWD15"/>
      <c r="CWE15"/>
      <c r="CWF15"/>
      <c r="CWG15"/>
      <c r="CWH15"/>
      <c r="CWI15"/>
      <c r="CWJ15"/>
      <c r="CWK15"/>
      <c r="CWL15"/>
      <c r="CWM15"/>
      <c r="CWN15"/>
      <c r="CWO15"/>
      <c r="CWP15"/>
      <c r="CWQ15"/>
      <c r="CWR15"/>
      <c r="CWS15"/>
      <c r="CWT15"/>
      <c r="CWU15"/>
      <c r="CWV15"/>
      <c r="CWW15"/>
      <c r="CWX15"/>
      <c r="CWY15"/>
      <c r="CWZ15"/>
      <c r="CXA15"/>
      <c r="CXB15"/>
      <c r="CXC15"/>
      <c r="CXD15"/>
      <c r="CXE15"/>
      <c r="CXF15"/>
      <c r="CXG15"/>
      <c r="CXH15"/>
      <c r="CXI15"/>
      <c r="CXJ15"/>
      <c r="CXK15"/>
      <c r="CXL15"/>
      <c r="CXM15"/>
      <c r="CXN15"/>
      <c r="CXO15"/>
      <c r="CXP15"/>
      <c r="CXQ15"/>
      <c r="CXR15"/>
      <c r="CXS15"/>
      <c r="CXT15"/>
      <c r="CXU15"/>
      <c r="CXV15"/>
      <c r="CXW15"/>
      <c r="CXX15"/>
      <c r="CXY15"/>
      <c r="CXZ15"/>
      <c r="CYA15"/>
      <c r="CYB15"/>
      <c r="CYC15"/>
      <c r="CYD15"/>
      <c r="CYE15"/>
      <c r="CYF15"/>
      <c r="CYG15"/>
      <c r="CYH15"/>
      <c r="CYI15"/>
      <c r="CYJ15"/>
      <c r="CYK15"/>
      <c r="CYL15"/>
      <c r="CYM15"/>
      <c r="CYN15"/>
      <c r="CYO15"/>
      <c r="CYP15"/>
      <c r="CYQ15"/>
      <c r="CYR15"/>
      <c r="CYS15"/>
      <c r="CYT15"/>
      <c r="CYU15"/>
      <c r="CYV15"/>
      <c r="CYW15"/>
      <c r="CYX15"/>
      <c r="CYY15"/>
      <c r="CYZ15"/>
      <c r="CZA15"/>
      <c r="CZB15"/>
      <c r="CZC15"/>
      <c r="CZD15"/>
      <c r="CZE15"/>
      <c r="CZF15"/>
      <c r="CZG15"/>
      <c r="CZH15"/>
      <c r="CZI15"/>
      <c r="CZJ15"/>
      <c r="CZK15"/>
      <c r="CZL15"/>
      <c r="CZM15"/>
      <c r="CZN15"/>
      <c r="CZO15"/>
      <c r="CZP15"/>
      <c r="CZQ15"/>
      <c r="CZR15"/>
      <c r="CZS15"/>
      <c r="CZT15"/>
      <c r="CZU15"/>
      <c r="CZV15"/>
      <c r="CZW15"/>
      <c r="CZX15"/>
      <c r="CZY15"/>
      <c r="CZZ15"/>
      <c r="DAA15"/>
      <c r="DAB15"/>
      <c r="DAC15"/>
      <c r="DAD15"/>
      <c r="DAE15"/>
      <c r="DAF15"/>
      <c r="DAG15"/>
      <c r="DAH15"/>
      <c r="DAI15"/>
      <c r="DAJ15"/>
      <c r="DAK15"/>
      <c r="DAL15"/>
      <c r="DAM15"/>
      <c r="DAN15"/>
      <c r="DAO15"/>
      <c r="DAP15"/>
      <c r="DAQ15"/>
      <c r="DAR15"/>
      <c r="DAS15"/>
      <c r="DAT15"/>
      <c r="DAU15"/>
      <c r="DAV15"/>
      <c r="DAW15"/>
      <c r="DAX15"/>
      <c r="DAY15"/>
      <c r="DAZ15"/>
      <c r="DBA15"/>
      <c r="DBB15"/>
      <c r="DBC15"/>
      <c r="DBD15"/>
      <c r="DBE15"/>
      <c r="DBF15"/>
      <c r="DBG15"/>
      <c r="DBH15"/>
      <c r="DBI15"/>
      <c r="DBJ15"/>
      <c r="DBK15"/>
      <c r="DBL15"/>
      <c r="DBM15"/>
      <c r="DBN15"/>
      <c r="DBO15"/>
      <c r="DBP15"/>
      <c r="DBQ15"/>
      <c r="DBR15"/>
      <c r="DBS15"/>
      <c r="DBT15"/>
      <c r="DBU15"/>
      <c r="DBV15"/>
      <c r="DBW15"/>
      <c r="DBX15"/>
      <c r="DBY15"/>
      <c r="DBZ15"/>
      <c r="DCA15"/>
      <c r="DCB15"/>
      <c r="DCC15"/>
      <c r="DCD15"/>
      <c r="DCE15"/>
      <c r="DCF15"/>
      <c r="DCG15"/>
      <c r="DCH15"/>
      <c r="DCI15"/>
      <c r="DCJ15"/>
      <c r="DCK15"/>
      <c r="DCL15"/>
      <c r="DCM15"/>
      <c r="DCN15"/>
      <c r="DCO15"/>
      <c r="DCP15"/>
      <c r="DCQ15"/>
      <c r="DCR15"/>
      <c r="DCS15"/>
      <c r="DCT15"/>
      <c r="DCU15"/>
      <c r="DCV15"/>
      <c r="DCW15"/>
      <c r="DCX15"/>
      <c r="DCY15"/>
      <c r="DCZ15"/>
      <c r="DDA15"/>
      <c r="DDB15"/>
      <c r="DDC15"/>
      <c r="DDD15"/>
      <c r="DDE15"/>
      <c r="DDF15"/>
      <c r="DDG15"/>
      <c r="DDH15"/>
      <c r="DDI15"/>
      <c r="DDJ15"/>
      <c r="DDK15"/>
      <c r="DDL15"/>
      <c r="DDM15"/>
      <c r="DDN15"/>
      <c r="DDO15"/>
      <c r="DDP15"/>
      <c r="DDQ15"/>
      <c r="DDR15"/>
      <c r="DDS15"/>
      <c r="DDT15"/>
      <c r="DDU15"/>
      <c r="DDV15"/>
      <c r="DDW15"/>
      <c r="DDX15"/>
      <c r="DDY15"/>
      <c r="DDZ15"/>
      <c r="DEA15"/>
      <c r="DEB15"/>
      <c r="DEC15"/>
      <c r="DED15"/>
      <c r="DEE15"/>
      <c r="DEF15"/>
      <c r="DEG15"/>
      <c r="DEH15"/>
      <c r="DEI15"/>
      <c r="DEJ15"/>
      <c r="DEK15"/>
      <c r="DEL15"/>
      <c r="DEM15"/>
      <c r="DEN15"/>
      <c r="DEO15"/>
      <c r="DEP15"/>
      <c r="DEQ15"/>
      <c r="DER15"/>
      <c r="DES15"/>
      <c r="DET15"/>
      <c r="DEU15"/>
      <c r="DEV15"/>
      <c r="DEW15"/>
      <c r="DEX15"/>
      <c r="DEY15"/>
      <c r="DEZ15"/>
      <c r="DFA15"/>
      <c r="DFB15"/>
      <c r="DFC15"/>
      <c r="DFD15"/>
      <c r="DFE15"/>
      <c r="DFF15"/>
      <c r="DFG15"/>
      <c r="DFH15"/>
      <c r="DFI15"/>
      <c r="DFJ15"/>
      <c r="DFK15"/>
      <c r="DFL15"/>
      <c r="DFM15"/>
      <c r="DFN15"/>
      <c r="DFO15"/>
      <c r="DFP15"/>
      <c r="DFQ15"/>
      <c r="DFR15"/>
      <c r="DFS15"/>
      <c r="DFT15"/>
      <c r="DFU15"/>
      <c r="DFV15"/>
      <c r="DFW15"/>
      <c r="DFX15"/>
      <c r="DFY15"/>
      <c r="DFZ15"/>
      <c r="DGA15"/>
      <c r="DGB15"/>
      <c r="DGC15"/>
      <c r="DGD15"/>
      <c r="DGE15"/>
      <c r="DGF15"/>
      <c r="DGG15"/>
      <c r="DGH15"/>
      <c r="DGI15"/>
      <c r="DGJ15"/>
      <c r="DGK15"/>
      <c r="DGL15"/>
      <c r="DGM15"/>
      <c r="DGN15"/>
      <c r="DGO15"/>
      <c r="DGP15"/>
      <c r="DGQ15"/>
      <c r="DGR15"/>
      <c r="DGS15"/>
      <c r="DGT15"/>
      <c r="DGU15"/>
      <c r="DGV15"/>
      <c r="DGW15"/>
      <c r="DGX15"/>
      <c r="DGY15"/>
      <c r="DGZ15"/>
      <c r="DHA15"/>
      <c r="DHB15"/>
      <c r="DHC15"/>
      <c r="DHD15"/>
      <c r="DHE15"/>
      <c r="DHF15"/>
      <c r="DHG15"/>
      <c r="DHH15"/>
      <c r="DHI15"/>
      <c r="DHJ15"/>
      <c r="DHK15"/>
      <c r="DHL15"/>
      <c r="DHM15"/>
      <c r="DHN15"/>
      <c r="DHO15"/>
      <c r="DHP15"/>
      <c r="DHQ15"/>
      <c r="DHR15"/>
      <c r="DHS15"/>
      <c r="DHT15"/>
      <c r="DHU15"/>
      <c r="DHV15"/>
      <c r="DHW15"/>
      <c r="DHX15"/>
      <c r="DHY15"/>
      <c r="DHZ15"/>
      <c r="DIA15"/>
      <c r="DIB15"/>
      <c r="DIC15"/>
      <c r="DID15"/>
      <c r="DIE15"/>
      <c r="DIF15"/>
      <c r="DIG15"/>
      <c r="DIH15"/>
      <c r="DII15"/>
      <c r="DIJ15"/>
      <c r="DIK15"/>
      <c r="DIL15"/>
      <c r="DIM15"/>
      <c r="DIN15"/>
      <c r="DIO15"/>
      <c r="DIP15"/>
      <c r="DIQ15"/>
      <c r="DIR15"/>
      <c r="DIS15"/>
      <c r="DIT15"/>
      <c r="DIU15"/>
      <c r="DIV15"/>
      <c r="DIW15"/>
      <c r="DIX15"/>
      <c r="DIY15"/>
      <c r="DIZ15"/>
      <c r="DJA15"/>
      <c r="DJB15"/>
      <c r="DJC15"/>
      <c r="DJD15"/>
      <c r="DJE15"/>
      <c r="DJF15"/>
      <c r="DJG15"/>
      <c r="DJH15"/>
      <c r="DJI15"/>
      <c r="DJJ15"/>
      <c r="DJK15"/>
      <c r="DJL15"/>
      <c r="DJM15"/>
      <c r="DJN15"/>
      <c r="DJO15"/>
      <c r="DJP15"/>
      <c r="DJQ15"/>
      <c r="DJR15"/>
      <c r="DJS15"/>
      <c r="DJT15"/>
      <c r="DJU15"/>
      <c r="DJV15"/>
      <c r="DJW15"/>
      <c r="DJX15"/>
      <c r="DJY15"/>
      <c r="DJZ15"/>
      <c r="DKA15"/>
      <c r="DKB15"/>
      <c r="DKC15"/>
      <c r="DKD15"/>
      <c r="DKE15"/>
      <c r="DKF15"/>
      <c r="DKG15"/>
      <c r="DKH15"/>
      <c r="DKI15"/>
      <c r="DKJ15"/>
      <c r="DKK15"/>
      <c r="DKL15"/>
      <c r="DKM15"/>
      <c r="DKN15"/>
      <c r="DKO15"/>
      <c r="DKP15"/>
      <c r="DKQ15"/>
      <c r="DKR15"/>
      <c r="DKS15"/>
      <c r="DKT15"/>
      <c r="DKU15"/>
      <c r="DKV15"/>
      <c r="DKW15"/>
      <c r="DKX15"/>
      <c r="DKY15"/>
      <c r="DKZ15"/>
      <c r="DLA15"/>
      <c r="DLB15"/>
      <c r="DLC15"/>
      <c r="DLD15"/>
      <c r="DLE15"/>
      <c r="DLF15"/>
      <c r="DLG15"/>
      <c r="DLH15"/>
      <c r="DLI15"/>
      <c r="DLJ15"/>
      <c r="DLK15"/>
      <c r="DLL15"/>
      <c r="DLM15"/>
      <c r="DLN15"/>
      <c r="DLO15"/>
      <c r="DLP15"/>
      <c r="DLQ15"/>
      <c r="DLR15"/>
      <c r="DLS15"/>
      <c r="DLT15"/>
      <c r="DLU15"/>
      <c r="DLV15"/>
      <c r="DLW15"/>
      <c r="DLX15"/>
      <c r="DLY15"/>
      <c r="DLZ15"/>
      <c r="DMA15"/>
      <c r="DMB15"/>
      <c r="DMC15"/>
      <c r="DMD15"/>
      <c r="DME15"/>
      <c r="DMF15"/>
      <c r="DMG15"/>
      <c r="DMH15"/>
      <c r="DMI15"/>
      <c r="DMJ15"/>
      <c r="DMK15"/>
      <c r="DML15"/>
      <c r="DMM15"/>
      <c r="DMN15"/>
      <c r="DMO15"/>
      <c r="DMP15"/>
      <c r="DMQ15"/>
      <c r="DMR15"/>
      <c r="DMS15"/>
      <c r="DMT15"/>
      <c r="DMU15"/>
      <c r="DMV15"/>
      <c r="DMW15"/>
      <c r="DMX15"/>
      <c r="DMY15"/>
      <c r="DMZ15"/>
      <c r="DNA15"/>
      <c r="DNB15"/>
      <c r="DNC15"/>
      <c r="DND15"/>
      <c r="DNE15"/>
      <c r="DNF15"/>
      <c r="DNG15"/>
      <c r="DNH15"/>
      <c r="DNI15"/>
      <c r="DNJ15"/>
      <c r="DNK15"/>
      <c r="DNL15"/>
      <c r="DNM15"/>
      <c r="DNN15"/>
      <c r="DNO15"/>
      <c r="DNP15"/>
      <c r="DNQ15"/>
      <c r="DNR15"/>
      <c r="DNS15"/>
      <c r="DNT15"/>
      <c r="DNU15"/>
      <c r="DNV15"/>
      <c r="DNW15"/>
      <c r="DNX15"/>
      <c r="DNY15"/>
      <c r="DNZ15"/>
      <c r="DOA15"/>
      <c r="DOB15"/>
      <c r="DOC15"/>
      <c r="DOD15"/>
      <c r="DOE15"/>
      <c r="DOF15"/>
      <c r="DOG15"/>
      <c r="DOH15"/>
      <c r="DOI15"/>
      <c r="DOJ15"/>
      <c r="DOK15"/>
      <c r="DOL15"/>
      <c r="DOM15"/>
      <c r="DON15"/>
      <c r="DOO15"/>
      <c r="DOP15"/>
      <c r="DOQ15"/>
      <c r="DOR15"/>
      <c r="DOS15"/>
      <c r="DOT15"/>
      <c r="DOU15"/>
      <c r="DOV15"/>
      <c r="DOW15"/>
      <c r="DOX15"/>
      <c r="DOY15"/>
      <c r="DOZ15"/>
      <c r="DPA15"/>
      <c r="DPB15"/>
      <c r="DPC15"/>
      <c r="DPD15"/>
      <c r="DPE15"/>
      <c r="DPF15"/>
      <c r="DPG15"/>
      <c r="DPH15"/>
      <c r="DPI15"/>
      <c r="DPJ15"/>
      <c r="DPK15"/>
      <c r="DPL15"/>
      <c r="DPM15"/>
      <c r="DPN15"/>
      <c r="DPO15"/>
      <c r="DPP15"/>
      <c r="DPQ15"/>
      <c r="DPR15"/>
      <c r="DPS15"/>
      <c r="DPT15"/>
      <c r="DPU15"/>
      <c r="DPV15"/>
      <c r="DPW15"/>
      <c r="DPX15"/>
      <c r="DPY15"/>
      <c r="DPZ15"/>
      <c r="DQA15"/>
      <c r="DQB15"/>
      <c r="DQC15"/>
      <c r="DQD15"/>
      <c r="DQE15"/>
      <c r="DQF15"/>
      <c r="DQG15"/>
      <c r="DQH15"/>
      <c r="DQI15"/>
      <c r="DQJ15"/>
      <c r="DQK15"/>
      <c r="DQL15"/>
      <c r="DQM15"/>
      <c r="DQN15"/>
      <c r="DQO15"/>
      <c r="DQP15"/>
      <c r="DQQ15"/>
      <c r="DQR15"/>
      <c r="DQS15"/>
      <c r="DQT15"/>
      <c r="DQU15"/>
      <c r="DQV15"/>
      <c r="DQW15"/>
      <c r="DQX15"/>
      <c r="DQY15"/>
      <c r="DQZ15"/>
      <c r="DRA15"/>
      <c r="DRB15"/>
      <c r="DRC15"/>
      <c r="DRD15"/>
      <c r="DRE15"/>
      <c r="DRF15"/>
      <c r="DRG15"/>
      <c r="DRH15"/>
      <c r="DRI15"/>
      <c r="DRJ15"/>
      <c r="DRK15"/>
      <c r="DRL15"/>
      <c r="DRM15"/>
      <c r="DRN15"/>
      <c r="DRO15"/>
      <c r="DRP15"/>
      <c r="DRQ15"/>
      <c r="DRR15"/>
      <c r="DRS15"/>
      <c r="DRT15"/>
      <c r="DRU15"/>
      <c r="DRV15"/>
      <c r="DRW15"/>
      <c r="DRX15"/>
      <c r="DRY15"/>
      <c r="DRZ15"/>
      <c r="DSA15"/>
      <c r="DSB15"/>
      <c r="DSC15"/>
      <c r="DSD15"/>
      <c r="DSE15"/>
      <c r="DSF15"/>
      <c r="DSG15"/>
      <c r="DSH15"/>
      <c r="DSI15"/>
      <c r="DSJ15"/>
      <c r="DSK15"/>
      <c r="DSL15"/>
      <c r="DSM15"/>
      <c r="DSN15"/>
      <c r="DSO15"/>
      <c r="DSP15"/>
      <c r="DSQ15"/>
      <c r="DSR15"/>
      <c r="DSS15"/>
      <c r="DST15"/>
      <c r="DSU15"/>
      <c r="DSV15"/>
      <c r="DSW15"/>
      <c r="DSX15"/>
      <c r="DSY15"/>
      <c r="DSZ15"/>
      <c r="DTA15"/>
      <c r="DTB15"/>
      <c r="DTC15"/>
      <c r="DTD15"/>
      <c r="DTE15"/>
      <c r="DTF15"/>
      <c r="DTG15"/>
      <c r="DTH15"/>
      <c r="DTI15"/>
      <c r="DTJ15"/>
      <c r="DTK15"/>
      <c r="DTL15"/>
      <c r="DTM15"/>
      <c r="DTN15"/>
      <c r="DTO15"/>
      <c r="DTP15"/>
      <c r="DTQ15"/>
      <c r="DTR15"/>
      <c r="DTS15"/>
      <c r="DTT15"/>
      <c r="DTU15"/>
      <c r="DTV15"/>
      <c r="DTW15"/>
      <c r="DTX15"/>
      <c r="DTY15"/>
      <c r="DTZ15"/>
      <c r="DUA15"/>
      <c r="DUB15"/>
      <c r="DUC15"/>
      <c r="DUD15"/>
      <c r="DUE15"/>
      <c r="DUF15"/>
      <c r="DUG15"/>
      <c r="DUH15"/>
      <c r="DUI15"/>
      <c r="DUJ15"/>
      <c r="DUK15"/>
      <c r="DUL15"/>
      <c r="DUM15"/>
      <c r="DUN15"/>
      <c r="DUO15"/>
      <c r="DUP15"/>
      <c r="DUQ15"/>
      <c r="DUR15"/>
      <c r="DUS15"/>
      <c r="DUT15"/>
      <c r="DUU15"/>
      <c r="DUV15"/>
      <c r="DUW15"/>
      <c r="DUX15"/>
      <c r="DUY15"/>
      <c r="DUZ15"/>
      <c r="DVA15"/>
      <c r="DVB15"/>
      <c r="DVC15"/>
      <c r="DVD15"/>
      <c r="DVE15"/>
      <c r="DVF15"/>
      <c r="DVG15"/>
      <c r="DVH15"/>
      <c r="DVI15"/>
      <c r="DVJ15"/>
      <c r="DVK15"/>
      <c r="DVL15"/>
      <c r="DVM15"/>
      <c r="DVN15"/>
      <c r="DVO15"/>
      <c r="DVP15"/>
      <c r="DVQ15"/>
      <c r="DVR15"/>
      <c r="DVS15"/>
      <c r="DVT15"/>
      <c r="DVU15"/>
      <c r="DVV15"/>
      <c r="DVW15"/>
      <c r="DVX15"/>
      <c r="DVY15"/>
      <c r="DVZ15"/>
      <c r="DWA15"/>
      <c r="DWB15"/>
      <c r="DWC15"/>
      <c r="DWD15"/>
      <c r="DWE15"/>
      <c r="DWF15"/>
      <c r="DWG15"/>
      <c r="DWH15"/>
      <c r="DWI15"/>
      <c r="DWJ15"/>
      <c r="DWK15"/>
      <c r="DWL15"/>
      <c r="DWM15"/>
      <c r="DWN15"/>
      <c r="DWO15"/>
      <c r="DWP15"/>
      <c r="DWQ15"/>
      <c r="DWR15"/>
      <c r="DWS15"/>
      <c r="DWT15"/>
      <c r="DWU15"/>
      <c r="DWV15"/>
      <c r="DWW15"/>
      <c r="DWX15"/>
      <c r="DWY15"/>
      <c r="DWZ15"/>
      <c r="DXA15"/>
      <c r="DXB15"/>
      <c r="DXC15"/>
      <c r="DXD15"/>
      <c r="DXE15"/>
      <c r="DXF15"/>
      <c r="DXG15"/>
      <c r="DXH15"/>
      <c r="DXI15"/>
      <c r="DXJ15"/>
      <c r="DXK15"/>
      <c r="DXL15"/>
      <c r="DXM15"/>
      <c r="DXN15"/>
      <c r="DXO15"/>
      <c r="DXP15"/>
      <c r="DXQ15"/>
      <c r="DXR15"/>
      <c r="DXS15"/>
      <c r="DXT15"/>
      <c r="DXU15"/>
      <c r="DXV15"/>
      <c r="DXW15"/>
      <c r="DXX15"/>
      <c r="DXY15"/>
      <c r="DXZ15"/>
      <c r="DYA15"/>
      <c r="DYB15"/>
      <c r="DYC15"/>
      <c r="DYD15"/>
      <c r="DYE15"/>
      <c r="DYF15"/>
      <c r="DYG15"/>
      <c r="DYH15"/>
      <c r="DYI15"/>
      <c r="DYJ15"/>
      <c r="DYK15"/>
      <c r="DYL15"/>
      <c r="DYM15"/>
      <c r="DYN15"/>
      <c r="DYO15"/>
      <c r="DYP15"/>
      <c r="DYQ15"/>
      <c r="DYR15"/>
      <c r="DYS15"/>
      <c r="DYT15"/>
      <c r="DYU15"/>
      <c r="DYV15"/>
      <c r="DYW15"/>
      <c r="DYX15"/>
      <c r="DYY15"/>
      <c r="DYZ15"/>
      <c r="DZA15"/>
      <c r="DZB15"/>
      <c r="DZC15"/>
      <c r="DZD15"/>
      <c r="DZE15"/>
      <c r="DZF15"/>
      <c r="DZG15"/>
      <c r="DZH15"/>
      <c r="DZI15"/>
      <c r="DZJ15"/>
      <c r="DZK15"/>
      <c r="DZL15"/>
      <c r="DZM15"/>
      <c r="DZN15"/>
      <c r="DZO15"/>
      <c r="DZP15"/>
      <c r="DZQ15"/>
      <c r="DZR15"/>
      <c r="DZS15"/>
      <c r="DZT15"/>
      <c r="DZU15"/>
      <c r="DZV15"/>
      <c r="DZW15"/>
      <c r="DZX15"/>
      <c r="DZY15"/>
      <c r="DZZ15"/>
      <c r="EAA15"/>
      <c r="EAB15"/>
      <c r="EAC15"/>
      <c r="EAD15"/>
      <c r="EAE15"/>
      <c r="EAF15"/>
      <c r="EAG15"/>
      <c r="EAH15"/>
      <c r="EAI15"/>
      <c r="EAJ15"/>
      <c r="EAK15"/>
      <c r="EAL15"/>
      <c r="EAM15"/>
      <c r="EAN15"/>
      <c r="EAO15"/>
      <c r="EAP15"/>
      <c r="EAQ15"/>
      <c r="EAR15"/>
      <c r="EAS15"/>
      <c r="EAT15"/>
      <c r="EAU15"/>
      <c r="EAV15"/>
      <c r="EAW15"/>
      <c r="EAX15"/>
      <c r="EAY15"/>
      <c r="EAZ15"/>
      <c r="EBA15"/>
      <c r="EBB15"/>
      <c r="EBC15"/>
      <c r="EBD15"/>
      <c r="EBE15"/>
      <c r="EBF15"/>
      <c r="EBG15"/>
      <c r="EBH15"/>
      <c r="EBI15"/>
      <c r="EBJ15"/>
      <c r="EBK15"/>
      <c r="EBL15"/>
      <c r="EBM15"/>
      <c r="EBN15"/>
      <c r="EBO15"/>
      <c r="EBP15"/>
      <c r="EBQ15"/>
      <c r="EBR15"/>
      <c r="EBS15"/>
      <c r="EBT15"/>
      <c r="EBU15"/>
      <c r="EBV15"/>
      <c r="EBW15"/>
      <c r="EBX15"/>
      <c r="EBY15"/>
      <c r="EBZ15"/>
      <c r="ECA15"/>
      <c r="ECB15"/>
      <c r="ECC15"/>
      <c r="ECD15"/>
      <c r="ECE15"/>
      <c r="ECF15"/>
      <c r="ECG15"/>
      <c r="ECH15"/>
      <c r="ECI15"/>
      <c r="ECJ15"/>
      <c r="ECK15"/>
      <c r="ECL15"/>
      <c r="ECM15"/>
      <c r="ECN15"/>
      <c r="ECO15"/>
      <c r="ECP15"/>
      <c r="ECQ15"/>
      <c r="ECR15"/>
      <c r="ECS15"/>
      <c r="ECT15"/>
      <c r="ECU15"/>
      <c r="ECV15"/>
      <c r="ECW15"/>
      <c r="ECX15"/>
      <c r="ECY15"/>
      <c r="ECZ15"/>
      <c r="EDA15"/>
      <c r="EDB15"/>
      <c r="EDC15"/>
      <c r="EDD15"/>
      <c r="EDE15"/>
      <c r="EDF15"/>
      <c r="EDG15"/>
      <c r="EDH15"/>
      <c r="EDI15"/>
      <c r="EDJ15"/>
      <c r="EDK15"/>
      <c r="EDL15"/>
      <c r="EDM15"/>
      <c r="EDN15"/>
      <c r="EDO15"/>
      <c r="EDP15"/>
      <c r="EDQ15"/>
      <c r="EDR15"/>
      <c r="EDS15"/>
      <c r="EDT15"/>
      <c r="EDU15"/>
      <c r="EDV15"/>
      <c r="EDW15"/>
      <c r="EDX15"/>
      <c r="EDY15"/>
      <c r="EDZ15"/>
      <c r="EEA15"/>
      <c r="EEB15"/>
      <c r="EEC15"/>
      <c r="EED15"/>
      <c r="EEE15"/>
      <c r="EEF15"/>
      <c r="EEG15"/>
      <c r="EEH15"/>
      <c r="EEI15"/>
      <c r="EEJ15"/>
      <c r="EEK15"/>
      <c r="EEL15"/>
      <c r="EEM15"/>
      <c r="EEN15"/>
      <c r="EEO15"/>
      <c r="EEP15"/>
      <c r="EEQ15"/>
      <c r="EER15"/>
      <c r="EES15"/>
      <c r="EET15"/>
      <c r="EEU15"/>
      <c r="EEV15"/>
      <c r="EEW15"/>
      <c r="EEX15"/>
      <c r="EEY15"/>
      <c r="EEZ15"/>
      <c r="EFA15"/>
      <c r="EFB15"/>
      <c r="EFC15"/>
      <c r="EFD15"/>
      <c r="EFE15"/>
      <c r="EFF15"/>
      <c r="EFG15"/>
      <c r="EFH15"/>
      <c r="EFI15"/>
      <c r="EFJ15"/>
      <c r="EFK15"/>
      <c r="EFL15"/>
      <c r="EFM15"/>
      <c r="EFN15"/>
      <c r="EFO15"/>
      <c r="EFP15"/>
      <c r="EFQ15"/>
      <c r="EFR15"/>
      <c r="EFS15"/>
      <c r="EFT15"/>
      <c r="EFU15"/>
      <c r="EFV15"/>
      <c r="EFW15"/>
      <c r="EFX15"/>
      <c r="EFY15"/>
      <c r="EFZ15"/>
      <c r="EGA15"/>
      <c r="EGB15"/>
      <c r="EGC15"/>
      <c r="EGD15"/>
      <c r="EGE15"/>
      <c r="EGF15"/>
      <c r="EGG15"/>
      <c r="EGH15"/>
      <c r="EGI15"/>
      <c r="EGJ15"/>
      <c r="EGK15"/>
      <c r="EGL15"/>
      <c r="EGM15"/>
      <c r="EGN15"/>
      <c r="EGO15"/>
      <c r="EGP15"/>
      <c r="EGQ15"/>
      <c r="EGR15"/>
      <c r="EGS15"/>
      <c r="EGT15"/>
      <c r="EGU15"/>
      <c r="EGV15"/>
      <c r="EGW15"/>
      <c r="EGX15"/>
      <c r="EGY15"/>
      <c r="EGZ15"/>
      <c r="EHA15"/>
      <c r="EHB15"/>
      <c r="EHC15"/>
      <c r="EHD15"/>
      <c r="EHE15"/>
      <c r="EHF15"/>
      <c r="EHG15"/>
      <c r="EHH15"/>
      <c r="EHI15"/>
      <c r="EHJ15"/>
      <c r="EHK15"/>
      <c r="EHL15"/>
      <c r="EHM15"/>
      <c r="EHN15"/>
      <c r="EHO15"/>
      <c r="EHP15"/>
      <c r="EHQ15"/>
      <c r="EHR15"/>
      <c r="EHS15"/>
      <c r="EHT15"/>
      <c r="EHU15"/>
      <c r="EHV15"/>
      <c r="EHW15"/>
      <c r="EHX15"/>
      <c r="EHY15"/>
      <c r="EHZ15"/>
      <c r="EIA15"/>
      <c r="EIB15"/>
      <c r="EIC15"/>
      <c r="EID15"/>
      <c r="EIE15"/>
      <c r="EIF15"/>
      <c r="EIG15"/>
      <c r="EIH15"/>
      <c r="EII15"/>
      <c r="EIJ15"/>
      <c r="EIK15"/>
      <c r="EIL15"/>
      <c r="EIM15"/>
      <c r="EIN15"/>
      <c r="EIO15"/>
      <c r="EIP15"/>
      <c r="EIQ15"/>
      <c r="EIR15"/>
      <c r="EIS15"/>
      <c r="EIT15"/>
      <c r="EIU15"/>
      <c r="EIV15"/>
      <c r="EIW15"/>
      <c r="EIX15"/>
      <c r="EIY15"/>
      <c r="EIZ15"/>
      <c r="EJA15"/>
      <c r="EJB15"/>
      <c r="EJC15"/>
      <c r="EJD15"/>
      <c r="EJE15"/>
      <c r="EJF15"/>
      <c r="EJG15"/>
      <c r="EJH15"/>
      <c r="EJI15"/>
      <c r="EJJ15"/>
      <c r="EJK15"/>
      <c r="EJL15"/>
      <c r="EJM15"/>
      <c r="EJN15"/>
      <c r="EJO15"/>
      <c r="EJP15"/>
      <c r="EJQ15"/>
      <c r="EJR15"/>
      <c r="EJS15"/>
      <c r="EJT15"/>
      <c r="EJU15"/>
      <c r="EJV15"/>
      <c r="EJW15"/>
      <c r="EJX15"/>
      <c r="EJY15"/>
      <c r="EJZ15"/>
      <c r="EKA15"/>
      <c r="EKB15"/>
      <c r="EKC15"/>
      <c r="EKD15"/>
      <c r="EKE15"/>
      <c r="EKF15"/>
      <c r="EKG15"/>
      <c r="EKH15"/>
      <c r="EKI15"/>
      <c r="EKJ15"/>
      <c r="EKK15"/>
      <c r="EKL15"/>
      <c r="EKM15"/>
      <c r="EKN15"/>
      <c r="EKO15"/>
      <c r="EKP15"/>
      <c r="EKQ15"/>
      <c r="EKR15"/>
      <c r="EKS15"/>
      <c r="EKT15"/>
      <c r="EKU15"/>
      <c r="EKV15"/>
      <c r="EKW15"/>
      <c r="EKX15"/>
      <c r="EKY15"/>
      <c r="EKZ15"/>
      <c r="ELA15"/>
      <c r="ELB15"/>
      <c r="ELC15"/>
      <c r="ELD15"/>
      <c r="ELE15"/>
      <c r="ELF15"/>
      <c r="ELG15"/>
      <c r="ELH15"/>
      <c r="ELI15"/>
      <c r="ELJ15"/>
      <c r="ELK15"/>
      <c r="ELL15"/>
      <c r="ELM15"/>
      <c r="ELN15"/>
      <c r="ELO15"/>
      <c r="ELP15"/>
      <c r="ELQ15"/>
      <c r="ELR15"/>
      <c r="ELS15"/>
      <c r="ELT15"/>
      <c r="ELU15"/>
      <c r="ELV15"/>
      <c r="ELW15"/>
      <c r="ELX15"/>
      <c r="ELY15"/>
      <c r="ELZ15"/>
      <c r="EMA15"/>
      <c r="EMB15"/>
      <c r="EMC15"/>
      <c r="EMD15"/>
      <c r="EME15"/>
      <c r="EMF15"/>
      <c r="EMG15"/>
      <c r="EMH15"/>
      <c r="EMI15"/>
      <c r="EMJ15"/>
      <c r="EMK15"/>
      <c r="EML15"/>
      <c r="EMM15"/>
      <c r="EMN15"/>
      <c r="EMO15"/>
      <c r="EMP15"/>
      <c r="EMQ15"/>
      <c r="EMR15"/>
      <c r="EMS15"/>
      <c r="EMT15"/>
      <c r="EMU15"/>
      <c r="EMV15"/>
      <c r="EMW15"/>
      <c r="EMX15"/>
      <c r="EMY15"/>
      <c r="EMZ15"/>
      <c r="ENA15"/>
      <c r="ENB15"/>
      <c r="ENC15"/>
      <c r="END15"/>
      <c r="ENE15"/>
      <c r="ENF15"/>
      <c r="ENG15"/>
      <c r="ENH15"/>
      <c r="ENI15"/>
      <c r="ENJ15"/>
      <c r="ENK15"/>
      <c r="ENL15"/>
      <c r="ENM15"/>
      <c r="ENN15"/>
      <c r="ENO15"/>
      <c r="ENP15"/>
      <c r="ENQ15"/>
      <c r="ENR15"/>
      <c r="ENS15"/>
      <c r="ENT15"/>
      <c r="ENU15"/>
      <c r="ENV15"/>
      <c r="ENW15"/>
      <c r="ENX15"/>
      <c r="ENY15"/>
      <c r="ENZ15"/>
      <c r="EOA15"/>
      <c r="EOB15"/>
      <c r="EOC15"/>
      <c r="EOD15"/>
      <c r="EOE15"/>
      <c r="EOF15"/>
      <c r="EOG15"/>
      <c r="EOH15"/>
      <c r="EOI15"/>
      <c r="EOJ15"/>
      <c r="EOK15"/>
      <c r="EOL15"/>
      <c r="EOM15"/>
      <c r="EON15"/>
      <c r="EOO15"/>
      <c r="EOP15"/>
      <c r="EOQ15"/>
      <c r="EOR15"/>
      <c r="EOS15"/>
      <c r="EOT15"/>
      <c r="EOU15"/>
      <c r="EOV15"/>
      <c r="EOW15"/>
      <c r="EOX15"/>
      <c r="EOY15"/>
      <c r="EOZ15"/>
      <c r="EPA15"/>
      <c r="EPB15"/>
      <c r="EPC15"/>
      <c r="EPD15"/>
      <c r="EPE15"/>
      <c r="EPF15"/>
      <c r="EPG15"/>
      <c r="EPH15"/>
      <c r="EPI15"/>
      <c r="EPJ15"/>
      <c r="EPK15"/>
      <c r="EPL15"/>
      <c r="EPM15"/>
      <c r="EPN15"/>
      <c r="EPO15"/>
      <c r="EPP15"/>
      <c r="EPQ15"/>
      <c r="EPR15"/>
      <c r="EPS15"/>
      <c r="EPT15"/>
      <c r="EPU15"/>
      <c r="EPV15"/>
      <c r="EPW15"/>
      <c r="EPX15"/>
      <c r="EPY15"/>
      <c r="EPZ15"/>
      <c r="EQA15"/>
      <c r="EQB15"/>
      <c r="EQC15"/>
      <c r="EQD15"/>
      <c r="EQE15"/>
      <c r="EQF15"/>
      <c r="EQG15"/>
      <c r="EQH15"/>
      <c r="EQI15"/>
      <c r="EQJ15"/>
      <c r="EQK15"/>
      <c r="EQL15"/>
      <c r="EQM15"/>
      <c r="EQN15"/>
      <c r="EQO15"/>
      <c r="EQP15"/>
      <c r="EQQ15"/>
      <c r="EQR15"/>
      <c r="EQS15"/>
      <c r="EQT15"/>
      <c r="EQU15"/>
      <c r="EQV15"/>
      <c r="EQW15"/>
      <c r="EQX15"/>
      <c r="EQY15"/>
      <c r="EQZ15"/>
      <c r="ERA15"/>
      <c r="ERB15"/>
      <c r="ERC15"/>
      <c r="ERD15"/>
      <c r="ERE15"/>
      <c r="ERF15"/>
      <c r="ERG15"/>
      <c r="ERH15"/>
      <c r="ERI15"/>
      <c r="ERJ15"/>
      <c r="ERK15"/>
      <c r="ERL15"/>
      <c r="ERM15"/>
      <c r="ERN15"/>
      <c r="ERO15"/>
      <c r="ERP15"/>
      <c r="ERQ15"/>
      <c r="ERR15"/>
      <c r="ERS15"/>
      <c r="ERT15"/>
      <c r="ERU15"/>
      <c r="ERV15"/>
      <c r="ERW15"/>
      <c r="ERX15"/>
      <c r="ERY15"/>
      <c r="ERZ15"/>
      <c r="ESA15"/>
      <c r="ESB15"/>
      <c r="ESC15"/>
      <c r="ESD15"/>
      <c r="ESE15"/>
      <c r="ESF15"/>
      <c r="ESG15"/>
      <c r="ESH15"/>
      <c r="ESI15"/>
      <c r="ESJ15"/>
      <c r="ESK15"/>
      <c r="ESL15"/>
      <c r="ESM15"/>
      <c r="ESN15"/>
      <c r="ESO15"/>
      <c r="ESP15"/>
      <c r="ESQ15"/>
      <c r="ESR15"/>
      <c r="ESS15"/>
      <c r="EST15"/>
      <c r="ESU15"/>
      <c r="ESV15"/>
      <c r="ESW15"/>
      <c r="ESX15"/>
      <c r="ESY15"/>
      <c r="ESZ15"/>
      <c r="ETA15"/>
      <c r="ETB15"/>
      <c r="ETC15"/>
      <c r="ETD15"/>
      <c r="ETE15"/>
      <c r="ETF15"/>
      <c r="ETG15"/>
      <c r="ETH15"/>
      <c r="ETI15"/>
      <c r="ETJ15"/>
      <c r="ETK15"/>
      <c r="ETL15"/>
      <c r="ETM15"/>
      <c r="ETN15"/>
      <c r="ETO15"/>
      <c r="ETP15"/>
      <c r="ETQ15"/>
      <c r="ETR15"/>
      <c r="ETS15"/>
      <c r="ETT15"/>
      <c r="ETU15"/>
      <c r="ETV15"/>
      <c r="ETW15"/>
      <c r="ETX15"/>
      <c r="ETY15"/>
      <c r="ETZ15"/>
      <c r="EUA15"/>
      <c r="EUB15"/>
      <c r="EUC15"/>
      <c r="EUD15"/>
      <c r="EUE15"/>
      <c r="EUF15"/>
      <c r="EUG15"/>
      <c r="EUH15"/>
      <c r="EUI15"/>
      <c r="EUJ15"/>
      <c r="EUK15"/>
      <c r="EUL15"/>
      <c r="EUM15"/>
      <c r="EUN15"/>
      <c r="EUO15"/>
      <c r="EUP15"/>
      <c r="EUQ15"/>
      <c r="EUR15"/>
      <c r="EUS15"/>
      <c r="EUT15"/>
      <c r="EUU15"/>
      <c r="EUV15"/>
      <c r="EUW15"/>
      <c r="EUX15"/>
      <c r="EUY15"/>
      <c r="EUZ15"/>
      <c r="EVA15"/>
      <c r="EVB15"/>
      <c r="EVC15"/>
      <c r="EVD15"/>
      <c r="EVE15"/>
      <c r="EVF15"/>
      <c r="EVG15"/>
      <c r="EVH15"/>
      <c r="EVI15"/>
      <c r="EVJ15"/>
      <c r="EVK15"/>
      <c r="EVL15"/>
      <c r="EVM15"/>
      <c r="EVN15"/>
      <c r="EVO15"/>
      <c r="EVP15"/>
      <c r="EVQ15"/>
      <c r="EVR15"/>
      <c r="EVS15"/>
      <c r="EVT15"/>
      <c r="EVU15"/>
      <c r="EVV15"/>
      <c r="EVW15"/>
      <c r="EVX15"/>
      <c r="EVY15"/>
      <c r="EVZ15"/>
      <c r="EWA15"/>
      <c r="EWB15"/>
      <c r="EWC15"/>
      <c r="EWD15"/>
      <c r="EWE15"/>
      <c r="EWF15"/>
      <c r="EWG15"/>
      <c r="EWH15"/>
      <c r="EWI15"/>
      <c r="EWJ15"/>
      <c r="EWK15"/>
      <c r="EWL15"/>
      <c r="EWM15"/>
      <c r="EWN15"/>
      <c r="EWO15"/>
      <c r="EWP15"/>
      <c r="EWQ15"/>
      <c r="EWR15"/>
      <c r="EWS15"/>
      <c r="EWT15"/>
      <c r="EWU15"/>
      <c r="EWV15"/>
      <c r="EWW15"/>
      <c r="EWX15"/>
      <c r="EWY15"/>
      <c r="EWZ15"/>
      <c r="EXA15"/>
      <c r="EXB15"/>
      <c r="EXC15"/>
      <c r="EXD15"/>
      <c r="EXE15"/>
      <c r="EXF15"/>
      <c r="EXG15"/>
      <c r="EXH15"/>
      <c r="EXI15"/>
      <c r="EXJ15"/>
      <c r="EXK15"/>
      <c r="EXL15"/>
      <c r="EXM15"/>
      <c r="EXN15"/>
      <c r="EXO15"/>
      <c r="EXP15"/>
      <c r="EXQ15"/>
      <c r="EXR15"/>
      <c r="EXS15"/>
      <c r="EXT15"/>
      <c r="EXU15"/>
      <c r="EXV15"/>
      <c r="EXW15"/>
      <c r="EXX15"/>
      <c r="EXY15"/>
      <c r="EXZ15"/>
      <c r="EYA15"/>
      <c r="EYB15"/>
      <c r="EYC15"/>
      <c r="EYD15"/>
      <c r="EYE15"/>
      <c r="EYF15"/>
      <c r="EYG15"/>
      <c r="EYH15"/>
      <c r="EYI15"/>
      <c r="EYJ15"/>
      <c r="EYK15"/>
      <c r="EYL15"/>
      <c r="EYM15"/>
      <c r="EYN15"/>
      <c r="EYO15"/>
      <c r="EYP15"/>
      <c r="EYQ15"/>
      <c r="EYR15"/>
      <c r="EYS15"/>
      <c r="EYT15"/>
      <c r="EYU15"/>
      <c r="EYV15"/>
      <c r="EYW15"/>
      <c r="EYX15"/>
      <c r="EYY15"/>
      <c r="EYZ15"/>
      <c r="EZA15"/>
      <c r="EZB15"/>
      <c r="EZC15"/>
      <c r="EZD15"/>
      <c r="EZE15"/>
      <c r="EZF15"/>
      <c r="EZG15"/>
      <c r="EZH15"/>
      <c r="EZI15"/>
      <c r="EZJ15"/>
      <c r="EZK15"/>
      <c r="EZL15"/>
      <c r="EZM15"/>
      <c r="EZN15"/>
      <c r="EZO15"/>
      <c r="EZP15"/>
      <c r="EZQ15"/>
      <c r="EZR15"/>
      <c r="EZS15"/>
      <c r="EZT15"/>
      <c r="EZU15"/>
      <c r="EZV15"/>
      <c r="EZW15"/>
      <c r="EZX15"/>
      <c r="EZY15"/>
      <c r="EZZ15"/>
      <c r="FAA15"/>
      <c r="FAB15"/>
      <c r="FAC15"/>
      <c r="FAD15"/>
      <c r="FAE15"/>
      <c r="FAF15"/>
      <c r="FAG15"/>
      <c r="FAH15"/>
      <c r="FAI15"/>
      <c r="FAJ15"/>
      <c r="FAK15"/>
      <c r="FAL15"/>
      <c r="FAM15"/>
      <c r="FAN15"/>
      <c r="FAO15"/>
      <c r="FAP15"/>
      <c r="FAQ15"/>
      <c r="FAR15"/>
      <c r="FAS15"/>
      <c r="FAT15"/>
      <c r="FAU15"/>
      <c r="FAV15"/>
      <c r="FAW15"/>
      <c r="FAX15"/>
      <c r="FAY15"/>
      <c r="FAZ15"/>
      <c r="FBA15"/>
      <c r="FBB15"/>
      <c r="FBC15"/>
      <c r="FBD15"/>
      <c r="FBE15"/>
      <c r="FBF15"/>
      <c r="FBG15"/>
      <c r="FBH15"/>
      <c r="FBI15"/>
      <c r="FBJ15"/>
      <c r="FBK15"/>
      <c r="FBL15"/>
      <c r="FBM15"/>
      <c r="FBN15"/>
      <c r="FBO15"/>
      <c r="FBP15"/>
      <c r="FBQ15"/>
      <c r="FBR15"/>
      <c r="FBS15"/>
      <c r="FBT15"/>
      <c r="FBU15"/>
      <c r="FBV15"/>
      <c r="FBW15"/>
      <c r="FBX15"/>
      <c r="FBY15"/>
      <c r="FBZ15"/>
      <c r="FCA15"/>
      <c r="FCB15"/>
      <c r="FCC15"/>
      <c r="FCD15"/>
      <c r="FCE15"/>
      <c r="FCF15"/>
      <c r="FCG15"/>
      <c r="FCH15"/>
      <c r="FCI15"/>
      <c r="FCJ15"/>
      <c r="FCK15"/>
      <c r="FCL15"/>
      <c r="FCM15"/>
      <c r="FCN15"/>
      <c r="FCO15"/>
      <c r="FCP15"/>
      <c r="FCQ15"/>
      <c r="FCR15"/>
      <c r="FCS15"/>
      <c r="FCT15"/>
      <c r="FCU15"/>
      <c r="FCV15"/>
      <c r="FCW15"/>
      <c r="FCX15"/>
      <c r="FCY15"/>
      <c r="FCZ15"/>
      <c r="FDA15"/>
      <c r="FDB15"/>
      <c r="FDC15"/>
      <c r="FDD15"/>
      <c r="FDE15"/>
      <c r="FDF15"/>
      <c r="FDG15"/>
      <c r="FDH15"/>
      <c r="FDI15"/>
      <c r="FDJ15"/>
      <c r="FDK15"/>
      <c r="FDL15"/>
      <c r="FDM15"/>
      <c r="FDN15"/>
      <c r="FDO15"/>
      <c r="FDP15"/>
      <c r="FDQ15"/>
      <c r="FDR15"/>
      <c r="FDS15"/>
      <c r="FDT15"/>
      <c r="FDU15"/>
      <c r="FDV15"/>
      <c r="FDW15"/>
      <c r="FDX15"/>
      <c r="FDY15"/>
      <c r="FDZ15"/>
      <c r="FEA15"/>
      <c r="FEB15"/>
      <c r="FEC15"/>
      <c r="FED15"/>
      <c r="FEE15"/>
      <c r="FEF15"/>
      <c r="FEG15"/>
      <c r="FEH15"/>
      <c r="FEI15"/>
      <c r="FEJ15"/>
      <c r="FEK15"/>
      <c r="FEL15"/>
      <c r="FEM15"/>
      <c r="FEN15"/>
      <c r="FEO15"/>
      <c r="FEP15"/>
      <c r="FEQ15"/>
      <c r="FER15"/>
      <c r="FES15"/>
      <c r="FET15"/>
      <c r="FEU15"/>
      <c r="FEV15"/>
      <c r="FEW15"/>
      <c r="FEX15"/>
      <c r="FEY15"/>
      <c r="FEZ15"/>
      <c r="FFA15"/>
      <c r="FFB15"/>
      <c r="FFC15"/>
      <c r="FFD15"/>
      <c r="FFE15"/>
      <c r="FFF15"/>
      <c r="FFG15"/>
      <c r="FFH15"/>
      <c r="FFI15"/>
      <c r="FFJ15"/>
      <c r="FFK15"/>
      <c r="FFL15"/>
      <c r="FFM15"/>
      <c r="FFN15"/>
      <c r="FFO15"/>
      <c r="FFP15"/>
      <c r="FFQ15"/>
      <c r="FFR15"/>
      <c r="FFS15"/>
      <c r="FFT15"/>
      <c r="FFU15"/>
      <c r="FFV15"/>
      <c r="FFW15"/>
      <c r="FFX15"/>
      <c r="FFY15"/>
      <c r="FFZ15"/>
      <c r="FGA15"/>
      <c r="FGB15"/>
      <c r="FGC15"/>
      <c r="FGD15"/>
      <c r="FGE15"/>
      <c r="FGF15"/>
      <c r="FGG15"/>
      <c r="FGH15"/>
      <c r="FGI15"/>
      <c r="FGJ15"/>
      <c r="FGK15"/>
      <c r="FGL15"/>
      <c r="FGM15"/>
      <c r="FGN15"/>
      <c r="FGO15"/>
      <c r="FGP15"/>
      <c r="FGQ15"/>
      <c r="FGR15"/>
      <c r="FGS15"/>
      <c r="FGT15"/>
      <c r="FGU15"/>
      <c r="FGV15"/>
      <c r="FGW15"/>
      <c r="FGX15"/>
      <c r="FGY15"/>
      <c r="FGZ15"/>
      <c r="FHA15"/>
      <c r="FHB15"/>
      <c r="FHC15"/>
      <c r="FHD15"/>
      <c r="FHE15"/>
      <c r="FHF15"/>
      <c r="FHG15"/>
      <c r="FHH15"/>
      <c r="FHI15"/>
      <c r="FHJ15"/>
      <c r="FHK15"/>
      <c r="FHL15"/>
      <c r="FHM15"/>
      <c r="FHN15"/>
      <c r="FHO15"/>
      <c r="FHP15"/>
      <c r="FHQ15"/>
      <c r="FHR15"/>
      <c r="FHS15"/>
      <c r="FHT15"/>
      <c r="FHU15"/>
      <c r="FHV15"/>
      <c r="FHW15"/>
      <c r="FHX15"/>
      <c r="FHY15"/>
      <c r="FHZ15"/>
      <c r="FIA15"/>
      <c r="FIB15"/>
      <c r="FIC15"/>
      <c r="FID15"/>
      <c r="FIE15"/>
      <c r="FIF15"/>
      <c r="FIG15"/>
      <c r="FIH15"/>
      <c r="FII15"/>
      <c r="FIJ15"/>
      <c r="FIK15"/>
      <c r="FIL15"/>
      <c r="FIM15"/>
      <c r="FIN15"/>
      <c r="FIO15"/>
      <c r="FIP15"/>
      <c r="FIQ15"/>
      <c r="FIR15"/>
      <c r="FIS15"/>
      <c r="FIT15"/>
      <c r="FIU15"/>
      <c r="FIV15"/>
      <c r="FIW15"/>
      <c r="FIX15"/>
      <c r="FIY15"/>
      <c r="FIZ15"/>
      <c r="FJA15"/>
      <c r="FJB15"/>
      <c r="FJC15"/>
      <c r="FJD15"/>
      <c r="FJE15"/>
      <c r="FJF15"/>
      <c r="FJG15"/>
      <c r="FJH15"/>
      <c r="FJI15"/>
      <c r="FJJ15"/>
      <c r="FJK15"/>
      <c r="FJL15"/>
      <c r="FJM15"/>
      <c r="FJN15"/>
      <c r="FJO15"/>
      <c r="FJP15"/>
      <c r="FJQ15"/>
      <c r="FJR15"/>
      <c r="FJS15"/>
      <c r="FJT15"/>
      <c r="FJU15"/>
      <c r="FJV15"/>
      <c r="FJW15"/>
      <c r="FJX15"/>
      <c r="FJY15"/>
      <c r="FJZ15"/>
      <c r="FKA15"/>
      <c r="FKB15"/>
      <c r="FKC15"/>
      <c r="FKD15"/>
      <c r="FKE15"/>
      <c r="FKF15"/>
      <c r="FKG15"/>
      <c r="FKH15"/>
      <c r="FKI15"/>
      <c r="FKJ15"/>
      <c r="FKK15"/>
      <c r="FKL15"/>
      <c r="FKM15"/>
      <c r="FKN15"/>
      <c r="FKO15"/>
      <c r="FKP15"/>
      <c r="FKQ15"/>
      <c r="FKR15"/>
      <c r="FKS15"/>
      <c r="FKT15"/>
      <c r="FKU15"/>
      <c r="FKV15"/>
      <c r="FKW15"/>
      <c r="FKX15"/>
      <c r="FKY15"/>
      <c r="FKZ15"/>
      <c r="FLA15"/>
      <c r="FLB15"/>
      <c r="FLC15"/>
      <c r="FLD15"/>
      <c r="FLE15"/>
      <c r="FLF15"/>
      <c r="FLG15"/>
      <c r="FLH15"/>
      <c r="FLI15"/>
      <c r="FLJ15"/>
      <c r="FLK15"/>
      <c r="FLL15"/>
      <c r="FLM15"/>
      <c r="FLN15"/>
      <c r="FLO15"/>
      <c r="FLP15"/>
      <c r="FLQ15"/>
      <c r="FLR15"/>
      <c r="FLS15"/>
      <c r="FLT15"/>
      <c r="FLU15"/>
      <c r="FLV15"/>
      <c r="FLW15"/>
      <c r="FLX15"/>
      <c r="FLY15"/>
      <c r="FLZ15"/>
      <c r="FMA15"/>
      <c r="FMB15"/>
      <c r="FMC15"/>
      <c r="FMD15"/>
      <c r="FME15"/>
      <c r="FMF15"/>
      <c r="FMG15"/>
      <c r="FMH15"/>
      <c r="FMI15"/>
      <c r="FMJ15"/>
      <c r="FMK15"/>
      <c r="FML15"/>
      <c r="FMM15"/>
      <c r="FMN15"/>
      <c r="FMO15"/>
      <c r="FMP15"/>
      <c r="FMQ15"/>
      <c r="FMR15"/>
      <c r="FMS15"/>
      <c r="FMT15"/>
      <c r="FMU15"/>
      <c r="FMV15"/>
      <c r="FMW15"/>
      <c r="FMX15"/>
      <c r="FMY15"/>
      <c r="FMZ15"/>
      <c r="FNA15"/>
      <c r="FNB15"/>
      <c r="FNC15"/>
      <c r="FND15"/>
      <c r="FNE15"/>
      <c r="FNF15"/>
      <c r="FNG15"/>
      <c r="FNH15"/>
      <c r="FNI15"/>
      <c r="FNJ15"/>
      <c r="FNK15"/>
      <c r="FNL15"/>
      <c r="FNM15"/>
      <c r="FNN15"/>
      <c r="FNO15"/>
      <c r="FNP15"/>
      <c r="FNQ15"/>
      <c r="FNR15"/>
      <c r="FNS15"/>
      <c r="FNT15"/>
      <c r="FNU15"/>
      <c r="FNV15"/>
      <c r="FNW15"/>
      <c r="FNX15"/>
      <c r="FNY15"/>
      <c r="FNZ15"/>
      <c r="FOA15"/>
      <c r="FOB15"/>
      <c r="FOC15"/>
      <c r="FOD15"/>
      <c r="FOE15"/>
      <c r="FOF15"/>
      <c r="FOG15"/>
      <c r="FOH15"/>
      <c r="FOI15"/>
      <c r="FOJ15"/>
      <c r="FOK15"/>
      <c r="FOL15"/>
      <c r="FOM15"/>
      <c r="FON15"/>
      <c r="FOO15"/>
      <c r="FOP15"/>
      <c r="FOQ15"/>
      <c r="FOR15"/>
      <c r="FOS15"/>
      <c r="FOT15"/>
      <c r="FOU15"/>
      <c r="FOV15"/>
      <c r="FOW15"/>
      <c r="FOX15"/>
      <c r="FOY15"/>
      <c r="FOZ15"/>
      <c r="FPA15"/>
      <c r="FPB15"/>
      <c r="FPC15"/>
      <c r="FPD15"/>
      <c r="FPE15"/>
      <c r="FPF15"/>
      <c r="FPG15"/>
      <c r="FPH15"/>
      <c r="FPI15"/>
      <c r="FPJ15"/>
      <c r="FPK15"/>
      <c r="FPL15"/>
      <c r="FPM15"/>
      <c r="FPN15"/>
      <c r="FPO15"/>
      <c r="FPP15"/>
      <c r="FPQ15"/>
      <c r="FPR15"/>
      <c r="FPS15"/>
      <c r="FPT15"/>
      <c r="FPU15"/>
      <c r="FPV15"/>
      <c r="FPW15"/>
      <c r="FPX15"/>
      <c r="FPY15"/>
      <c r="FPZ15"/>
      <c r="FQA15"/>
      <c r="FQB15"/>
      <c r="FQC15"/>
      <c r="FQD15"/>
      <c r="FQE15"/>
      <c r="FQF15"/>
      <c r="FQG15"/>
      <c r="FQH15"/>
      <c r="FQI15"/>
      <c r="FQJ15"/>
      <c r="FQK15"/>
      <c r="FQL15"/>
      <c r="FQM15"/>
      <c r="FQN15"/>
      <c r="FQO15"/>
      <c r="FQP15"/>
      <c r="FQQ15"/>
      <c r="FQR15"/>
      <c r="FQS15"/>
      <c r="FQT15"/>
      <c r="FQU15"/>
      <c r="FQV15"/>
      <c r="FQW15"/>
      <c r="FQX15"/>
      <c r="FQY15"/>
      <c r="FQZ15"/>
      <c r="FRA15"/>
      <c r="FRB15"/>
      <c r="FRC15"/>
      <c r="FRD15"/>
      <c r="FRE15"/>
      <c r="FRF15"/>
      <c r="FRG15"/>
      <c r="FRH15"/>
      <c r="FRI15"/>
      <c r="FRJ15"/>
      <c r="FRK15"/>
      <c r="FRL15"/>
      <c r="FRM15"/>
      <c r="FRN15"/>
      <c r="FRO15"/>
      <c r="FRP15"/>
      <c r="FRQ15"/>
      <c r="FRR15"/>
      <c r="FRS15"/>
      <c r="FRT15"/>
      <c r="FRU15"/>
      <c r="FRV15"/>
      <c r="FRW15"/>
      <c r="FRX15"/>
      <c r="FRY15"/>
      <c r="FRZ15"/>
      <c r="FSA15"/>
      <c r="FSB15"/>
      <c r="FSC15"/>
      <c r="FSD15"/>
      <c r="FSE15"/>
      <c r="FSF15"/>
      <c r="FSG15"/>
      <c r="FSH15"/>
      <c r="FSI15"/>
      <c r="FSJ15"/>
      <c r="FSK15"/>
      <c r="FSL15"/>
      <c r="FSM15"/>
      <c r="FSN15"/>
      <c r="FSO15"/>
      <c r="FSP15"/>
      <c r="FSQ15"/>
      <c r="FSR15"/>
      <c r="FSS15"/>
      <c r="FST15"/>
      <c r="FSU15"/>
      <c r="FSV15"/>
      <c r="FSW15"/>
      <c r="FSX15"/>
      <c r="FSY15"/>
      <c r="FSZ15"/>
      <c r="FTA15"/>
      <c r="FTB15"/>
      <c r="FTC15"/>
      <c r="FTD15"/>
      <c r="FTE15"/>
      <c r="FTF15"/>
      <c r="FTG15"/>
      <c r="FTH15"/>
      <c r="FTI15"/>
      <c r="FTJ15"/>
      <c r="FTK15"/>
      <c r="FTL15"/>
      <c r="FTM15"/>
      <c r="FTN15"/>
      <c r="FTO15"/>
      <c r="FTP15"/>
      <c r="FTQ15"/>
      <c r="FTR15"/>
      <c r="FTS15"/>
      <c r="FTT15"/>
      <c r="FTU15"/>
      <c r="FTV15"/>
      <c r="FTW15"/>
      <c r="FTX15"/>
      <c r="FTY15"/>
      <c r="FTZ15"/>
      <c r="FUA15"/>
      <c r="FUB15"/>
      <c r="FUC15"/>
      <c r="FUD15"/>
      <c r="FUE15"/>
      <c r="FUF15"/>
      <c r="FUG15"/>
      <c r="FUH15"/>
      <c r="FUI15"/>
      <c r="FUJ15"/>
      <c r="FUK15"/>
      <c r="FUL15"/>
      <c r="FUM15"/>
      <c r="FUN15"/>
      <c r="FUO15"/>
      <c r="FUP15"/>
      <c r="FUQ15"/>
      <c r="FUR15"/>
      <c r="FUS15"/>
      <c r="FUT15"/>
      <c r="FUU15"/>
      <c r="FUV15"/>
      <c r="FUW15"/>
      <c r="FUX15"/>
      <c r="FUY15"/>
      <c r="FUZ15"/>
      <c r="FVA15"/>
      <c r="FVB15"/>
      <c r="FVC15"/>
      <c r="FVD15"/>
      <c r="FVE15"/>
      <c r="FVF15"/>
      <c r="FVG15"/>
      <c r="FVH15"/>
      <c r="FVI15"/>
      <c r="FVJ15"/>
      <c r="FVK15"/>
      <c r="FVL15"/>
      <c r="FVM15"/>
      <c r="FVN15"/>
      <c r="FVO15"/>
      <c r="FVP15"/>
      <c r="FVQ15"/>
      <c r="FVR15"/>
      <c r="FVS15"/>
      <c r="FVT15"/>
      <c r="FVU15"/>
      <c r="FVV15"/>
      <c r="FVW15"/>
      <c r="FVX15"/>
      <c r="FVY15"/>
      <c r="FVZ15"/>
      <c r="FWA15"/>
      <c r="FWB15"/>
      <c r="FWC15"/>
      <c r="FWD15"/>
      <c r="FWE15"/>
      <c r="FWF15"/>
      <c r="FWG15"/>
      <c r="FWH15"/>
      <c r="FWI15"/>
      <c r="FWJ15"/>
      <c r="FWK15"/>
      <c r="FWL15"/>
      <c r="FWM15"/>
      <c r="FWN15"/>
      <c r="FWO15"/>
      <c r="FWP15"/>
      <c r="FWQ15"/>
      <c r="FWR15"/>
      <c r="FWS15"/>
      <c r="FWT15"/>
      <c r="FWU15"/>
      <c r="FWV15"/>
      <c r="FWW15"/>
      <c r="FWX15"/>
      <c r="FWY15"/>
      <c r="FWZ15"/>
      <c r="FXA15"/>
      <c r="FXB15"/>
      <c r="FXC15"/>
      <c r="FXD15"/>
      <c r="FXE15"/>
      <c r="FXF15"/>
      <c r="FXG15"/>
      <c r="FXH15"/>
      <c r="FXI15"/>
      <c r="FXJ15"/>
      <c r="FXK15"/>
      <c r="FXL15"/>
      <c r="FXM15"/>
      <c r="FXN15"/>
      <c r="FXO15"/>
      <c r="FXP15"/>
      <c r="FXQ15"/>
      <c r="FXR15"/>
      <c r="FXS15"/>
      <c r="FXT15"/>
      <c r="FXU15"/>
      <c r="FXV15"/>
      <c r="FXW15"/>
      <c r="FXX15"/>
      <c r="FXY15"/>
      <c r="FXZ15"/>
      <c r="FYA15"/>
      <c r="FYB15"/>
      <c r="FYC15"/>
      <c r="FYD15"/>
      <c r="FYE15"/>
      <c r="FYF15"/>
      <c r="FYG15"/>
      <c r="FYH15"/>
      <c r="FYI15"/>
      <c r="FYJ15"/>
      <c r="FYK15"/>
      <c r="FYL15"/>
      <c r="FYM15"/>
      <c r="FYN15"/>
      <c r="FYO15"/>
      <c r="FYP15"/>
      <c r="FYQ15"/>
      <c r="FYR15"/>
      <c r="FYS15"/>
      <c r="FYT15"/>
      <c r="FYU15"/>
      <c r="FYV15"/>
      <c r="FYW15"/>
      <c r="FYX15"/>
      <c r="FYY15"/>
      <c r="FYZ15"/>
      <c r="FZA15"/>
      <c r="FZB15"/>
      <c r="FZC15"/>
      <c r="FZD15"/>
      <c r="FZE15"/>
      <c r="FZF15"/>
      <c r="FZG15"/>
      <c r="FZH15"/>
      <c r="FZI15"/>
      <c r="FZJ15"/>
      <c r="FZK15"/>
      <c r="FZL15"/>
      <c r="FZM15"/>
      <c r="FZN15"/>
      <c r="FZO15"/>
      <c r="FZP15"/>
      <c r="FZQ15"/>
      <c r="FZR15"/>
      <c r="FZS15"/>
      <c r="FZT15"/>
      <c r="FZU15"/>
      <c r="FZV15"/>
      <c r="FZW15"/>
      <c r="FZX15"/>
      <c r="FZY15"/>
      <c r="FZZ15"/>
      <c r="GAA15"/>
      <c r="GAB15"/>
      <c r="GAC15"/>
      <c r="GAD15"/>
      <c r="GAE15"/>
      <c r="GAF15"/>
      <c r="GAG15"/>
      <c r="GAH15"/>
      <c r="GAI15"/>
      <c r="GAJ15"/>
      <c r="GAK15"/>
      <c r="GAL15"/>
      <c r="GAM15"/>
      <c r="GAN15"/>
      <c r="GAO15"/>
      <c r="GAP15"/>
      <c r="GAQ15"/>
      <c r="GAR15"/>
      <c r="GAS15"/>
      <c r="GAT15"/>
      <c r="GAU15"/>
      <c r="GAV15"/>
      <c r="GAW15"/>
      <c r="GAX15"/>
      <c r="GAY15"/>
      <c r="GAZ15"/>
      <c r="GBA15"/>
      <c r="GBB15"/>
      <c r="GBC15"/>
      <c r="GBD15"/>
      <c r="GBE15"/>
      <c r="GBF15"/>
      <c r="GBG15"/>
      <c r="GBH15"/>
      <c r="GBI15"/>
      <c r="GBJ15"/>
      <c r="GBK15"/>
      <c r="GBL15"/>
      <c r="GBM15"/>
      <c r="GBN15"/>
      <c r="GBO15"/>
      <c r="GBP15"/>
      <c r="GBQ15"/>
      <c r="GBR15"/>
      <c r="GBS15"/>
      <c r="GBT15"/>
      <c r="GBU15"/>
      <c r="GBV15"/>
      <c r="GBW15"/>
      <c r="GBX15"/>
      <c r="GBY15"/>
      <c r="GBZ15"/>
      <c r="GCA15"/>
      <c r="GCB15"/>
      <c r="GCC15"/>
      <c r="GCD15"/>
      <c r="GCE15"/>
      <c r="GCF15"/>
      <c r="GCG15"/>
      <c r="GCH15"/>
      <c r="GCI15"/>
      <c r="GCJ15"/>
      <c r="GCK15"/>
      <c r="GCL15"/>
      <c r="GCM15"/>
      <c r="GCN15"/>
      <c r="GCO15"/>
      <c r="GCP15"/>
      <c r="GCQ15"/>
      <c r="GCR15"/>
      <c r="GCS15"/>
      <c r="GCT15"/>
      <c r="GCU15"/>
      <c r="GCV15"/>
      <c r="GCW15"/>
      <c r="GCX15"/>
      <c r="GCY15"/>
      <c r="GCZ15"/>
      <c r="GDA15"/>
      <c r="GDB15"/>
      <c r="GDC15"/>
      <c r="GDD15"/>
      <c r="GDE15"/>
      <c r="GDF15"/>
      <c r="GDG15"/>
      <c r="GDH15"/>
      <c r="GDI15"/>
      <c r="GDJ15"/>
      <c r="GDK15"/>
      <c r="GDL15"/>
      <c r="GDM15"/>
      <c r="GDN15"/>
      <c r="GDO15"/>
      <c r="GDP15"/>
      <c r="GDQ15"/>
      <c r="GDR15"/>
      <c r="GDS15"/>
      <c r="GDT15"/>
      <c r="GDU15"/>
      <c r="GDV15"/>
      <c r="GDW15"/>
      <c r="GDX15"/>
      <c r="GDY15"/>
      <c r="GDZ15"/>
      <c r="GEA15"/>
      <c r="GEB15"/>
      <c r="GEC15"/>
      <c r="GED15"/>
      <c r="GEE15"/>
      <c r="GEF15"/>
      <c r="GEG15"/>
      <c r="GEH15"/>
      <c r="GEI15"/>
      <c r="GEJ15"/>
      <c r="GEK15"/>
      <c r="GEL15"/>
      <c r="GEM15"/>
      <c r="GEN15"/>
      <c r="GEO15"/>
      <c r="GEP15"/>
      <c r="GEQ15"/>
      <c r="GER15"/>
      <c r="GES15"/>
      <c r="GET15"/>
      <c r="GEU15"/>
      <c r="GEV15"/>
      <c r="GEW15"/>
      <c r="GEX15"/>
      <c r="GEY15"/>
      <c r="GEZ15"/>
      <c r="GFA15"/>
      <c r="GFB15"/>
      <c r="GFC15"/>
      <c r="GFD15"/>
      <c r="GFE15"/>
      <c r="GFF15"/>
      <c r="GFG15"/>
      <c r="GFH15"/>
      <c r="GFI15"/>
      <c r="GFJ15"/>
      <c r="GFK15"/>
      <c r="GFL15"/>
      <c r="GFM15"/>
      <c r="GFN15"/>
      <c r="GFO15"/>
      <c r="GFP15"/>
      <c r="GFQ15"/>
      <c r="GFR15"/>
      <c r="GFS15"/>
      <c r="GFT15"/>
      <c r="GFU15"/>
      <c r="GFV15"/>
      <c r="GFW15"/>
      <c r="GFX15"/>
      <c r="GFY15"/>
      <c r="GFZ15"/>
      <c r="GGA15"/>
      <c r="GGB15"/>
      <c r="GGC15"/>
      <c r="GGD15"/>
      <c r="GGE15"/>
      <c r="GGF15"/>
      <c r="GGG15"/>
      <c r="GGH15"/>
      <c r="GGI15"/>
      <c r="GGJ15"/>
      <c r="GGK15"/>
      <c r="GGL15"/>
      <c r="GGM15"/>
      <c r="GGN15"/>
      <c r="GGO15"/>
      <c r="GGP15"/>
      <c r="GGQ15"/>
      <c r="GGR15"/>
      <c r="GGS15"/>
      <c r="GGT15"/>
      <c r="GGU15"/>
      <c r="GGV15"/>
      <c r="GGW15"/>
      <c r="GGX15"/>
      <c r="GGY15"/>
      <c r="GGZ15"/>
      <c r="GHA15"/>
      <c r="GHB15"/>
      <c r="GHC15"/>
      <c r="GHD15"/>
      <c r="GHE15"/>
      <c r="GHF15"/>
      <c r="GHG15"/>
      <c r="GHH15"/>
      <c r="GHI15"/>
      <c r="GHJ15"/>
      <c r="GHK15"/>
      <c r="GHL15"/>
      <c r="GHM15"/>
      <c r="GHN15"/>
      <c r="GHO15"/>
      <c r="GHP15"/>
      <c r="GHQ15"/>
      <c r="GHR15"/>
      <c r="GHS15"/>
      <c r="GHT15"/>
      <c r="GHU15"/>
      <c r="GHV15"/>
      <c r="GHW15"/>
      <c r="GHX15"/>
      <c r="GHY15"/>
      <c r="GHZ15"/>
      <c r="GIA15"/>
      <c r="GIB15"/>
      <c r="GIC15"/>
      <c r="GID15"/>
      <c r="GIE15"/>
      <c r="GIF15"/>
      <c r="GIG15"/>
      <c r="GIH15"/>
      <c r="GII15"/>
      <c r="GIJ15"/>
      <c r="GIK15"/>
      <c r="GIL15"/>
      <c r="GIM15"/>
      <c r="GIN15"/>
      <c r="GIO15"/>
      <c r="GIP15"/>
      <c r="GIQ15"/>
      <c r="GIR15"/>
      <c r="GIS15"/>
      <c r="GIT15"/>
      <c r="GIU15"/>
      <c r="GIV15"/>
      <c r="GIW15"/>
      <c r="GIX15"/>
      <c r="GIY15"/>
      <c r="GIZ15"/>
      <c r="GJA15"/>
      <c r="GJB15"/>
      <c r="GJC15"/>
      <c r="GJD15"/>
      <c r="GJE15"/>
      <c r="GJF15"/>
      <c r="GJG15"/>
      <c r="GJH15"/>
      <c r="GJI15"/>
      <c r="GJJ15"/>
      <c r="GJK15"/>
      <c r="GJL15"/>
      <c r="GJM15"/>
      <c r="GJN15"/>
      <c r="GJO15"/>
      <c r="GJP15"/>
      <c r="GJQ15"/>
      <c r="GJR15"/>
      <c r="GJS15"/>
      <c r="GJT15"/>
      <c r="GJU15"/>
      <c r="GJV15"/>
      <c r="GJW15"/>
      <c r="GJX15"/>
      <c r="GJY15"/>
      <c r="GJZ15"/>
      <c r="GKA15"/>
      <c r="GKB15"/>
      <c r="GKC15"/>
      <c r="GKD15"/>
      <c r="GKE15"/>
      <c r="GKF15"/>
      <c r="GKG15"/>
      <c r="GKH15"/>
      <c r="GKI15"/>
      <c r="GKJ15"/>
      <c r="GKK15"/>
      <c r="GKL15"/>
      <c r="GKM15"/>
      <c r="GKN15"/>
      <c r="GKO15"/>
      <c r="GKP15"/>
      <c r="GKQ15"/>
      <c r="GKR15"/>
      <c r="GKS15"/>
      <c r="GKT15"/>
      <c r="GKU15"/>
      <c r="GKV15"/>
      <c r="GKW15"/>
      <c r="GKX15"/>
      <c r="GKY15"/>
      <c r="GKZ15"/>
      <c r="GLA15"/>
      <c r="GLB15"/>
      <c r="GLC15"/>
      <c r="GLD15"/>
      <c r="GLE15"/>
      <c r="GLF15"/>
      <c r="GLG15"/>
      <c r="GLH15"/>
      <c r="GLI15"/>
      <c r="GLJ15"/>
      <c r="GLK15"/>
      <c r="GLL15"/>
      <c r="GLM15"/>
      <c r="GLN15"/>
      <c r="GLO15"/>
      <c r="GLP15"/>
      <c r="GLQ15"/>
      <c r="GLR15"/>
      <c r="GLS15"/>
      <c r="GLT15"/>
      <c r="GLU15"/>
      <c r="GLV15"/>
      <c r="GLW15"/>
      <c r="GLX15"/>
      <c r="GLY15"/>
      <c r="GLZ15"/>
      <c r="GMA15"/>
      <c r="GMB15"/>
      <c r="GMC15"/>
      <c r="GMD15"/>
      <c r="GME15"/>
      <c r="GMF15"/>
      <c r="GMG15"/>
      <c r="GMH15"/>
      <c r="GMI15"/>
      <c r="GMJ15"/>
      <c r="GMK15"/>
      <c r="GML15"/>
      <c r="GMM15"/>
      <c r="GMN15"/>
      <c r="GMO15"/>
      <c r="GMP15"/>
      <c r="GMQ15"/>
      <c r="GMR15"/>
      <c r="GMS15"/>
      <c r="GMT15"/>
      <c r="GMU15"/>
      <c r="GMV15"/>
      <c r="GMW15"/>
      <c r="GMX15"/>
      <c r="GMY15"/>
      <c r="GMZ15"/>
      <c r="GNA15"/>
      <c r="GNB15"/>
      <c r="GNC15"/>
      <c r="GND15"/>
      <c r="GNE15"/>
      <c r="GNF15"/>
      <c r="GNG15"/>
      <c r="GNH15"/>
      <c r="GNI15"/>
      <c r="GNJ15"/>
      <c r="GNK15"/>
      <c r="GNL15"/>
      <c r="GNM15"/>
      <c r="GNN15"/>
      <c r="GNO15"/>
      <c r="GNP15"/>
      <c r="GNQ15"/>
      <c r="GNR15"/>
      <c r="GNS15"/>
      <c r="GNT15"/>
      <c r="GNU15"/>
      <c r="GNV15"/>
      <c r="GNW15"/>
      <c r="GNX15"/>
      <c r="GNY15"/>
      <c r="GNZ15"/>
      <c r="GOA15"/>
      <c r="GOB15"/>
      <c r="GOC15"/>
      <c r="GOD15"/>
      <c r="GOE15"/>
      <c r="GOF15"/>
      <c r="GOG15"/>
      <c r="GOH15"/>
      <c r="GOI15"/>
      <c r="GOJ15"/>
      <c r="GOK15"/>
      <c r="GOL15"/>
      <c r="GOM15"/>
      <c r="GON15"/>
      <c r="GOO15"/>
      <c r="GOP15"/>
      <c r="GOQ15"/>
      <c r="GOR15"/>
      <c r="GOS15"/>
      <c r="GOT15"/>
      <c r="GOU15"/>
      <c r="GOV15"/>
      <c r="GOW15"/>
      <c r="GOX15"/>
      <c r="GOY15"/>
      <c r="GOZ15"/>
      <c r="GPA15"/>
      <c r="GPB15"/>
      <c r="GPC15"/>
      <c r="GPD15"/>
      <c r="GPE15"/>
      <c r="GPF15"/>
      <c r="GPG15"/>
      <c r="GPH15"/>
      <c r="GPI15"/>
      <c r="GPJ15"/>
      <c r="GPK15"/>
      <c r="GPL15"/>
      <c r="GPM15"/>
      <c r="GPN15"/>
      <c r="GPO15"/>
      <c r="GPP15"/>
      <c r="GPQ15"/>
      <c r="GPR15"/>
      <c r="GPS15"/>
      <c r="GPT15"/>
      <c r="GPU15"/>
      <c r="GPV15"/>
      <c r="GPW15"/>
      <c r="GPX15"/>
      <c r="GPY15"/>
      <c r="GPZ15"/>
      <c r="GQA15"/>
      <c r="GQB15"/>
      <c r="GQC15"/>
      <c r="GQD15"/>
      <c r="GQE15"/>
      <c r="GQF15"/>
      <c r="GQG15"/>
      <c r="GQH15"/>
      <c r="GQI15"/>
      <c r="GQJ15"/>
      <c r="GQK15"/>
      <c r="GQL15"/>
      <c r="GQM15"/>
      <c r="GQN15"/>
      <c r="GQO15"/>
      <c r="GQP15"/>
      <c r="GQQ15"/>
      <c r="GQR15"/>
      <c r="GQS15"/>
      <c r="GQT15"/>
      <c r="GQU15"/>
      <c r="GQV15"/>
      <c r="GQW15"/>
      <c r="GQX15"/>
      <c r="GQY15"/>
      <c r="GQZ15"/>
      <c r="GRA15"/>
      <c r="GRB15"/>
      <c r="GRC15"/>
      <c r="GRD15"/>
      <c r="GRE15"/>
      <c r="GRF15"/>
      <c r="GRG15"/>
      <c r="GRH15"/>
      <c r="GRI15"/>
      <c r="GRJ15"/>
      <c r="GRK15"/>
      <c r="GRL15"/>
      <c r="GRM15"/>
      <c r="GRN15"/>
      <c r="GRO15"/>
      <c r="GRP15"/>
      <c r="GRQ15"/>
      <c r="GRR15"/>
      <c r="GRS15"/>
      <c r="GRT15"/>
      <c r="GRU15"/>
      <c r="GRV15"/>
      <c r="GRW15"/>
      <c r="GRX15"/>
      <c r="GRY15"/>
      <c r="GRZ15"/>
      <c r="GSA15"/>
      <c r="GSB15"/>
      <c r="GSC15"/>
      <c r="GSD15"/>
      <c r="GSE15"/>
      <c r="GSF15"/>
      <c r="GSG15"/>
      <c r="GSH15"/>
      <c r="GSI15"/>
      <c r="GSJ15"/>
      <c r="GSK15"/>
      <c r="GSL15"/>
      <c r="GSM15"/>
      <c r="GSN15"/>
      <c r="GSO15"/>
      <c r="GSP15"/>
      <c r="GSQ15"/>
      <c r="GSR15"/>
      <c r="GSS15"/>
      <c r="GST15"/>
      <c r="GSU15"/>
      <c r="GSV15"/>
      <c r="GSW15"/>
      <c r="GSX15"/>
      <c r="GSY15"/>
      <c r="GSZ15"/>
      <c r="GTA15"/>
      <c r="GTB15"/>
      <c r="GTC15"/>
      <c r="GTD15"/>
      <c r="GTE15"/>
      <c r="GTF15"/>
      <c r="GTG15"/>
      <c r="GTH15"/>
      <c r="GTI15"/>
      <c r="GTJ15"/>
      <c r="GTK15"/>
      <c r="GTL15"/>
      <c r="GTM15"/>
      <c r="GTN15"/>
      <c r="GTO15"/>
      <c r="GTP15"/>
      <c r="GTQ15"/>
      <c r="GTR15"/>
      <c r="GTS15"/>
      <c r="GTT15"/>
      <c r="GTU15"/>
      <c r="GTV15"/>
      <c r="GTW15"/>
      <c r="GTX15"/>
      <c r="GTY15"/>
      <c r="GTZ15"/>
      <c r="GUA15"/>
      <c r="GUB15"/>
      <c r="GUC15"/>
      <c r="GUD15"/>
      <c r="GUE15"/>
      <c r="GUF15"/>
      <c r="GUG15"/>
      <c r="GUH15"/>
      <c r="GUI15"/>
      <c r="GUJ15"/>
      <c r="GUK15"/>
      <c r="GUL15"/>
      <c r="GUM15"/>
      <c r="GUN15"/>
      <c r="GUO15"/>
      <c r="GUP15"/>
      <c r="GUQ15"/>
      <c r="GUR15"/>
      <c r="GUS15"/>
      <c r="GUT15"/>
      <c r="GUU15"/>
      <c r="GUV15"/>
      <c r="GUW15"/>
      <c r="GUX15"/>
      <c r="GUY15"/>
      <c r="GUZ15"/>
      <c r="GVA15"/>
      <c r="GVB15"/>
      <c r="GVC15"/>
      <c r="GVD15"/>
      <c r="GVE15"/>
      <c r="GVF15"/>
      <c r="GVG15"/>
      <c r="GVH15"/>
      <c r="GVI15"/>
      <c r="GVJ15"/>
      <c r="GVK15"/>
      <c r="GVL15"/>
      <c r="GVM15"/>
      <c r="GVN15"/>
      <c r="GVO15"/>
      <c r="GVP15"/>
      <c r="GVQ15"/>
      <c r="GVR15"/>
      <c r="GVS15"/>
      <c r="GVT15"/>
      <c r="GVU15"/>
      <c r="GVV15"/>
      <c r="GVW15"/>
      <c r="GVX15"/>
      <c r="GVY15"/>
      <c r="GVZ15"/>
      <c r="GWA15"/>
      <c r="GWB15"/>
      <c r="GWC15"/>
      <c r="GWD15"/>
      <c r="GWE15"/>
      <c r="GWF15"/>
      <c r="GWG15"/>
      <c r="GWH15"/>
      <c r="GWI15"/>
      <c r="GWJ15"/>
      <c r="GWK15"/>
      <c r="GWL15"/>
      <c r="GWM15"/>
      <c r="GWN15"/>
      <c r="GWO15"/>
      <c r="GWP15"/>
      <c r="GWQ15"/>
      <c r="GWR15"/>
      <c r="GWS15"/>
      <c r="GWT15"/>
      <c r="GWU15"/>
      <c r="GWV15"/>
      <c r="GWW15"/>
      <c r="GWX15"/>
      <c r="GWY15"/>
      <c r="GWZ15"/>
      <c r="GXA15"/>
      <c r="GXB15"/>
      <c r="GXC15"/>
      <c r="GXD15"/>
      <c r="GXE15"/>
      <c r="GXF15"/>
      <c r="GXG15"/>
      <c r="GXH15"/>
      <c r="GXI15"/>
      <c r="GXJ15"/>
      <c r="GXK15"/>
      <c r="GXL15"/>
      <c r="GXM15"/>
      <c r="GXN15"/>
      <c r="GXO15"/>
      <c r="GXP15"/>
      <c r="GXQ15"/>
      <c r="GXR15"/>
      <c r="GXS15"/>
      <c r="GXT15"/>
      <c r="GXU15"/>
      <c r="GXV15"/>
      <c r="GXW15"/>
      <c r="GXX15"/>
      <c r="GXY15"/>
      <c r="GXZ15"/>
      <c r="GYA15"/>
      <c r="GYB15"/>
      <c r="GYC15"/>
      <c r="GYD15"/>
      <c r="GYE15"/>
      <c r="GYF15"/>
      <c r="GYG15"/>
      <c r="GYH15"/>
      <c r="GYI15"/>
      <c r="GYJ15"/>
      <c r="GYK15"/>
      <c r="GYL15"/>
      <c r="GYM15"/>
      <c r="GYN15"/>
      <c r="GYO15"/>
      <c r="GYP15"/>
      <c r="GYQ15"/>
      <c r="GYR15"/>
      <c r="GYS15"/>
      <c r="GYT15"/>
      <c r="GYU15"/>
      <c r="GYV15"/>
      <c r="GYW15"/>
      <c r="GYX15"/>
      <c r="GYY15"/>
      <c r="GYZ15"/>
      <c r="GZA15"/>
      <c r="GZB15"/>
      <c r="GZC15"/>
      <c r="GZD15"/>
      <c r="GZE15"/>
      <c r="GZF15"/>
      <c r="GZG15"/>
      <c r="GZH15"/>
      <c r="GZI15"/>
      <c r="GZJ15"/>
      <c r="GZK15"/>
      <c r="GZL15"/>
      <c r="GZM15"/>
      <c r="GZN15"/>
      <c r="GZO15"/>
      <c r="GZP15"/>
      <c r="GZQ15"/>
      <c r="GZR15"/>
      <c r="GZS15"/>
      <c r="GZT15"/>
      <c r="GZU15"/>
      <c r="GZV15"/>
      <c r="GZW15"/>
      <c r="GZX15"/>
      <c r="GZY15"/>
      <c r="GZZ15"/>
      <c r="HAA15"/>
      <c r="HAB15"/>
      <c r="HAC15"/>
      <c r="HAD15"/>
      <c r="HAE15"/>
      <c r="HAF15"/>
      <c r="HAG15"/>
      <c r="HAH15"/>
      <c r="HAI15"/>
      <c r="HAJ15"/>
      <c r="HAK15"/>
      <c r="HAL15"/>
      <c r="HAM15"/>
      <c r="HAN15"/>
      <c r="HAO15"/>
      <c r="HAP15"/>
      <c r="HAQ15"/>
      <c r="HAR15"/>
      <c r="HAS15"/>
      <c r="HAT15"/>
      <c r="HAU15"/>
      <c r="HAV15"/>
      <c r="HAW15"/>
      <c r="HAX15"/>
      <c r="HAY15"/>
      <c r="HAZ15"/>
      <c r="HBA15"/>
      <c r="HBB15"/>
      <c r="HBC15"/>
      <c r="HBD15"/>
      <c r="HBE15"/>
      <c r="HBF15"/>
      <c r="HBG15"/>
      <c r="HBH15"/>
      <c r="HBI15"/>
      <c r="HBJ15"/>
      <c r="HBK15"/>
      <c r="HBL15"/>
      <c r="HBM15"/>
      <c r="HBN15"/>
      <c r="HBO15"/>
      <c r="HBP15"/>
      <c r="HBQ15"/>
      <c r="HBR15"/>
      <c r="HBS15"/>
      <c r="HBT15"/>
      <c r="HBU15"/>
      <c r="HBV15"/>
      <c r="HBW15"/>
      <c r="HBX15"/>
      <c r="HBY15"/>
      <c r="HBZ15"/>
      <c r="HCA15"/>
      <c r="HCB15"/>
      <c r="HCC15"/>
      <c r="HCD15"/>
      <c r="HCE15"/>
      <c r="HCF15"/>
      <c r="HCG15"/>
      <c r="HCH15"/>
      <c r="HCI15"/>
      <c r="HCJ15"/>
      <c r="HCK15"/>
      <c r="HCL15"/>
      <c r="HCM15"/>
      <c r="HCN15"/>
      <c r="HCO15"/>
      <c r="HCP15"/>
      <c r="HCQ15"/>
      <c r="HCR15"/>
      <c r="HCS15"/>
      <c r="HCT15"/>
      <c r="HCU15"/>
      <c r="HCV15"/>
      <c r="HCW15"/>
      <c r="HCX15"/>
      <c r="HCY15"/>
      <c r="HCZ15"/>
      <c r="HDA15"/>
      <c r="HDB15"/>
      <c r="HDC15"/>
      <c r="HDD15"/>
      <c r="HDE15"/>
      <c r="HDF15"/>
      <c r="HDG15"/>
      <c r="HDH15"/>
      <c r="HDI15"/>
      <c r="HDJ15"/>
      <c r="HDK15"/>
      <c r="HDL15"/>
      <c r="HDM15"/>
      <c r="HDN15"/>
      <c r="HDO15"/>
      <c r="HDP15"/>
      <c r="HDQ15"/>
      <c r="HDR15"/>
      <c r="HDS15"/>
      <c r="HDT15"/>
      <c r="HDU15"/>
      <c r="HDV15"/>
      <c r="HDW15"/>
      <c r="HDX15"/>
      <c r="HDY15"/>
      <c r="HDZ15"/>
      <c r="HEA15"/>
      <c r="HEB15"/>
      <c r="HEC15"/>
      <c r="HED15"/>
      <c r="HEE15"/>
      <c r="HEF15"/>
      <c r="HEG15"/>
      <c r="HEH15"/>
      <c r="HEI15"/>
      <c r="HEJ15"/>
      <c r="HEK15"/>
      <c r="HEL15"/>
      <c r="HEM15"/>
      <c r="HEN15"/>
      <c r="HEO15"/>
      <c r="HEP15"/>
      <c r="HEQ15"/>
      <c r="HER15"/>
      <c r="HES15"/>
      <c r="HET15"/>
      <c r="HEU15"/>
      <c r="HEV15"/>
      <c r="HEW15"/>
      <c r="HEX15"/>
      <c r="HEY15"/>
      <c r="HEZ15"/>
      <c r="HFA15"/>
      <c r="HFB15"/>
      <c r="HFC15"/>
      <c r="HFD15"/>
      <c r="HFE15"/>
      <c r="HFF15"/>
      <c r="HFG15"/>
      <c r="HFH15"/>
      <c r="HFI15"/>
      <c r="HFJ15"/>
      <c r="HFK15"/>
      <c r="HFL15"/>
      <c r="HFM15"/>
      <c r="HFN15"/>
      <c r="HFO15"/>
      <c r="HFP15"/>
      <c r="HFQ15"/>
      <c r="HFR15"/>
      <c r="HFS15"/>
      <c r="HFT15"/>
      <c r="HFU15"/>
      <c r="HFV15"/>
      <c r="HFW15"/>
      <c r="HFX15"/>
      <c r="HFY15"/>
      <c r="HFZ15"/>
      <c r="HGA15"/>
      <c r="HGB15"/>
      <c r="HGC15"/>
      <c r="HGD15"/>
      <c r="HGE15"/>
      <c r="HGF15"/>
      <c r="HGG15"/>
      <c r="HGH15"/>
      <c r="HGI15"/>
      <c r="HGJ15"/>
      <c r="HGK15"/>
      <c r="HGL15"/>
      <c r="HGM15"/>
      <c r="HGN15"/>
      <c r="HGO15"/>
      <c r="HGP15"/>
      <c r="HGQ15"/>
      <c r="HGR15"/>
      <c r="HGS15"/>
      <c r="HGT15"/>
      <c r="HGU15"/>
      <c r="HGV15"/>
      <c r="HGW15"/>
      <c r="HGX15"/>
      <c r="HGY15"/>
      <c r="HGZ15"/>
      <c r="HHA15"/>
      <c r="HHB15"/>
      <c r="HHC15"/>
      <c r="HHD15"/>
      <c r="HHE15"/>
      <c r="HHF15"/>
      <c r="HHG15"/>
      <c r="HHH15"/>
      <c r="HHI15"/>
      <c r="HHJ15"/>
      <c r="HHK15"/>
      <c r="HHL15"/>
      <c r="HHM15"/>
      <c r="HHN15"/>
      <c r="HHO15"/>
      <c r="HHP15"/>
      <c r="HHQ15"/>
      <c r="HHR15"/>
      <c r="HHS15"/>
      <c r="HHT15"/>
      <c r="HHU15"/>
      <c r="HHV15"/>
      <c r="HHW15"/>
      <c r="HHX15"/>
      <c r="HHY15"/>
      <c r="HHZ15"/>
      <c r="HIA15"/>
      <c r="HIB15"/>
      <c r="HIC15"/>
      <c r="HID15"/>
      <c r="HIE15"/>
      <c r="HIF15"/>
      <c r="HIG15"/>
      <c r="HIH15"/>
      <c r="HII15"/>
      <c r="HIJ15"/>
      <c r="HIK15"/>
      <c r="HIL15"/>
      <c r="HIM15"/>
      <c r="HIN15"/>
      <c r="HIO15"/>
      <c r="HIP15"/>
      <c r="HIQ15"/>
      <c r="HIR15"/>
      <c r="HIS15"/>
      <c r="HIT15"/>
      <c r="HIU15"/>
      <c r="HIV15"/>
      <c r="HIW15"/>
      <c r="HIX15"/>
      <c r="HIY15"/>
      <c r="HIZ15"/>
      <c r="HJA15"/>
      <c r="HJB15"/>
      <c r="HJC15"/>
      <c r="HJD15"/>
      <c r="HJE15"/>
      <c r="HJF15"/>
      <c r="HJG15"/>
      <c r="HJH15"/>
      <c r="HJI15"/>
      <c r="HJJ15"/>
      <c r="HJK15"/>
      <c r="HJL15"/>
      <c r="HJM15"/>
      <c r="HJN15"/>
      <c r="HJO15"/>
      <c r="HJP15"/>
      <c r="HJQ15"/>
      <c r="HJR15"/>
      <c r="HJS15"/>
      <c r="HJT15"/>
      <c r="HJU15"/>
      <c r="HJV15"/>
      <c r="HJW15"/>
      <c r="HJX15"/>
      <c r="HJY15"/>
      <c r="HJZ15"/>
      <c r="HKA15"/>
      <c r="HKB15"/>
      <c r="HKC15"/>
      <c r="HKD15"/>
      <c r="HKE15"/>
      <c r="HKF15"/>
      <c r="HKG15"/>
      <c r="HKH15"/>
      <c r="HKI15"/>
      <c r="HKJ15"/>
      <c r="HKK15"/>
      <c r="HKL15"/>
      <c r="HKM15"/>
      <c r="HKN15"/>
      <c r="HKO15"/>
      <c r="HKP15"/>
      <c r="HKQ15"/>
      <c r="HKR15"/>
      <c r="HKS15"/>
      <c r="HKT15"/>
      <c r="HKU15"/>
      <c r="HKV15"/>
      <c r="HKW15"/>
      <c r="HKX15"/>
      <c r="HKY15"/>
      <c r="HKZ15"/>
      <c r="HLA15"/>
      <c r="HLB15"/>
      <c r="HLC15"/>
      <c r="HLD15"/>
      <c r="HLE15"/>
      <c r="HLF15"/>
      <c r="HLG15"/>
      <c r="HLH15"/>
      <c r="HLI15"/>
      <c r="HLJ15"/>
      <c r="HLK15"/>
      <c r="HLL15"/>
      <c r="HLM15"/>
      <c r="HLN15"/>
      <c r="HLO15"/>
      <c r="HLP15"/>
      <c r="HLQ15"/>
      <c r="HLR15"/>
      <c r="HLS15"/>
      <c r="HLT15"/>
      <c r="HLU15"/>
      <c r="HLV15"/>
      <c r="HLW15"/>
      <c r="HLX15"/>
      <c r="HLY15"/>
      <c r="HLZ15"/>
      <c r="HMA15"/>
      <c r="HMB15"/>
      <c r="HMC15"/>
      <c r="HMD15"/>
      <c r="HME15"/>
      <c r="HMF15"/>
      <c r="HMG15"/>
      <c r="HMH15"/>
      <c r="HMI15"/>
      <c r="HMJ15"/>
      <c r="HMK15"/>
      <c r="HML15"/>
      <c r="HMM15"/>
      <c r="HMN15"/>
      <c r="HMO15"/>
      <c r="HMP15"/>
      <c r="HMQ15"/>
      <c r="HMR15"/>
      <c r="HMS15"/>
      <c r="HMT15"/>
      <c r="HMU15"/>
      <c r="HMV15"/>
      <c r="HMW15"/>
      <c r="HMX15"/>
      <c r="HMY15"/>
      <c r="HMZ15"/>
      <c r="HNA15"/>
      <c r="HNB15"/>
      <c r="HNC15"/>
      <c r="HND15"/>
      <c r="HNE15"/>
      <c r="HNF15"/>
      <c r="HNG15"/>
      <c r="HNH15"/>
      <c r="HNI15"/>
      <c r="HNJ15"/>
      <c r="HNK15"/>
      <c r="HNL15"/>
      <c r="HNM15"/>
      <c r="HNN15"/>
      <c r="HNO15"/>
      <c r="HNP15"/>
      <c r="HNQ15"/>
      <c r="HNR15"/>
      <c r="HNS15"/>
      <c r="HNT15"/>
      <c r="HNU15"/>
      <c r="HNV15"/>
      <c r="HNW15"/>
      <c r="HNX15"/>
      <c r="HNY15"/>
      <c r="HNZ15"/>
      <c r="HOA15"/>
      <c r="HOB15"/>
      <c r="HOC15"/>
      <c r="HOD15"/>
      <c r="HOE15"/>
      <c r="HOF15"/>
      <c r="HOG15"/>
      <c r="HOH15"/>
      <c r="HOI15"/>
      <c r="HOJ15"/>
      <c r="HOK15"/>
      <c r="HOL15"/>
      <c r="HOM15"/>
      <c r="HON15"/>
      <c r="HOO15"/>
      <c r="HOP15"/>
      <c r="HOQ15"/>
      <c r="HOR15"/>
      <c r="HOS15"/>
      <c r="HOT15"/>
      <c r="HOU15"/>
      <c r="HOV15"/>
      <c r="HOW15"/>
      <c r="HOX15"/>
      <c r="HOY15"/>
      <c r="HOZ15"/>
      <c r="HPA15"/>
      <c r="HPB15"/>
      <c r="HPC15"/>
      <c r="HPD15"/>
      <c r="HPE15"/>
      <c r="HPF15"/>
      <c r="HPG15"/>
      <c r="HPH15"/>
      <c r="HPI15"/>
      <c r="HPJ15"/>
      <c r="HPK15"/>
      <c r="HPL15"/>
      <c r="HPM15"/>
      <c r="HPN15"/>
      <c r="HPO15"/>
      <c r="HPP15"/>
      <c r="HPQ15"/>
      <c r="HPR15"/>
      <c r="HPS15"/>
      <c r="HPT15"/>
      <c r="HPU15"/>
      <c r="HPV15"/>
      <c r="HPW15"/>
      <c r="HPX15"/>
      <c r="HPY15"/>
      <c r="HPZ15"/>
      <c r="HQA15"/>
      <c r="HQB15"/>
      <c r="HQC15"/>
      <c r="HQD15"/>
      <c r="HQE15"/>
      <c r="HQF15"/>
      <c r="HQG15"/>
      <c r="HQH15"/>
      <c r="HQI15"/>
      <c r="HQJ15"/>
      <c r="HQK15"/>
      <c r="HQL15"/>
      <c r="HQM15"/>
      <c r="HQN15"/>
      <c r="HQO15"/>
      <c r="HQP15"/>
      <c r="HQQ15"/>
      <c r="HQR15"/>
      <c r="HQS15"/>
      <c r="HQT15"/>
      <c r="HQU15"/>
      <c r="HQV15"/>
      <c r="HQW15"/>
      <c r="HQX15"/>
      <c r="HQY15"/>
      <c r="HQZ15"/>
      <c r="HRA15"/>
      <c r="HRB15"/>
      <c r="HRC15"/>
      <c r="HRD15"/>
      <c r="HRE15"/>
      <c r="HRF15"/>
      <c r="HRG15"/>
      <c r="HRH15"/>
      <c r="HRI15"/>
      <c r="HRJ15"/>
      <c r="HRK15"/>
      <c r="HRL15"/>
      <c r="HRM15"/>
      <c r="HRN15"/>
      <c r="HRO15"/>
      <c r="HRP15"/>
      <c r="HRQ15"/>
      <c r="HRR15"/>
      <c r="HRS15"/>
      <c r="HRT15"/>
      <c r="HRU15"/>
      <c r="HRV15"/>
      <c r="HRW15"/>
      <c r="HRX15"/>
      <c r="HRY15"/>
      <c r="HRZ15"/>
      <c r="HSA15"/>
      <c r="HSB15"/>
      <c r="HSC15"/>
      <c r="HSD15"/>
      <c r="HSE15"/>
      <c r="HSF15"/>
      <c r="HSG15"/>
      <c r="HSH15"/>
      <c r="HSI15"/>
      <c r="HSJ15"/>
      <c r="HSK15"/>
      <c r="HSL15"/>
      <c r="HSM15"/>
      <c r="HSN15"/>
      <c r="HSO15"/>
      <c r="HSP15"/>
      <c r="HSQ15"/>
      <c r="HSR15"/>
      <c r="HSS15"/>
      <c r="HST15"/>
      <c r="HSU15"/>
      <c r="HSV15"/>
      <c r="HSW15"/>
      <c r="HSX15"/>
      <c r="HSY15"/>
      <c r="HSZ15"/>
      <c r="HTA15"/>
      <c r="HTB15"/>
      <c r="HTC15"/>
      <c r="HTD15"/>
      <c r="HTE15"/>
      <c r="HTF15"/>
      <c r="HTG15"/>
      <c r="HTH15"/>
      <c r="HTI15"/>
      <c r="HTJ15"/>
      <c r="HTK15"/>
      <c r="HTL15"/>
      <c r="HTM15"/>
      <c r="HTN15"/>
      <c r="HTO15"/>
      <c r="HTP15"/>
      <c r="HTQ15"/>
      <c r="HTR15"/>
      <c r="HTS15"/>
      <c r="HTT15"/>
      <c r="HTU15"/>
      <c r="HTV15"/>
      <c r="HTW15"/>
      <c r="HTX15"/>
      <c r="HTY15"/>
      <c r="HTZ15"/>
      <c r="HUA15"/>
      <c r="HUB15"/>
      <c r="HUC15"/>
      <c r="HUD15"/>
      <c r="HUE15"/>
      <c r="HUF15"/>
      <c r="HUG15"/>
      <c r="HUH15"/>
      <c r="HUI15"/>
      <c r="HUJ15"/>
      <c r="HUK15"/>
      <c r="HUL15"/>
      <c r="HUM15"/>
      <c r="HUN15"/>
      <c r="HUO15"/>
      <c r="HUP15"/>
      <c r="HUQ15"/>
      <c r="HUR15"/>
      <c r="HUS15"/>
      <c r="HUT15"/>
      <c r="HUU15"/>
      <c r="HUV15"/>
      <c r="HUW15"/>
      <c r="HUX15"/>
      <c r="HUY15"/>
      <c r="HUZ15"/>
      <c r="HVA15"/>
      <c r="HVB15"/>
      <c r="HVC15"/>
      <c r="HVD15"/>
      <c r="HVE15"/>
      <c r="HVF15"/>
      <c r="HVG15"/>
      <c r="HVH15"/>
      <c r="HVI15"/>
      <c r="HVJ15"/>
      <c r="HVK15"/>
      <c r="HVL15"/>
      <c r="HVM15"/>
      <c r="HVN15"/>
      <c r="HVO15"/>
      <c r="HVP15"/>
      <c r="HVQ15"/>
      <c r="HVR15"/>
      <c r="HVS15"/>
      <c r="HVT15"/>
      <c r="HVU15"/>
      <c r="HVV15"/>
      <c r="HVW15"/>
      <c r="HVX15"/>
      <c r="HVY15"/>
      <c r="HVZ15"/>
      <c r="HWA15"/>
      <c r="HWB15"/>
      <c r="HWC15"/>
      <c r="HWD15"/>
      <c r="HWE15"/>
      <c r="HWF15"/>
      <c r="HWG15"/>
      <c r="HWH15"/>
      <c r="HWI15"/>
      <c r="HWJ15"/>
      <c r="HWK15"/>
      <c r="HWL15"/>
      <c r="HWM15"/>
      <c r="HWN15"/>
      <c r="HWO15"/>
      <c r="HWP15"/>
      <c r="HWQ15"/>
      <c r="HWR15"/>
      <c r="HWS15"/>
      <c r="HWT15"/>
      <c r="HWU15"/>
      <c r="HWV15"/>
      <c r="HWW15"/>
      <c r="HWX15"/>
      <c r="HWY15"/>
      <c r="HWZ15"/>
      <c r="HXA15"/>
      <c r="HXB15"/>
      <c r="HXC15"/>
      <c r="HXD15"/>
      <c r="HXE15"/>
      <c r="HXF15"/>
      <c r="HXG15"/>
      <c r="HXH15"/>
      <c r="HXI15"/>
      <c r="HXJ15"/>
      <c r="HXK15"/>
      <c r="HXL15"/>
      <c r="HXM15"/>
      <c r="HXN15"/>
      <c r="HXO15"/>
      <c r="HXP15"/>
      <c r="HXQ15"/>
      <c r="HXR15"/>
      <c r="HXS15"/>
      <c r="HXT15"/>
      <c r="HXU15"/>
      <c r="HXV15"/>
      <c r="HXW15"/>
      <c r="HXX15"/>
      <c r="HXY15"/>
      <c r="HXZ15"/>
      <c r="HYA15"/>
      <c r="HYB15"/>
      <c r="HYC15"/>
      <c r="HYD15"/>
      <c r="HYE15"/>
      <c r="HYF15"/>
      <c r="HYG15"/>
      <c r="HYH15"/>
      <c r="HYI15"/>
      <c r="HYJ15"/>
      <c r="HYK15"/>
      <c r="HYL15"/>
      <c r="HYM15"/>
      <c r="HYN15"/>
      <c r="HYO15"/>
      <c r="HYP15"/>
      <c r="HYQ15"/>
      <c r="HYR15"/>
      <c r="HYS15"/>
      <c r="HYT15"/>
      <c r="HYU15"/>
      <c r="HYV15"/>
      <c r="HYW15"/>
      <c r="HYX15"/>
      <c r="HYY15"/>
      <c r="HYZ15"/>
      <c r="HZA15"/>
      <c r="HZB15"/>
      <c r="HZC15"/>
      <c r="HZD15"/>
      <c r="HZE15"/>
      <c r="HZF15"/>
      <c r="HZG15"/>
      <c r="HZH15"/>
      <c r="HZI15"/>
      <c r="HZJ15"/>
      <c r="HZK15"/>
      <c r="HZL15"/>
      <c r="HZM15"/>
      <c r="HZN15"/>
      <c r="HZO15"/>
      <c r="HZP15"/>
      <c r="HZQ15"/>
      <c r="HZR15"/>
      <c r="HZS15"/>
      <c r="HZT15"/>
      <c r="HZU15"/>
      <c r="HZV15"/>
      <c r="HZW15"/>
      <c r="HZX15"/>
      <c r="HZY15"/>
      <c r="HZZ15"/>
      <c r="IAA15"/>
      <c r="IAB15"/>
      <c r="IAC15"/>
      <c r="IAD15"/>
      <c r="IAE15"/>
      <c r="IAF15"/>
      <c r="IAG15"/>
      <c r="IAH15"/>
      <c r="IAI15"/>
      <c r="IAJ15"/>
      <c r="IAK15"/>
      <c r="IAL15"/>
      <c r="IAM15"/>
      <c r="IAN15"/>
      <c r="IAO15"/>
      <c r="IAP15"/>
      <c r="IAQ15"/>
      <c r="IAR15"/>
      <c r="IAS15"/>
      <c r="IAT15"/>
      <c r="IAU15"/>
      <c r="IAV15"/>
      <c r="IAW15"/>
      <c r="IAX15"/>
      <c r="IAY15"/>
      <c r="IAZ15"/>
      <c r="IBA15"/>
      <c r="IBB15"/>
      <c r="IBC15"/>
      <c r="IBD15"/>
      <c r="IBE15"/>
      <c r="IBF15"/>
      <c r="IBG15"/>
      <c r="IBH15"/>
      <c r="IBI15"/>
      <c r="IBJ15"/>
      <c r="IBK15"/>
      <c r="IBL15"/>
      <c r="IBM15"/>
      <c r="IBN15"/>
      <c r="IBO15"/>
      <c r="IBP15"/>
      <c r="IBQ15"/>
      <c r="IBR15"/>
      <c r="IBS15"/>
      <c r="IBT15"/>
      <c r="IBU15"/>
      <c r="IBV15"/>
      <c r="IBW15"/>
      <c r="IBX15"/>
      <c r="IBY15"/>
      <c r="IBZ15"/>
      <c r="ICA15"/>
      <c r="ICB15"/>
      <c r="ICC15"/>
      <c r="ICD15"/>
      <c r="ICE15"/>
      <c r="ICF15"/>
      <c r="ICG15"/>
      <c r="ICH15"/>
      <c r="ICI15"/>
      <c r="ICJ15"/>
      <c r="ICK15"/>
      <c r="ICL15"/>
      <c r="ICM15"/>
      <c r="ICN15"/>
      <c r="ICO15"/>
      <c r="ICP15"/>
      <c r="ICQ15"/>
      <c r="ICR15"/>
      <c r="ICS15"/>
      <c r="ICT15"/>
      <c r="ICU15"/>
      <c r="ICV15"/>
      <c r="ICW15"/>
      <c r="ICX15"/>
      <c r="ICY15"/>
      <c r="ICZ15"/>
      <c r="IDA15"/>
      <c r="IDB15"/>
      <c r="IDC15"/>
      <c r="IDD15"/>
      <c r="IDE15"/>
      <c r="IDF15"/>
      <c r="IDG15"/>
      <c r="IDH15"/>
      <c r="IDI15"/>
      <c r="IDJ15"/>
      <c r="IDK15"/>
      <c r="IDL15"/>
      <c r="IDM15"/>
      <c r="IDN15"/>
      <c r="IDO15"/>
      <c r="IDP15"/>
      <c r="IDQ15"/>
      <c r="IDR15"/>
      <c r="IDS15"/>
      <c r="IDT15"/>
      <c r="IDU15"/>
      <c r="IDV15"/>
      <c r="IDW15"/>
      <c r="IDX15"/>
      <c r="IDY15"/>
      <c r="IDZ15"/>
      <c r="IEA15"/>
      <c r="IEB15"/>
      <c r="IEC15"/>
      <c r="IED15"/>
      <c r="IEE15"/>
      <c r="IEF15"/>
      <c r="IEG15"/>
      <c r="IEH15"/>
      <c r="IEI15"/>
      <c r="IEJ15"/>
      <c r="IEK15"/>
      <c r="IEL15"/>
      <c r="IEM15"/>
      <c r="IEN15"/>
      <c r="IEO15"/>
      <c r="IEP15"/>
      <c r="IEQ15"/>
      <c r="IER15"/>
      <c r="IES15"/>
      <c r="IET15"/>
      <c r="IEU15"/>
      <c r="IEV15"/>
      <c r="IEW15"/>
      <c r="IEX15"/>
      <c r="IEY15"/>
      <c r="IEZ15"/>
      <c r="IFA15"/>
      <c r="IFB15"/>
      <c r="IFC15"/>
      <c r="IFD15"/>
      <c r="IFE15"/>
      <c r="IFF15"/>
      <c r="IFG15"/>
      <c r="IFH15"/>
      <c r="IFI15"/>
      <c r="IFJ15"/>
      <c r="IFK15"/>
      <c r="IFL15"/>
      <c r="IFM15"/>
      <c r="IFN15"/>
      <c r="IFO15"/>
      <c r="IFP15"/>
      <c r="IFQ15"/>
      <c r="IFR15"/>
      <c r="IFS15"/>
      <c r="IFT15"/>
      <c r="IFU15"/>
      <c r="IFV15"/>
      <c r="IFW15"/>
      <c r="IFX15"/>
      <c r="IFY15"/>
      <c r="IFZ15"/>
      <c r="IGA15"/>
      <c r="IGB15"/>
      <c r="IGC15"/>
      <c r="IGD15"/>
      <c r="IGE15"/>
      <c r="IGF15"/>
      <c r="IGG15"/>
      <c r="IGH15"/>
      <c r="IGI15"/>
      <c r="IGJ15"/>
      <c r="IGK15"/>
      <c r="IGL15"/>
      <c r="IGM15"/>
      <c r="IGN15"/>
      <c r="IGO15"/>
      <c r="IGP15"/>
      <c r="IGQ15"/>
      <c r="IGR15"/>
      <c r="IGS15"/>
      <c r="IGT15"/>
      <c r="IGU15"/>
      <c r="IGV15"/>
      <c r="IGW15"/>
      <c r="IGX15"/>
      <c r="IGY15"/>
      <c r="IGZ15"/>
      <c r="IHA15"/>
      <c r="IHB15"/>
      <c r="IHC15"/>
      <c r="IHD15"/>
      <c r="IHE15"/>
      <c r="IHF15"/>
      <c r="IHG15"/>
      <c r="IHH15"/>
      <c r="IHI15"/>
      <c r="IHJ15"/>
      <c r="IHK15"/>
      <c r="IHL15"/>
      <c r="IHM15"/>
      <c r="IHN15"/>
      <c r="IHO15"/>
      <c r="IHP15"/>
      <c r="IHQ15"/>
      <c r="IHR15"/>
      <c r="IHS15"/>
      <c r="IHT15"/>
      <c r="IHU15"/>
      <c r="IHV15"/>
      <c r="IHW15"/>
      <c r="IHX15"/>
      <c r="IHY15"/>
      <c r="IHZ15"/>
      <c r="IIA15"/>
      <c r="IIB15"/>
      <c r="IIC15"/>
      <c r="IID15"/>
      <c r="IIE15"/>
      <c r="IIF15"/>
      <c r="IIG15"/>
      <c r="IIH15"/>
      <c r="III15"/>
      <c r="IIJ15"/>
      <c r="IIK15"/>
      <c r="IIL15"/>
      <c r="IIM15"/>
      <c r="IIN15"/>
      <c r="IIO15"/>
      <c r="IIP15"/>
      <c r="IIQ15"/>
      <c r="IIR15"/>
      <c r="IIS15"/>
      <c r="IIT15"/>
      <c r="IIU15"/>
      <c r="IIV15"/>
      <c r="IIW15"/>
      <c r="IIX15"/>
      <c r="IIY15"/>
      <c r="IIZ15"/>
      <c r="IJA15"/>
      <c r="IJB15"/>
      <c r="IJC15"/>
      <c r="IJD15"/>
      <c r="IJE15"/>
      <c r="IJF15"/>
      <c r="IJG15"/>
      <c r="IJH15"/>
      <c r="IJI15"/>
      <c r="IJJ15"/>
      <c r="IJK15"/>
      <c r="IJL15"/>
      <c r="IJM15"/>
      <c r="IJN15"/>
      <c r="IJO15"/>
      <c r="IJP15"/>
      <c r="IJQ15"/>
      <c r="IJR15"/>
      <c r="IJS15"/>
      <c r="IJT15"/>
      <c r="IJU15"/>
      <c r="IJV15"/>
      <c r="IJW15"/>
      <c r="IJX15"/>
      <c r="IJY15"/>
      <c r="IJZ15"/>
      <c r="IKA15"/>
      <c r="IKB15"/>
      <c r="IKC15"/>
      <c r="IKD15"/>
      <c r="IKE15"/>
      <c r="IKF15"/>
      <c r="IKG15"/>
      <c r="IKH15"/>
      <c r="IKI15"/>
      <c r="IKJ15"/>
      <c r="IKK15"/>
      <c r="IKL15"/>
      <c r="IKM15"/>
      <c r="IKN15"/>
      <c r="IKO15"/>
      <c r="IKP15"/>
      <c r="IKQ15"/>
      <c r="IKR15"/>
      <c r="IKS15"/>
      <c r="IKT15"/>
      <c r="IKU15"/>
      <c r="IKV15"/>
      <c r="IKW15"/>
      <c r="IKX15"/>
      <c r="IKY15"/>
      <c r="IKZ15"/>
      <c r="ILA15"/>
      <c r="ILB15"/>
      <c r="ILC15"/>
      <c r="ILD15"/>
      <c r="ILE15"/>
      <c r="ILF15"/>
      <c r="ILG15"/>
      <c r="ILH15"/>
      <c r="ILI15"/>
      <c r="ILJ15"/>
      <c r="ILK15"/>
      <c r="ILL15"/>
      <c r="ILM15"/>
      <c r="ILN15"/>
      <c r="ILO15"/>
      <c r="ILP15"/>
      <c r="ILQ15"/>
      <c r="ILR15"/>
      <c r="ILS15"/>
      <c r="ILT15"/>
      <c r="ILU15"/>
      <c r="ILV15"/>
      <c r="ILW15"/>
      <c r="ILX15"/>
      <c r="ILY15"/>
      <c r="ILZ15"/>
      <c r="IMA15"/>
      <c r="IMB15"/>
      <c r="IMC15"/>
      <c r="IMD15"/>
      <c r="IME15"/>
      <c r="IMF15"/>
      <c r="IMG15"/>
      <c r="IMH15"/>
      <c r="IMI15"/>
      <c r="IMJ15"/>
      <c r="IMK15"/>
      <c r="IML15"/>
      <c r="IMM15"/>
      <c r="IMN15"/>
      <c r="IMO15"/>
      <c r="IMP15"/>
      <c r="IMQ15"/>
      <c r="IMR15"/>
      <c r="IMS15"/>
      <c r="IMT15"/>
      <c r="IMU15"/>
      <c r="IMV15"/>
      <c r="IMW15"/>
      <c r="IMX15"/>
      <c r="IMY15"/>
      <c r="IMZ15"/>
      <c r="INA15"/>
      <c r="INB15"/>
      <c r="INC15"/>
      <c r="IND15"/>
      <c r="INE15"/>
      <c r="INF15"/>
      <c r="ING15"/>
      <c r="INH15"/>
      <c r="INI15"/>
      <c r="INJ15"/>
      <c r="INK15"/>
      <c r="INL15"/>
      <c r="INM15"/>
      <c r="INN15"/>
      <c r="INO15"/>
      <c r="INP15"/>
      <c r="INQ15"/>
      <c r="INR15"/>
      <c r="INS15"/>
      <c r="INT15"/>
      <c r="INU15"/>
      <c r="INV15"/>
      <c r="INW15"/>
      <c r="INX15"/>
      <c r="INY15"/>
      <c r="INZ15"/>
      <c r="IOA15"/>
      <c r="IOB15"/>
      <c r="IOC15"/>
      <c r="IOD15"/>
      <c r="IOE15"/>
      <c r="IOF15"/>
      <c r="IOG15"/>
      <c r="IOH15"/>
      <c r="IOI15"/>
      <c r="IOJ15"/>
      <c r="IOK15"/>
      <c r="IOL15"/>
      <c r="IOM15"/>
      <c r="ION15"/>
      <c r="IOO15"/>
      <c r="IOP15"/>
      <c r="IOQ15"/>
      <c r="IOR15"/>
      <c r="IOS15"/>
      <c r="IOT15"/>
      <c r="IOU15"/>
      <c r="IOV15"/>
      <c r="IOW15"/>
      <c r="IOX15"/>
      <c r="IOY15"/>
      <c r="IOZ15"/>
      <c r="IPA15"/>
      <c r="IPB15"/>
      <c r="IPC15"/>
      <c r="IPD15"/>
      <c r="IPE15"/>
      <c r="IPF15"/>
      <c r="IPG15"/>
      <c r="IPH15"/>
      <c r="IPI15"/>
      <c r="IPJ15"/>
      <c r="IPK15"/>
      <c r="IPL15"/>
      <c r="IPM15"/>
      <c r="IPN15"/>
      <c r="IPO15"/>
      <c r="IPP15"/>
      <c r="IPQ15"/>
      <c r="IPR15"/>
      <c r="IPS15"/>
      <c r="IPT15"/>
      <c r="IPU15"/>
      <c r="IPV15"/>
      <c r="IPW15"/>
      <c r="IPX15"/>
      <c r="IPY15"/>
      <c r="IPZ15"/>
      <c r="IQA15"/>
      <c r="IQB15"/>
      <c r="IQC15"/>
      <c r="IQD15"/>
      <c r="IQE15"/>
      <c r="IQF15"/>
      <c r="IQG15"/>
      <c r="IQH15"/>
      <c r="IQI15"/>
      <c r="IQJ15"/>
      <c r="IQK15"/>
      <c r="IQL15"/>
      <c r="IQM15"/>
      <c r="IQN15"/>
      <c r="IQO15"/>
      <c r="IQP15"/>
      <c r="IQQ15"/>
      <c r="IQR15"/>
      <c r="IQS15"/>
      <c r="IQT15"/>
      <c r="IQU15"/>
      <c r="IQV15"/>
      <c r="IQW15"/>
      <c r="IQX15"/>
      <c r="IQY15"/>
      <c r="IQZ15"/>
      <c r="IRA15"/>
      <c r="IRB15"/>
      <c r="IRC15"/>
      <c r="IRD15"/>
      <c r="IRE15"/>
      <c r="IRF15"/>
      <c r="IRG15"/>
      <c r="IRH15"/>
      <c r="IRI15"/>
      <c r="IRJ15"/>
      <c r="IRK15"/>
      <c r="IRL15"/>
      <c r="IRM15"/>
      <c r="IRN15"/>
      <c r="IRO15"/>
      <c r="IRP15"/>
      <c r="IRQ15"/>
      <c r="IRR15"/>
      <c r="IRS15"/>
      <c r="IRT15"/>
      <c r="IRU15"/>
      <c r="IRV15"/>
      <c r="IRW15"/>
      <c r="IRX15"/>
      <c r="IRY15"/>
      <c r="IRZ15"/>
      <c r="ISA15"/>
      <c r="ISB15"/>
      <c r="ISC15"/>
      <c r="ISD15"/>
      <c r="ISE15"/>
      <c r="ISF15"/>
      <c r="ISG15"/>
      <c r="ISH15"/>
      <c r="ISI15"/>
      <c r="ISJ15"/>
      <c r="ISK15"/>
      <c r="ISL15"/>
      <c r="ISM15"/>
      <c r="ISN15"/>
      <c r="ISO15"/>
      <c r="ISP15"/>
      <c r="ISQ15"/>
      <c r="ISR15"/>
      <c r="ISS15"/>
      <c r="IST15"/>
      <c r="ISU15"/>
      <c r="ISV15"/>
      <c r="ISW15"/>
      <c r="ISX15"/>
      <c r="ISY15"/>
      <c r="ISZ15"/>
      <c r="ITA15"/>
      <c r="ITB15"/>
      <c r="ITC15"/>
      <c r="ITD15"/>
      <c r="ITE15"/>
      <c r="ITF15"/>
      <c r="ITG15"/>
      <c r="ITH15"/>
      <c r="ITI15"/>
      <c r="ITJ15"/>
      <c r="ITK15"/>
      <c r="ITL15"/>
      <c r="ITM15"/>
      <c r="ITN15"/>
      <c r="ITO15"/>
      <c r="ITP15"/>
      <c r="ITQ15"/>
      <c r="ITR15"/>
      <c r="ITS15"/>
      <c r="ITT15"/>
      <c r="ITU15"/>
      <c r="ITV15"/>
      <c r="ITW15"/>
      <c r="ITX15"/>
      <c r="ITY15"/>
      <c r="ITZ15"/>
      <c r="IUA15"/>
      <c r="IUB15"/>
      <c r="IUC15"/>
      <c r="IUD15"/>
      <c r="IUE15"/>
      <c r="IUF15"/>
      <c r="IUG15"/>
      <c r="IUH15"/>
      <c r="IUI15"/>
      <c r="IUJ15"/>
      <c r="IUK15"/>
      <c r="IUL15"/>
      <c r="IUM15"/>
      <c r="IUN15"/>
      <c r="IUO15"/>
      <c r="IUP15"/>
      <c r="IUQ15"/>
      <c r="IUR15"/>
      <c r="IUS15"/>
      <c r="IUT15"/>
      <c r="IUU15"/>
      <c r="IUV15"/>
      <c r="IUW15"/>
      <c r="IUX15"/>
      <c r="IUY15"/>
      <c r="IUZ15"/>
      <c r="IVA15"/>
      <c r="IVB15"/>
      <c r="IVC15"/>
      <c r="IVD15"/>
      <c r="IVE15"/>
      <c r="IVF15"/>
      <c r="IVG15"/>
      <c r="IVH15"/>
      <c r="IVI15"/>
      <c r="IVJ15"/>
      <c r="IVK15"/>
      <c r="IVL15"/>
      <c r="IVM15"/>
      <c r="IVN15"/>
      <c r="IVO15"/>
      <c r="IVP15"/>
      <c r="IVQ15"/>
      <c r="IVR15"/>
      <c r="IVS15"/>
      <c r="IVT15"/>
      <c r="IVU15"/>
      <c r="IVV15"/>
      <c r="IVW15"/>
      <c r="IVX15"/>
      <c r="IVY15"/>
      <c r="IVZ15"/>
      <c r="IWA15"/>
      <c r="IWB15"/>
      <c r="IWC15"/>
      <c r="IWD15"/>
      <c r="IWE15"/>
      <c r="IWF15"/>
      <c r="IWG15"/>
      <c r="IWH15"/>
      <c r="IWI15"/>
      <c r="IWJ15"/>
      <c r="IWK15"/>
      <c r="IWL15"/>
      <c r="IWM15"/>
      <c r="IWN15"/>
      <c r="IWO15"/>
      <c r="IWP15"/>
      <c r="IWQ15"/>
      <c r="IWR15"/>
      <c r="IWS15"/>
      <c r="IWT15"/>
      <c r="IWU15"/>
      <c r="IWV15"/>
      <c r="IWW15"/>
      <c r="IWX15"/>
      <c r="IWY15"/>
      <c r="IWZ15"/>
      <c r="IXA15"/>
      <c r="IXB15"/>
      <c r="IXC15"/>
      <c r="IXD15"/>
      <c r="IXE15"/>
      <c r="IXF15"/>
      <c r="IXG15"/>
      <c r="IXH15"/>
      <c r="IXI15"/>
      <c r="IXJ15"/>
      <c r="IXK15"/>
      <c r="IXL15"/>
      <c r="IXM15"/>
      <c r="IXN15"/>
      <c r="IXO15"/>
      <c r="IXP15"/>
      <c r="IXQ15"/>
      <c r="IXR15"/>
      <c r="IXS15"/>
      <c r="IXT15"/>
      <c r="IXU15"/>
      <c r="IXV15"/>
      <c r="IXW15"/>
      <c r="IXX15"/>
      <c r="IXY15"/>
      <c r="IXZ15"/>
      <c r="IYA15"/>
      <c r="IYB15"/>
      <c r="IYC15"/>
      <c r="IYD15"/>
      <c r="IYE15"/>
      <c r="IYF15"/>
      <c r="IYG15"/>
      <c r="IYH15"/>
      <c r="IYI15"/>
      <c r="IYJ15"/>
      <c r="IYK15"/>
      <c r="IYL15"/>
      <c r="IYM15"/>
      <c r="IYN15"/>
      <c r="IYO15"/>
      <c r="IYP15"/>
      <c r="IYQ15"/>
      <c r="IYR15"/>
      <c r="IYS15"/>
      <c r="IYT15"/>
      <c r="IYU15"/>
      <c r="IYV15"/>
      <c r="IYW15"/>
      <c r="IYX15"/>
      <c r="IYY15"/>
      <c r="IYZ15"/>
      <c r="IZA15"/>
      <c r="IZB15"/>
      <c r="IZC15"/>
      <c r="IZD15"/>
      <c r="IZE15"/>
      <c r="IZF15"/>
      <c r="IZG15"/>
      <c r="IZH15"/>
      <c r="IZI15"/>
      <c r="IZJ15"/>
      <c r="IZK15"/>
      <c r="IZL15"/>
      <c r="IZM15"/>
      <c r="IZN15"/>
      <c r="IZO15"/>
      <c r="IZP15"/>
      <c r="IZQ15"/>
      <c r="IZR15"/>
      <c r="IZS15"/>
      <c r="IZT15"/>
      <c r="IZU15"/>
      <c r="IZV15"/>
      <c r="IZW15"/>
      <c r="IZX15"/>
      <c r="IZY15"/>
      <c r="IZZ15"/>
      <c r="JAA15"/>
      <c r="JAB15"/>
      <c r="JAC15"/>
      <c r="JAD15"/>
      <c r="JAE15"/>
      <c r="JAF15"/>
      <c r="JAG15"/>
      <c r="JAH15"/>
      <c r="JAI15"/>
      <c r="JAJ15"/>
      <c r="JAK15"/>
      <c r="JAL15"/>
      <c r="JAM15"/>
      <c r="JAN15"/>
      <c r="JAO15"/>
      <c r="JAP15"/>
      <c r="JAQ15"/>
      <c r="JAR15"/>
      <c r="JAS15"/>
      <c r="JAT15"/>
      <c r="JAU15"/>
      <c r="JAV15"/>
      <c r="JAW15"/>
      <c r="JAX15"/>
      <c r="JAY15"/>
      <c r="JAZ15"/>
      <c r="JBA15"/>
      <c r="JBB15"/>
      <c r="JBC15"/>
      <c r="JBD15"/>
      <c r="JBE15"/>
      <c r="JBF15"/>
      <c r="JBG15"/>
      <c r="JBH15"/>
      <c r="JBI15"/>
      <c r="JBJ15"/>
      <c r="JBK15"/>
      <c r="JBL15"/>
      <c r="JBM15"/>
      <c r="JBN15"/>
      <c r="JBO15"/>
      <c r="JBP15"/>
      <c r="JBQ15"/>
      <c r="JBR15"/>
      <c r="JBS15"/>
      <c r="JBT15"/>
      <c r="JBU15"/>
      <c r="JBV15"/>
      <c r="JBW15"/>
      <c r="JBX15"/>
      <c r="JBY15"/>
      <c r="JBZ15"/>
      <c r="JCA15"/>
      <c r="JCB15"/>
      <c r="JCC15"/>
      <c r="JCD15"/>
      <c r="JCE15"/>
      <c r="JCF15"/>
      <c r="JCG15"/>
      <c r="JCH15"/>
      <c r="JCI15"/>
      <c r="JCJ15"/>
      <c r="JCK15"/>
      <c r="JCL15"/>
      <c r="JCM15"/>
      <c r="JCN15"/>
      <c r="JCO15"/>
      <c r="JCP15"/>
      <c r="JCQ15"/>
      <c r="JCR15"/>
      <c r="JCS15"/>
      <c r="JCT15"/>
      <c r="JCU15"/>
      <c r="JCV15"/>
      <c r="JCW15"/>
      <c r="JCX15"/>
      <c r="JCY15"/>
      <c r="JCZ15"/>
      <c r="JDA15"/>
      <c r="JDB15"/>
      <c r="JDC15"/>
      <c r="JDD15"/>
      <c r="JDE15"/>
      <c r="JDF15"/>
      <c r="JDG15"/>
      <c r="JDH15"/>
      <c r="JDI15"/>
      <c r="JDJ15"/>
      <c r="JDK15"/>
      <c r="JDL15"/>
      <c r="JDM15"/>
      <c r="JDN15"/>
      <c r="JDO15"/>
      <c r="JDP15"/>
      <c r="JDQ15"/>
      <c r="JDR15"/>
      <c r="JDS15"/>
      <c r="JDT15"/>
      <c r="JDU15"/>
      <c r="JDV15"/>
      <c r="JDW15"/>
      <c r="JDX15"/>
      <c r="JDY15"/>
      <c r="JDZ15"/>
      <c r="JEA15"/>
      <c r="JEB15"/>
      <c r="JEC15"/>
      <c r="JED15"/>
      <c r="JEE15"/>
      <c r="JEF15"/>
      <c r="JEG15"/>
      <c r="JEH15"/>
      <c r="JEI15"/>
      <c r="JEJ15"/>
      <c r="JEK15"/>
      <c r="JEL15"/>
      <c r="JEM15"/>
      <c r="JEN15"/>
      <c r="JEO15"/>
      <c r="JEP15"/>
      <c r="JEQ15"/>
      <c r="JER15"/>
      <c r="JES15"/>
      <c r="JET15"/>
      <c r="JEU15"/>
      <c r="JEV15"/>
      <c r="JEW15"/>
      <c r="JEX15"/>
      <c r="JEY15"/>
      <c r="JEZ15"/>
      <c r="JFA15"/>
      <c r="JFB15"/>
      <c r="JFC15"/>
      <c r="JFD15"/>
      <c r="JFE15"/>
      <c r="JFF15"/>
      <c r="JFG15"/>
      <c r="JFH15"/>
      <c r="JFI15"/>
      <c r="JFJ15"/>
      <c r="JFK15"/>
      <c r="JFL15"/>
      <c r="JFM15"/>
      <c r="JFN15"/>
      <c r="JFO15"/>
      <c r="JFP15"/>
      <c r="JFQ15"/>
      <c r="JFR15"/>
      <c r="JFS15"/>
      <c r="JFT15"/>
      <c r="JFU15"/>
      <c r="JFV15"/>
      <c r="JFW15"/>
      <c r="JFX15"/>
      <c r="JFY15"/>
      <c r="JFZ15"/>
      <c r="JGA15"/>
      <c r="JGB15"/>
      <c r="JGC15"/>
      <c r="JGD15"/>
      <c r="JGE15"/>
      <c r="JGF15"/>
      <c r="JGG15"/>
      <c r="JGH15"/>
      <c r="JGI15"/>
      <c r="JGJ15"/>
      <c r="JGK15"/>
      <c r="JGL15"/>
      <c r="JGM15"/>
      <c r="JGN15"/>
      <c r="JGO15"/>
      <c r="JGP15"/>
      <c r="JGQ15"/>
      <c r="JGR15"/>
      <c r="JGS15"/>
      <c r="JGT15"/>
      <c r="JGU15"/>
      <c r="JGV15"/>
      <c r="JGW15"/>
      <c r="JGX15"/>
      <c r="JGY15"/>
      <c r="JGZ15"/>
      <c r="JHA15"/>
      <c r="JHB15"/>
      <c r="JHC15"/>
      <c r="JHD15"/>
      <c r="JHE15"/>
      <c r="JHF15"/>
      <c r="JHG15"/>
      <c r="JHH15"/>
      <c r="JHI15"/>
      <c r="JHJ15"/>
      <c r="JHK15"/>
      <c r="JHL15"/>
      <c r="JHM15"/>
      <c r="JHN15"/>
      <c r="JHO15"/>
      <c r="JHP15"/>
      <c r="JHQ15"/>
      <c r="JHR15"/>
      <c r="JHS15"/>
      <c r="JHT15"/>
      <c r="JHU15"/>
      <c r="JHV15"/>
      <c r="JHW15"/>
      <c r="JHX15"/>
      <c r="JHY15"/>
      <c r="JHZ15"/>
      <c r="JIA15"/>
      <c r="JIB15"/>
      <c r="JIC15"/>
      <c r="JID15"/>
      <c r="JIE15"/>
      <c r="JIF15"/>
      <c r="JIG15"/>
      <c r="JIH15"/>
      <c r="JII15"/>
      <c r="JIJ15"/>
      <c r="JIK15"/>
      <c r="JIL15"/>
      <c r="JIM15"/>
      <c r="JIN15"/>
      <c r="JIO15"/>
      <c r="JIP15"/>
      <c r="JIQ15"/>
      <c r="JIR15"/>
      <c r="JIS15"/>
      <c r="JIT15"/>
      <c r="JIU15"/>
      <c r="JIV15"/>
      <c r="JIW15"/>
      <c r="JIX15"/>
      <c r="JIY15"/>
      <c r="JIZ15"/>
      <c r="JJA15"/>
      <c r="JJB15"/>
      <c r="JJC15"/>
      <c r="JJD15"/>
      <c r="JJE15"/>
      <c r="JJF15"/>
      <c r="JJG15"/>
      <c r="JJH15"/>
      <c r="JJI15"/>
      <c r="JJJ15"/>
      <c r="JJK15"/>
      <c r="JJL15"/>
      <c r="JJM15"/>
      <c r="JJN15"/>
      <c r="JJO15"/>
      <c r="JJP15"/>
      <c r="JJQ15"/>
      <c r="JJR15"/>
      <c r="JJS15"/>
      <c r="JJT15"/>
      <c r="JJU15"/>
      <c r="JJV15"/>
      <c r="JJW15"/>
      <c r="JJX15"/>
      <c r="JJY15"/>
      <c r="JJZ15"/>
      <c r="JKA15"/>
      <c r="JKB15"/>
      <c r="JKC15"/>
      <c r="JKD15"/>
      <c r="JKE15"/>
      <c r="JKF15"/>
      <c r="JKG15"/>
      <c r="JKH15"/>
      <c r="JKI15"/>
      <c r="JKJ15"/>
      <c r="JKK15"/>
      <c r="JKL15"/>
      <c r="JKM15"/>
      <c r="JKN15"/>
      <c r="JKO15"/>
      <c r="JKP15"/>
      <c r="JKQ15"/>
      <c r="JKR15"/>
      <c r="JKS15"/>
      <c r="JKT15"/>
      <c r="JKU15"/>
      <c r="JKV15"/>
      <c r="JKW15"/>
      <c r="JKX15"/>
      <c r="JKY15"/>
      <c r="JKZ15"/>
      <c r="JLA15"/>
      <c r="JLB15"/>
      <c r="JLC15"/>
      <c r="JLD15"/>
      <c r="JLE15"/>
      <c r="JLF15"/>
      <c r="JLG15"/>
      <c r="JLH15"/>
      <c r="JLI15"/>
      <c r="JLJ15"/>
      <c r="JLK15"/>
      <c r="JLL15"/>
      <c r="JLM15"/>
      <c r="JLN15"/>
      <c r="JLO15"/>
      <c r="JLP15"/>
      <c r="JLQ15"/>
      <c r="JLR15"/>
      <c r="JLS15"/>
      <c r="JLT15"/>
      <c r="JLU15"/>
      <c r="JLV15"/>
      <c r="JLW15"/>
      <c r="JLX15"/>
      <c r="JLY15"/>
      <c r="JLZ15"/>
      <c r="JMA15"/>
      <c r="JMB15"/>
      <c r="JMC15"/>
      <c r="JMD15"/>
      <c r="JME15"/>
      <c r="JMF15"/>
      <c r="JMG15"/>
      <c r="JMH15"/>
      <c r="JMI15"/>
      <c r="JMJ15"/>
      <c r="JMK15"/>
      <c r="JML15"/>
      <c r="JMM15"/>
      <c r="JMN15"/>
      <c r="JMO15"/>
      <c r="JMP15"/>
      <c r="JMQ15"/>
      <c r="JMR15"/>
      <c r="JMS15"/>
      <c r="JMT15"/>
      <c r="JMU15"/>
      <c r="JMV15"/>
      <c r="JMW15"/>
      <c r="JMX15"/>
      <c r="JMY15"/>
      <c r="JMZ15"/>
      <c r="JNA15"/>
      <c r="JNB15"/>
      <c r="JNC15"/>
      <c r="JND15"/>
      <c r="JNE15"/>
      <c r="JNF15"/>
      <c r="JNG15"/>
      <c r="JNH15"/>
      <c r="JNI15"/>
      <c r="JNJ15"/>
      <c r="JNK15"/>
      <c r="JNL15"/>
      <c r="JNM15"/>
      <c r="JNN15"/>
      <c r="JNO15"/>
      <c r="JNP15"/>
      <c r="JNQ15"/>
      <c r="JNR15"/>
      <c r="JNS15"/>
      <c r="JNT15"/>
      <c r="JNU15"/>
      <c r="JNV15"/>
      <c r="JNW15"/>
      <c r="JNX15"/>
      <c r="JNY15"/>
      <c r="JNZ15"/>
      <c r="JOA15"/>
      <c r="JOB15"/>
      <c r="JOC15"/>
      <c r="JOD15"/>
      <c r="JOE15"/>
      <c r="JOF15"/>
      <c r="JOG15"/>
      <c r="JOH15"/>
      <c r="JOI15"/>
      <c r="JOJ15"/>
      <c r="JOK15"/>
      <c r="JOL15"/>
      <c r="JOM15"/>
      <c r="JON15"/>
      <c r="JOO15"/>
      <c r="JOP15"/>
      <c r="JOQ15"/>
      <c r="JOR15"/>
      <c r="JOS15"/>
      <c r="JOT15"/>
      <c r="JOU15"/>
      <c r="JOV15"/>
      <c r="JOW15"/>
      <c r="JOX15"/>
      <c r="JOY15"/>
      <c r="JOZ15"/>
      <c r="JPA15"/>
      <c r="JPB15"/>
      <c r="JPC15"/>
      <c r="JPD15"/>
      <c r="JPE15"/>
      <c r="JPF15"/>
      <c r="JPG15"/>
      <c r="JPH15"/>
      <c r="JPI15"/>
      <c r="JPJ15"/>
      <c r="JPK15"/>
      <c r="JPL15"/>
      <c r="JPM15"/>
      <c r="JPN15"/>
      <c r="JPO15"/>
      <c r="JPP15"/>
      <c r="JPQ15"/>
      <c r="JPR15"/>
      <c r="JPS15"/>
      <c r="JPT15"/>
      <c r="JPU15"/>
      <c r="JPV15"/>
      <c r="JPW15"/>
      <c r="JPX15"/>
      <c r="JPY15"/>
      <c r="JPZ15"/>
      <c r="JQA15"/>
      <c r="JQB15"/>
      <c r="JQC15"/>
      <c r="JQD15"/>
      <c r="JQE15"/>
      <c r="JQF15"/>
      <c r="JQG15"/>
      <c r="JQH15"/>
      <c r="JQI15"/>
      <c r="JQJ15"/>
      <c r="JQK15"/>
      <c r="JQL15"/>
      <c r="JQM15"/>
      <c r="JQN15"/>
      <c r="JQO15"/>
      <c r="JQP15"/>
      <c r="JQQ15"/>
      <c r="JQR15"/>
      <c r="JQS15"/>
      <c r="JQT15"/>
      <c r="JQU15"/>
      <c r="JQV15"/>
      <c r="JQW15"/>
      <c r="JQX15"/>
      <c r="JQY15"/>
      <c r="JQZ15"/>
      <c r="JRA15"/>
      <c r="JRB15"/>
      <c r="JRC15"/>
      <c r="JRD15"/>
      <c r="JRE15"/>
      <c r="JRF15"/>
      <c r="JRG15"/>
      <c r="JRH15"/>
      <c r="JRI15"/>
      <c r="JRJ15"/>
      <c r="JRK15"/>
      <c r="JRL15"/>
      <c r="JRM15"/>
      <c r="JRN15"/>
      <c r="JRO15"/>
      <c r="JRP15"/>
      <c r="JRQ15"/>
      <c r="JRR15"/>
      <c r="JRS15"/>
      <c r="JRT15"/>
      <c r="JRU15"/>
      <c r="JRV15"/>
      <c r="JRW15"/>
      <c r="JRX15"/>
      <c r="JRY15"/>
      <c r="JRZ15"/>
      <c r="JSA15"/>
      <c r="JSB15"/>
      <c r="JSC15"/>
      <c r="JSD15"/>
      <c r="JSE15"/>
      <c r="JSF15"/>
      <c r="JSG15"/>
      <c r="JSH15"/>
      <c r="JSI15"/>
      <c r="JSJ15"/>
      <c r="JSK15"/>
      <c r="JSL15"/>
      <c r="JSM15"/>
      <c r="JSN15"/>
      <c r="JSO15"/>
      <c r="JSP15"/>
      <c r="JSQ15"/>
      <c r="JSR15"/>
      <c r="JSS15"/>
      <c r="JST15"/>
      <c r="JSU15"/>
      <c r="JSV15"/>
      <c r="JSW15"/>
      <c r="JSX15"/>
      <c r="JSY15"/>
      <c r="JSZ15"/>
      <c r="JTA15"/>
      <c r="JTB15"/>
      <c r="JTC15"/>
      <c r="JTD15"/>
      <c r="JTE15"/>
      <c r="JTF15"/>
      <c r="JTG15"/>
      <c r="JTH15"/>
      <c r="JTI15"/>
      <c r="JTJ15"/>
      <c r="JTK15"/>
      <c r="JTL15"/>
      <c r="JTM15"/>
      <c r="JTN15"/>
      <c r="JTO15"/>
      <c r="JTP15"/>
      <c r="JTQ15"/>
      <c r="JTR15"/>
      <c r="JTS15"/>
      <c r="JTT15"/>
      <c r="JTU15"/>
      <c r="JTV15"/>
      <c r="JTW15"/>
      <c r="JTX15"/>
      <c r="JTY15"/>
      <c r="JTZ15"/>
      <c r="JUA15"/>
      <c r="JUB15"/>
      <c r="JUC15"/>
      <c r="JUD15"/>
      <c r="JUE15"/>
      <c r="JUF15"/>
      <c r="JUG15"/>
      <c r="JUH15"/>
      <c r="JUI15"/>
      <c r="JUJ15"/>
      <c r="JUK15"/>
      <c r="JUL15"/>
      <c r="JUM15"/>
      <c r="JUN15"/>
      <c r="JUO15"/>
      <c r="JUP15"/>
      <c r="JUQ15"/>
      <c r="JUR15"/>
      <c r="JUS15"/>
      <c r="JUT15"/>
      <c r="JUU15"/>
      <c r="JUV15"/>
      <c r="JUW15"/>
      <c r="JUX15"/>
      <c r="JUY15"/>
      <c r="JUZ15"/>
      <c r="JVA15"/>
      <c r="JVB15"/>
      <c r="JVC15"/>
      <c r="JVD15"/>
      <c r="JVE15"/>
      <c r="JVF15"/>
      <c r="JVG15"/>
      <c r="JVH15"/>
      <c r="JVI15"/>
      <c r="JVJ15"/>
      <c r="JVK15"/>
      <c r="JVL15"/>
      <c r="JVM15"/>
      <c r="JVN15"/>
      <c r="JVO15"/>
      <c r="JVP15"/>
      <c r="JVQ15"/>
      <c r="JVR15"/>
      <c r="JVS15"/>
      <c r="JVT15"/>
      <c r="JVU15"/>
      <c r="JVV15"/>
      <c r="JVW15"/>
      <c r="JVX15"/>
      <c r="JVY15"/>
      <c r="JVZ15"/>
      <c r="JWA15"/>
      <c r="JWB15"/>
      <c r="JWC15"/>
      <c r="JWD15"/>
      <c r="JWE15"/>
      <c r="JWF15"/>
      <c r="JWG15"/>
      <c r="JWH15"/>
      <c r="JWI15"/>
      <c r="JWJ15"/>
      <c r="JWK15"/>
      <c r="JWL15"/>
      <c r="JWM15"/>
      <c r="JWN15"/>
      <c r="JWO15"/>
      <c r="JWP15"/>
      <c r="JWQ15"/>
      <c r="JWR15"/>
      <c r="JWS15"/>
      <c r="JWT15"/>
      <c r="JWU15"/>
      <c r="JWV15"/>
      <c r="JWW15"/>
      <c r="JWX15"/>
      <c r="JWY15"/>
      <c r="JWZ15"/>
      <c r="JXA15"/>
      <c r="JXB15"/>
      <c r="JXC15"/>
      <c r="JXD15"/>
      <c r="JXE15"/>
      <c r="JXF15"/>
      <c r="JXG15"/>
      <c r="JXH15"/>
      <c r="JXI15"/>
      <c r="JXJ15"/>
      <c r="JXK15"/>
      <c r="JXL15"/>
      <c r="JXM15"/>
      <c r="JXN15"/>
      <c r="JXO15"/>
      <c r="JXP15"/>
      <c r="JXQ15"/>
      <c r="JXR15"/>
      <c r="JXS15"/>
      <c r="JXT15"/>
      <c r="JXU15"/>
      <c r="JXV15"/>
      <c r="JXW15"/>
      <c r="JXX15"/>
      <c r="JXY15"/>
      <c r="JXZ15"/>
      <c r="JYA15"/>
      <c r="JYB15"/>
      <c r="JYC15"/>
      <c r="JYD15"/>
      <c r="JYE15"/>
      <c r="JYF15"/>
      <c r="JYG15"/>
      <c r="JYH15"/>
      <c r="JYI15"/>
      <c r="JYJ15"/>
      <c r="JYK15"/>
      <c r="JYL15"/>
      <c r="JYM15"/>
      <c r="JYN15"/>
      <c r="JYO15"/>
      <c r="JYP15"/>
      <c r="JYQ15"/>
      <c r="JYR15"/>
      <c r="JYS15"/>
      <c r="JYT15"/>
      <c r="JYU15"/>
      <c r="JYV15"/>
      <c r="JYW15"/>
      <c r="JYX15"/>
      <c r="JYY15"/>
      <c r="JYZ15"/>
      <c r="JZA15"/>
      <c r="JZB15"/>
      <c r="JZC15"/>
      <c r="JZD15"/>
      <c r="JZE15"/>
      <c r="JZF15"/>
      <c r="JZG15"/>
      <c r="JZH15"/>
      <c r="JZI15"/>
      <c r="JZJ15"/>
      <c r="JZK15"/>
      <c r="JZL15"/>
      <c r="JZM15"/>
      <c r="JZN15"/>
      <c r="JZO15"/>
      <c r="JZP15"/>
      <c r="JZQ15"/>
      <c r="JZR15"/>
      <c r="JZS15"/>
      <c r="JZT15"/>
      <c r="JZU15"/>
      <c r="JZV15"/>
      <c r="JZW15"/>
      <c r="JZX15"/>
      <c r="JZY15"/>
      <c r="JZZ15"/>
      <c r="KAA15"/>
      <c r="KAB15"/>
      <c r="KAC15"/>
      <c r="KAD15"/>
      <c r="KAE15"/>
      <c r="KAF15"/>
      <c r="KAG15"/>
      <c r="KAH15"/>
      <c r="KAI15"/>
      <c r="KAJ15"/>
      <c r="KAK15"/>
      <c r="KAL15"/>
      <c r="KAM15"/>
      <c r="KAN15"/>
      <c r="KAO15"/>
      <c r="KAP15"/>
      <c r="KAQ15"/>
      <c r="KAR15"/>
      <c r="KAS15"/>
      <c r="KAT15"/>
      <c r="KAU15"/>
      <c r="KAV15"/>
      <c r="KAW15"/>
      <c r="KAX15"/>
      <c r="KAY15"/>
      <c r="KAZ15"/>
      <c r="KBA15"/>
      <c r="KBB15"/>
      <c r="KBC15"/>
      <c r="KBD15"/>
      <c r="KBE15"/>
      <c r="KBF15"/>
      <c r="KBG15"/>
      <c r="KBH15"/>
      <c r="KBI15"/>
      <c r="KBJ15"/>
      <c r="KBK15"/>
      <c r="KBL15"/>
      <c r="KBM15"/>
      <c r="KBN15"/>
      <c r="KBO15"/>
      <c r="KBP15"/>
      <c r="KBQ15"/>
      <c r="KBR15"/>
      <c r="KBS15"/>
      <c r="KBT15"/>
      <c r="KBU15"/>
      <c r="KBV15"/>
      <c r="KBW15"/>
      <c r="KBX15"/>
      <c r="KBY15"/>
      <c r="KBZ15"/>
      <c r="KCA15"/>
      <c r="KCB15"/>
      <c r="KCC15"/>
      <c r="KCD15"/>
      <c r="KCE15"/>
      <c r="KCF15"/>
      <c r="KCG15"/>
      <c r="KCH15"/>
      <c r="KCI15"/>
      <c r="KCJ15"/>
      <c r="KCK15"/>
      <c r="KCL15"/>
      <c r="KCM15"/>
      <c r="KCN15"/>
      <c r="KCO15"/>
      <c r="KCP15"/>
      <c r="KCQ15"/>
      <c r="KCR15"/>
      <c r="KCS15"/>
      <c r="KCT15"/>
      <c r="KCU15"/>
      <c r="KCV15"/>
      <c r="KCW15"/>
      <c r="KCX15"/>
      <c r="KCY15"/>
      <c r="KCZ15"/>
      <c r="KDA15"/>
      <c r="KDB15"/>
      <c r="KDC15"/>
      <c r="KDD15"/>
      <c r="KDE15"/>
      <c r="KDF15"/>
      <c r="KDG15"/>
      <c r="KDH15"/>
      <c r="KDI15"/>
      <c r="KDJ15"/>
      <c r="KDK15"/>
      <c r="KDL15"/>
      <c r="KDM15"/>
      <c r="KDN15"/>
      <c r="KDO15"/>
      <c r="KDP15"/>
      <c r="KDQ15"/>
      <c r="KDR15"/>
      <c r="KDS15"/>
      <c r="KDT15"/>
      <c r="KDU15"/>
      <c r="KDV15"/>
      <c r="KDW15"/>
      <c r="KDX15"/>
      <c r="KDY15"/>
      <c r="KDZ15"/>
      <c r="KEA15"/>
      <c r="KEB15"/>
      <c r="KEC15"/>
      <c r="KED15"/>
      <c r="KEE15"/>
      <c r="KEF15"/>
      <c r="KEG15"/>
      <c r="KEH15"/>
      <c r="KEI15"/>
      <c r="KEJ15"/>
      <c r="KEK15"/>
      <c r="KEL15"/>
      <c r="KEM15"/>
      <c r="KEN15"/>
      <c r="KEO15"/>
      <c r="KEP15"/>
      <c r="KEQ15"/>
      <c r="KER15"/>
      <c r="KES15"/>
      <c r="KET15"/>
      <c r="KEU15"/>
      <c r="KEV15"/>
      <c r="KEW15"/>
      <c r="KEX15"/>
      <c r="KEY15"/>
      <c r="KEZ15"/>
      <c r="KFA15"/>
      <c r="KFB15"/>
      <c r="KFC15"/>
      <c r="KFD15"/>
      <c r="KFE15"/>
      <c r="KFF15"/>
      <c r="KFG15"/>
      <c r="KFH15"/>
      <c r="KFI15"/>
      <c r="KFJ15"/>
      <c r="KFK15"/>
      <c r="KFL15"/>
      <c r="KFM15"/>
      <c r="KFN15"/>
      <c r="KFO15"/>
      <c r="KFP15"/>
      <c r="KFQ15"/>
      <c r="KFR15"/>
      <c r="KFS15"/>
      <c r="KFT15"/>
      <c r="KFU15"/>
      <c r="KFV15"/>
      <c r="KFW15"/>
      <c r="KFX15"/>
      <c r="KFY15"/>
      <c r="KFZ15"/>
      <c r="KGA15"/>
      <c r="KGB15"/>
      <c r="KGC15"/>
      <c r="KGD15"/>
      <c r="KGE15"/>
      <c r="KGF15"/>
      <c r="KGG15"/>
      <c r="KGH15"/>
      <c r="KGI15"/>
      <c r="KGJ15"/>
      <c r="KGK15"/>
      <c r="KGL15"/>
      <c r="KGM15"/>
      <c r="KGN15"/>
      <c r="KGO15"/>
      <c r="KGP15"/>
      <c r="KGQ15"/>
      <c r="KGR15"/>
      <c r="KGS15"/>
      <c r="KGT15"/>
      <c r="KGU15"/>
      <c r="KGV15"/>
      <c r="KGW15"/>
      <c r="KGX15"/>
      <c r="KGY15"/>
      <c r="KGZ15"/>
      <c r="KHA15"/>
      <c r="KHB15"/>
      <c r="KHC15"/>
      <c r="KHD15"/>
      <c r="KHE15"/>
      <c r="KHF15"/>
      <c r="KHG15"/>
      <c r="KHH15"/>
      <c r="KHI15"/>
      <c r="KHJ15"/>
      <c r="KHK15"/>
      <c r="KHL15"/>
      <c r="KHM15"/>
      <c r="KHN15"/>
      <c r="KHO15"/>
      <c r="KHP15"/>
      <c r="KHQ15"/>
      <c r="KHR15"/>
      <c r="KHS15"/>
      <c r="KHT15"/>
      <c r="KHU15"/>
      <c r="KHV15"/>
      <c r="KHW15"/>
      <c r="KHX15"/>
      <c r="KHY15"/>
      <c r="KHZ15"/>
      <c r="KIA15"/>
      <c r="KIB15"/>
      <c r="KIC15"/>
      <c r="KID15"/>
      <c r="KIE15"/>
      <c r="KIF15"/>
      <c r="KIG15"/>
      <c r="KIH15"/>
      <c r="KII15"/>
      <c r="KIJ15"/>
      <c r="KIK15"/>
      <c r="KIL15"/>
      <c r="KIM15"/>
      <c r="KIN15"/>
      <c r="KIO15"/>
      <c r="KIP15"/>
      <c r="KIQ15"/>
      <c r="KIR15"/>
      <c r="KIS15"/>
      <c r="KIT15"/>
      <c r="KIU15"/>
      <c r="KIV15"/>
      <c r="KIW15"/>
      <c r="KIX15"/>
      <c r="KIY15"/>
      <c r="KIZ15"/>
      <c r="KJA15"/>
      <c r="KJB15"/>
      <c r="KJC15"/>
      <c r="KJD15"/>
      <c r="KJE15"/>
      <c r="KJF15"/>
      <c r="KJG15"/>
      <c r="KJH15"/>
      <c r="KJI15"/>
      <c r="KJJ15"/>
      <c r="KJK15"/>
      <c r="KJL15"/>
      <c r="KJM15"/>
      <c r="KJN15"/>
      <c r="KJO15"/>
      <c r="KJP15"/>
      <c r="KJQ15"/>
      <c r="KJR15"/>
      <c r="KJS15"/>
      <c r="KJT15"/>
      <c r="KJU15"/>
      <c r="KJV15"/>
      <c r="KJW15"/>
      <c r="KJX15"/>
      <c r="KJY15"/>
      <c r="KJZ15"/>
      <c r="KKA15"/>
      <c r="KKB15"/>
      <c r="KKC15"/>
      <c r="KKD15"/>
      <c r="KKE15"/>
      <c r="KKF15"/>
      <c r="KKG15"/>
      <c r="KKH15"/>
      <c r="KKI15"/>
      <c r="KKJ15"/>
      <c r="KKK15"/>
      <c r="KKL15"/>
      <c r="KKM15"/>
      <c r="KKN15"/>
      <c r="KKO15"/>
      <c r="KKP15"/>
      <c r="KKQ15"/>
      <c r="KKR15"/>
      <c r="KKS15"/>
      <c r="KKT15"/>
      <c r="KKU15"/>
      <c r="KKV15"/>
      <c r="KKW15"/>
      <c r="KKX15"/>
      <c r="KKY15"/>
      <c r="KKZ15"/>
      <c r="KLA15"/>
      <c r="KLB15"/>
      <c r="KLC15"/>
      <c r="KLD15"/>
      <c r="KLE15"/>
      <c r="KLF15"/>
      <c r="KLG15"/>
      <c r="KLH15"/>
      <c r="KLI15"/>
      <c r="KLJ15"/>
      <c r="KLK15"/>
      <c r="KLL15"/>
      <c r="KLM15"/>
      <c r="KLN15"/>
      <c r="KLO15"/>
      <c r="KLP15"/>
      <c r="KLQ15"/>
      <c r="KLR15"/>
      <c r="KLS15"/>
      <c r="KLT15"/>
      <c r="KLU15"/>
      <c r="KLV15"/>
      <c r="KLW15"/>
      <c r="KLX15"/>
      <c r="KLY15"/>
      <c r="KLZ15"/>
      <c r="KMA15"/>
      <c r="KMB15"/>
      <c r="KMC15"/>
      <c r="KMD15"/>
      <c r="KME15"/>
      <c r="KMF15"/>
      <c r="KMG15"/>
      <c r="KMH15"/>
      <c r="KMI15"/>
      <c r="KMJ15"/>
      <c r="KMK15"/>
      <c r="KML15"/>
      <c r="KMM15"/>
      <c r="KMN15"/>
      <c r="KMO15"/>
      <c r="KMP15"/>
      <c r="KMQ15"/>
      <c r="KMR15"/>
      <c r="KMS15"/>
      <c r="KMT15"/>
      <c r="KMU15"/>
      <c r="KMV15"/>
      <c r="KMW15"/>
      <c r="KMX15"/>
      <c r="KMY15"/>
      <c r="KMZ15"/>
      <c r="KNA15"/>
      <c r="KNB15"/>
      <c r="KNC15"/>
      <c r="KND15"/>
      <c r="KNE15"/>
      <c r="KNF15"/>
      <c r="KNG15"/>
      <c r="KNH15"/>
      <c r="KNI15"/>
      <c r="KNJ15"/>
      <c r="KNK15"/>
      <c r="KNL15"/>
      <c r="KNM15"/>
      <c r="KNN15"/>
      <c r="KNO15"/>
      <c r="KNP15"/>
      <c r="KNQ15"/>
      <c r="KNR15"/>
      <c r="KNS15"/>
      <c r="KNT15"/>
      <c r="KNU15"/>
      <c r="KNV15"/>
      <c r="KNW15"/>
      <c r="KNX15"/>
      <c r="KNY15"/>
      <c r="KNZ15"/>
      <c r="KOA15"/>
      <c r="KOB15"/>
      <c r="KOC15"/>
      <c r="KOD15"/>
      <c r="KOE15"/>
      <c r="KOF15"/>
      <c r="KOG15"/>
      <c r="KOH15"/>
      <c r="KOI15"/>
      <c r="KOJ15"/>
      <c r="KOK15"/>
      <c r="KOL15"/>
      <c r="KOM15"/>
      <c r="KON15"/>
      <c r="KOO15"/>
      <c r="KOP15"/>
      <c r="KOQ15"/>
      <c r="KOR15"/>
      <c r="KOS15"/>
      <c r="KOT15"/>
      <c r="KOU15"/>
      <c r="KOV15"/>
      <c r="KOW15"/>
      <c r="KOX15"/>
      <c r="KOY15"/>
      <c r="KOZ15"/>
      <c r="KPA15"/>
      <c r="KPB15"/>
      <c r="KPC15"/>
      <c r="KPD15"/>
      <c r="KPE15"/>
      <c r="KPF15"/>
      <c r="KPG15"/>
      <c r="KPH15"/>
      <c r="KPI15"/>
      <c r="KPJ15"/>
      <c r="KPK15"/>
      <c r="KPL15"/>
      <c r="KPM15"/>
      <c r="KPN15"/>
      <c r="KPO15"/>
      <c r="KPP15"/>
      <c r="KPQ15"/>
      <c r="KPR15"/>
      <c r="KPS15"/>
      <c r="KPT15"/>
      <c r="KPU15"/>
      <c r="KPV15"/>
      <c r="KPW15"/>
      <c r="KPX15"/>
      <c r="KPY15"/>
      <c r="KPZ15"/>
      <c r="KQA15"/>
      <c r="KQB15"/>
      <c r="KQC15"/>
      <c r="KQD15"/>
      <c r="KQE15"/>
      <c r="KQF15"/>
      <c r="KQG15"/>
      <c r="KQH15"/>
      <c r="KQI15"/>
      <c r="KQJ15"/>
      <c r="KQK15"/>
      <c r="KQL15"/>
      <c r="KQM15"/>
      <c r="KQN15"/>
      <c r="KQO15"/>
      <c r="KQP15"/>
      <c r="KQQ15"/>
      <c r="KQR15"/>
      <c r="KQS15"/>
      <c r="KQT15"/>
      <c r="KQU15"/>
      <c r="KQV15"/>
      <c r="KQW15"/>
      <c r="KQX15"/>
      <c r="KQY15"/>
      <c r="KQZ15"/>
      <c r="KRA15"/>
      <c r="KRB15"/>
      <c r="KRC15"/>
      <c r="KRD15"/>
      <c r="KRE15"/>
      <c r="KRF15"/>
      <c r="KRG15"/>
      <c r="KRH15"/>
      <c r="KRI15"/>
      <c r="KRJ15"/>
      <c r="KRK15"/>
      <c r="KRL15"/>
      <c r="KRM15"/>
      <c r="KRN15"/>
      <c r="KRO15"/>
      <c r="KRP15"/>
      <c r="KRQ15"/>
      <c r="KRR15"/>
      <c r="KRS15"/>
      <c r="KRT15"/>
      <c r="KRU15"/>
      <c r="KRV15"/>
      <c r="KRW15"/>
      <c r="KRX15"/>
      <c r="KRY15"/>
      <c r="KRZ15"/>
      <c r="KSA15"/>
      <c r="KSB15"/>
      <c r="KSC15"/>
      <c r="KSD15"/>
      <c r="KSE15"/>
      <c r="KSF15"/>
      <c r="KSG15"/>
      <c r="KSH15"/>
      <c r="KSI15"/>
      <c r="KSJ15"/>
      <c r="KSK15"/>
      <c r="KSL15"/>
      <c r="KSM15"/>
      <c r="KSN15"/>
      <c r="KSO15"/>
      <c r="KSP15"/>
      <c r="KSQ15"/>
      <c r="KSR15"/>
      <c r="KSS15"/>
      <c r="KST15"/>
      <c r="KSU15"/>
      <c r="KSV15"/>
      <c r="KSW15"/>
      <c r="KSX15"/>
      <c r="KSY15"/>
      <c r="KSZ15"/>
      <c r="KTA15"/>
      <c r="KTB15"/>
      <c r="KTC15"/>
      <c r="KTD15"/>
      <c r="KTE15"/>
      <c r="KTF15"/>
      <c r="KTG15"/>
      <c r="KTH15"/>
      <c r="KTI15"/>
      <c r="KTJ15"/>
      <c r="KTK15"/>
      <c r="KTL15"/>
      <c r="KTM15"/>
      <c r="KTN15"/>
      <c r="KTO15"/>
      <c r="KTP15"/>
      <c r="KTQ15"/>
      <c r="KTR15"/>
      <c r="KTS15"/>
      <c r="KTT15"/>
      <c r="KTU15"/>
      <c r="KTV15"/>
      <c r="KTW15"/>
      <c r="KTX15"/>
      <c r="KTY15"/>
      <c r="KTZ15"/>
      <c r="KUA15"/>
      <c r="KUB15"/>
      <c r="KUC15"/>
      <c r="KUD15"/>
      <c r="KUE15"/>
      <c r="KUF15"/>
      <c r="KUG15"/>
      <c r="KUH15"/>
      <c r="KUI15"/>
      <c r="KUJ15"/>
      <c r="KUK15"/>
      <c r="KUL15"/>
      <c r="KUM15"/>
      <c r="KUN15"/>
      <c r="KUO15"/>
      <c r="KUP15"/>
      <c r="KUQ15"/>
      <c r="KUR15"/>
      <c r="KUS15"/>
      <c r="KUT15"/>
      <c r="KUU15"/>
      <c r="KUV15"/>
      <c r="KUW15"/>
      <c r="KUX15"/>
      <c r="KUY15"/>
      <c r="KUZ15"/>
      <c r="KVA15"/>
      <c r="KVB15"/>
      <c r="KVC15"/>
      <c r="KVD15"/>
      <c r="KVE15"/>
      <c r="KVF15"/>
      <c r="KVG15"/>
      <c r="KVH15"/>
      <c r="KVI15"/>
      <c r="KVJ15"/>
      <c r="KVK15"/>
      <c r="KVL15"/>
      <c r="KVM15"/>
      <c r="KVN15"/>
      <c r="KVO15"/>
      <c r="KVP15"/>
      <c r="KVQ15"/>
      <c r="KVR15"/>
      <c r="KVS15"/>
      <c r="KVT15"/>
      <c r="KVU15"/>
      <c r="KVV15"/>
      <c r="KVW15"/>
      <c r="KVX15"/>
      <c r="KVY15"/>
      <c r="KVZ15"/>
      <c r="KWA15"/>
      <c r="KWB15"/>
      <c r="KWC15"/>
      <c r="KWD15"/>
      <c r="KWE15"/>
      <c r="KWF15"/>
      <c r="KWG15"/>
      <c r="KWH15"/>
      <c r="KWI15"/>
      <c r="KWJ15"/>
      <c r="KWK15"/>
      <c r="KWL15"/>
      <c r="KWM15"/>
      <c r="KWN15"/>
      <c r="KWO15"/>
      <c r="KWP15"/>
      <c r="KWQ15"/>
      <c r="KWR15"/>
      <c r="KWS15"/>
      <c r="KWT15"/>
      <c r="KWU15"/>
      <c r="KWV15"/>
      <c r="KWW15"/>
      <c r="KWX15"/>
      <c r="KWY15"/>
      <c r="KWZ15"/>
      <c r="KXA15"/>
      <c r="KXB15"/>
      <c r="KXC15"/>
      <c r="KXD15"/>
      <c r="KXE15"/>
      <c r="KXF15"/>
      <c r="KXG15"/>
      <c r="KXH15"/>
      <c r="KXI15"/>
      <c r="KXJ15"/>
      <c r="KXK15"/>
      <c r="KXL15"/>
      <c r="KXM15"/>
      <c r="KXN15"/>
      <c r="KXO15"/>
      <c r="KXP15"/>
      <c r="KXQ15"/>
      <c r="KXR15"/>
      <c r="KXS15"/>
      <c r="KXT15"/>
      <c r="KXU15"/>
      <c r="KXV15"/>
      <c r="KXW15"/>
      <c r="KXX15"/>
      <c r="KXY15"/>
      <c r="KXZ15"/>
      <c r="KYA15"/>
      <c r="KYB15"/>
      <c r="KYC15"/>
      <c r="KYD15"/>
      <c r="KYE15"/>
      <c r="KYF15"/>
      <c r="KYG15"/>
      <c r="KYH15"/>
      <c r="KYI15"/>
      <c r="KYJ15"/>
      <c r="KYK15"/>
      <c r="KYL15"/>
      <c r="KYM15"/>
      <c r="KYN15"/>
      <c r="KYO15"/>
      <c r="KYP15"/>
      <c r="KYQ15"/>
      <c r="KYR15"/>
      <c r="KYS15"/>
      <c r="KYT15"/>
      <c r="KYU15"/>
      <c r="KYV15"/>
      <c r="KYW15"/>
      <c r="KYX15"/>
      <c r="KYY15"/>
      <c r="KYZ15"/>
      <c r="KZA15"/>
      <c r="KZB15"/>
      <c r="KZC15"/>
      <c r="KZD15"/>
      <c r="KZE15"/>
      <c r="KZF15"/>
      <c r="KZG15"/>
      <c r="KZH15"/>
      <c r="KZI15"/>
      <c r="KZJ15"/>
      <c r="KZK15"/>
      <c r="KZL15"/>
      <c r="KZM15"/>
      <c r="KZN15"/>
      <c r="KZO15"/>
      <c r="KZP15"/>
      <c r="KZQ15"/>
      <c r="KZR15"/>
      <c r="KZS15"/>
      <c r="KZT15"/>
      <c r="KZU15"/>
      <c r="KZV15"/>
      <c r="KZW15"/>
      <c r="KZX15"/>
      <c r="KZY15"/>
      <c r="KZZ15"/>
      <c r="LAA15"/>
      <c r="LAB15"/>
      <c r="LAC15"/>
      <c r="LAD15"/>
      <c r="LAE15"/>
      <c r="LAF15"/>
      <c r="LAG15"/>
      <c r="LAH15"/>
      <c r="LAI15"/>
      <c r="LAJ15"/>
      <c r="LAK15"/>
      <c r="LAL15"/>
      <c r="LAM15"/>
      <c r="LAN15"/>
      <c r="LAO15"/>
      <c r="LAP15"/>
      <c r="LAQ15"/>
      <c r="LAR15"/>
      <c r="LAS15"/>
      <c r="LAT15"/>
      <c r="LAU15"/>
      <c r="LAV15"/>
      <c r="LAW15"/>
      <c r="LAX15"/>
      <c r="LAY15"/>
      <c r="LAZ15"/>
      <c r="LBA15"/>
      <c r="LBB15"/>
      <c r="LBC15"/>
      <c r="LBD15"/>
      <c r="LBE15"/>
      <c r="LBF15"/>
      <c r="LBG15"/>
      <c r="LBH15"/>
      <c r="LBI15"/>
      <c r="LBJ15"/>
      <c r="LBK15"/>
      <c r="LBL15"/>
      <c r="LBM15"/>
      <c r="LBN15"/>
      <c r="LBO15"/>
      <c r="LBP15"/>
      <c r="LBQ15"/>
      <c r="LBR15"/>
      <c r="LBS15"/>
      <c r="LBT15"/>
      <c r="LBU15"/>
      <c r="LBV15"/>
      <c r="LBW15"/>
      <c r="LBX15"/>
      <c r="LBY15"/>
      <c r="LBZ15"/>
      <c r="LCA15"/>
      <c r="LCB15"/>
      <c r="LCC15"/>
      <c r="LCD15"/>
      <c r="LCE15"/>
      <c r="LCF15"/>
      <c r="LCG15"/>
      <c r="LCH15"/>
      <c r="LCI15"/>
      <c r="LCJ15"/>
      <c r="LCK15"/>
      <c r="LCL15"/>
      <c r="LCM15"/>
      <c r="LCN15"/>
      <c r="LCO15"/>
      <c r="LCP15"/>
      <c r="LCQ15"/>
      <c r="LCR15"/>
      <c r="LCS15"/>
      <c r="LCT15"/>
      <c r="LCU15"/>
      <c r="LCV15"/>
      <c r="LCW15"/>
      <c r="LCX15"/>
      <c r="LCY15"/>
      <c r="LCZ15"/>
      <c r="LDA15"/>
      <c r="LDB15"/>
      <c r="LDC15"/>
      <c r="LDD15"/>
      <c r="LDE15"/>
      <c r="LDF15"/>
      <c r="LDG15"/>
      <c r="LDH15"/>
      <c r="LDI15"/>
      <c r="LDJ15"/>
      <c r="LDK15"/>
      <c r="LDL15"/>
      <c r="LDM15"/>
      <c r="LDN15"/>
      <c r="LDO15"/>
      <c r="LDP15"/>
      <c r="LDQ15"/>
      <c r="LDR15"/>
      <c r="LDS15"/>
      <c r="LDT15"/>
      <c r="LDU15"/>
      <c r="LDV15"/>
      <c r="LDW15"/>
      <c r="LDX15"/>
      <c r="LDY15"/>
      <c r="LDZ15"/>
      <c r="LEA15"/>
      <c r="LEB15"/>
      <c r="LEC15"/>
      <c r="LED15"/>
      <c r="LEE15"/>
      <c r="LEF15"/>
      <c r="LEG15"/>
      <c r="LEH15"/>
      <c r="LEI15"/>
      <c r="LEJ15"/>
      <c r="LEK15"/>
      <c r="LEL15"/>
      <c r="LEM15"/>
      <c r="LEN15"/>
      <c r="LEO15"/>
      <c r="LEP15"/>
      <c r="LEQ15"/>
      <c r="LER15"/>
      <c r="LES15"/>
      <c r="LET15"/>
      <c r="LEU15"/>
      <c r="LEV15"/>
      <c r="LEW15"/>
      <c r="LEX15"/>
      <c r="LEY15"/>
      <c r="LEZ15"/>
      <c r="LFA15"/>
      <c r="LFB15"/>
      <c r="LFC15"/>
      <c r="LFD15"/>
      <c r="LFE15"/>
      <c r="LFF15"/>
      <c r="LFG15"/>
      <c r="LFH15"/>
      <c r="LFI15"/>
      <c r="LFJ15"/>
      <c r="LFK15"/>
      <c r="LFL15"/>
      <c r="LFM15"/>
      <c r="LFN15"/>
      <c r="LFO15"/>
      <c r="LFP15"/>
      <c r="LFQ15"/>
      <c r="LFR15"/>
      <c r="LFS15"/>
      <c r="LFT15"/>
      <c r="LFU15"/>
      <c r="LFV15"/>
      <c r="LFW15"/>
      <c r="LFX15"/>
      <c r="LFY15"/>
      <c r="LFZ15"/>
      <c r="LGA15"/>
      <c r="LGB15"/>
      <c r="LGC15"/>
      <c r="LGD15"/>
      <c r="LGE15"/>
      <c r="LGF15"/>
      <c r="LGG15"/>
      <c r="LGH15"/>
      <c r="LGI15"/>
      <c r="LGJ15"/>
      <c r="LGK15"/>
      <c r="LGL15"/>
      <c r="LGM15"/>
      <c r="LGN15"/>
      <c r="LGO15"/>
      <c r="LGP15"/>
      <c r="LGQ15"/>
      <c r="LGR15"/>
      <c r="LGS15"/>
      <c r="LGT15"/>
      <c r="LGU15"/>
      <c r="LGV15"/>
      <c r="LGW15"/>
      <c r="LGX15"/>
      <c r="LGY15"/>
      <c r="LGZ15"/>
      <c r="LHA15"/>
      <c r="LHB15"/>
      <c r="LHC15"/>
      <c r="LHD15"/>
      <c r="LHE15"/>
      <c r="LHF15"/>
      <c r="LHG15"/>
      <c r="LHH15"/>
      <c r="LHI15"/>
      <c r="LHJ15"/>
      <c r="LHK15"/>
      <c r="LHL15"/>
      <c r="LHM15"/>
      <c r="LHN15"/>
      <c r="LHO15"/>
      <c r="LHP15"/>
      <c r="LHQ15"/>
      <c r="LHR15"/>
      <c r="LHS15"/>
      <c r="LHT15"/>
      <c r="LHU15"/>
      <c r="LHV15"/>
      <c r="LHW15"/>
      <c r="LHX15"/>
      <c r="LHY15"/>
      <c r="LHZ15"/>
      <c r="LIA15"/>
      <c r="LIB15"/>
      <c r="LIC15"/>
      <c r="LID15"/>
      <c r="LIE15"/>
      <c r="LIF15"/>
      <c r="LIG15"/>
      <c r="LIH15"/>
      <c r="LII15"/>
      <c r="LIJ15"/>
      <c r="LIK15"/>
      <c r="LIL15"/>
      <c r="LIM15"/>
      <c r="LIN15"/>
      <c r="LIO15"/>
      <c r="LIP15"/>
      <c r="LIQ15"/>
      <c r="LIR15"/>
      <c r="LIS15"/>
      <c r="LIT15"/>
      <c r="LIU15"/>
      <c r="LIV15"/>
      <c r="LIW15"/>
      <c r="LIX15"/>
      <c r="LIY15"/>
      <c r="LIZ15"/>
      <c r="LJA15"/>
      <c r="LJB15"/>
      <c r="LJC15"/>
      <c r="LJD15"/>
      <c r="LJE15"/>
      <c r="LJF15"/>
      <c r="LJG15"/>
      <c r="LJH15"/>
      <c r="LJI15"/>
      <c r="LJJ15"/>
      <c r="LJK15"/>
      <c r="LJL15"/>
      <c r="LJM15"/>
      <c r="LJN15"/>
      <c r="LJO15"/>
      <c r="LJP15"/>
      <c r="LJQ15"/>
      <c r="LJR15"/>
      <c r="LJS15"/>
      <c r="LJT15"/>
      <c r="LJU15"/>
      <c r="LJV15"/>
      <c r="LJW15"/>
      <c r="LJX15"/>
      <c r="LJY15"/>
      <c r="LJZ15"/>
      <c r="LKA15"/>
      <c r="LKB15"/>
      <c r="LKC15"/>
      <c r="LKD15"/>
      <c r="LKE15"/>
      <c r="LKF15"/>
      <c r="LKG15"/>
      <c r="LKH15"/>
      <c r="LKI15"/>
      <c r="LKJ15"/>
      <c r="LKK15"/>
      <c r="LKL15"/>
      <c r="LKM15"/>
      <c r="LKN15"/>
      <c r="LKO15"/>
      <c r="LKP15"/>
      <c r="LKQ15"/>
      <c r="LKR15"/>
      <c r="LKS15"/>
      <c r="LKT15"/>
      <c r="LKU15"/>
      <c r="LKV15"/>
      <c r="LKW15"/>
      <c r="LKX15"/>
      <c r="LKY15"/>
      <c r="LKZ15"/>
      <c r="LLA15"/>
      <c r="LLB15"/>
      <c r="LLC15"/>
      <c r="LLD15"/>
      <c r="LLE15"/>
      <c r="LLF15"/>
      <c r="LLG15"/>
      <c r="LLH15"/>
      <c r="LLI15"/>
      <c r="LLJ15"/>
      <c r="LLK15"/>
      <c r="LLL15"/>
      <c r="LLM15"/>
      <c r="LLN15"/>
      <c r="LLO15"/>
      <c r="LLP15"/>
      <c r="LLQ15"/>
      <c r="LLR15"/>
      <c r="LLS15"/>
      <c r="LLT15"/>
      <c r="LLU15"/>
      <c r="LLV15"/>
      <c r="LLW15"/>
      <c r="LLX15"/>
      <c r="LLY15"/>
      <c r="LLZ15"/>
      <c r="LMA15"/>
      <c r="LMB15"/>
      <c r="LMC15"/>
      <c r="LMD15"/>
      <c r="LME15"/>
      <c r="LMF15"/>
      <c r="LMG15"/>
      <c r="LMH15"/>
      <c r="LMI15"/>
      <c r="LMJ15"/>
      <c r="LMK15"/>
      <c r="LML15"/>
      <c r="LMM15"/>
      <c r="LMN15"/>
      <c r="LMO15"/>
      <c r="LMP15"/>
      <c r="LMQ15"/>
      <c r="LMR15"/>
      <c r="LMS15"/>
      <c r="LMT15"/>
      <c r="LMU15"/>
      <c r="LMV15"/>
      <c r="LMW15"/>
      <c r="LMX15"/>
      <c r="LMY15"/>
      <c r="LMZ15"/>
      <c r="LNA15"/>
      <c r="LNB15"/>
      <c r="LNC15"/>
      <c r="LND15"/>
      <c r="LNE15"/>
      <c r="LNF15"/>
      <c r="LNG15"/>
      <c r="LNH15"/>
      <c r="LNI15"/>
      <c r="LNJ15"/>
      <c r="LNK15"/>
      <c r="LNL15"/>
      <c r="LNM15"/>
      <c r="LNN15"/>
      <c r="LNO15"/>
      <c r="LNP15"/>
      <c r="LNQ15"/>
      <c r="LNR15"/>
      <c r="LNS15"/>
      <c r="LNT15"/>
      <c r="LNU15"/>
      <c r="LNV15"/>
      <c r="LNW15"/>
      <c r="LNX15"/>
      <c r="LNY15"/>
      <c r="LNZ15"/>
      <c r="LOA15"/>
      <c r="LOB15"/>
      <c r="LOC15"/>
      <c r="LOD15"/>
      <c r="LOE15"/>
      <c r="LOF15"/>
      <c r="LOG15"/>
      <c r="LOH15"/>
      <c r="LOI15"/>
      <c r="LOJ15"/>
      <c r="LOK15"/>
      <c r="LOL15"/>
      <c r="LOM15"/>
      <c r="LON15"/>
      <c r="LOO15"/>
      <c r="LOP15"/>
      <c r="LOQ15"/>
      <c r="LOR15"/>
      <c r="LOS15"/>
      <c r="LOT15"/>
      <c r="LOU15"/>
      <c r="LOV15"/>
      <c r="LOW15"/>
      <c r="LOX15"/>
      <c r="LOY15"/>
      <c r="LOZ15"/>
      <c r="LPA15"/>
      <c r="LPB15"/>
      <c r="LPC15"/>
      <c r="LPD15"/>
      <c r="LPE15"/>
      <c r="LPF15"/>
      <c r="LPG15"/>
      <c r="LPH15"/>
      <c r="LPI15"/>
      <c r="LPJ15"/>
      <c r="LPK15"/>
      <c r="LPL15"/>
      <c r="LPM15"/>
      <c r="LPN15"/>
      <c r="LPO15"/>
      <c r="LPP15"/>
      <c r="LPQ15"/>
      <c r="LPR15"/>
      <c r="LPS15"/>
      <c r="LPT15"/>
      <c r="LPU15"/>
      <c r="LPV15"/>
      <c r="LPW15"/>
      <c r="LPX15"/>
      <c r="LPY15"/>
      <c r="LPZ15"/>
      <c r="LQA15"/>
      <c r="LQB15"/>
      <c r="LQC15"/>
      <c r="LQD15"/>
      <c r="LQE15"/>
      <c r="LQF15"/>
      <c r="LQG15"/>
      <c r="LQH15"/>
      <c r="LQI15"/>
      <c r="LQJ15"/>
      <c r="LQK15"/>
      <c r="LQL15"/>
      <c r="LQM15"/>
      <c r="LQN15"/>
      <c r="LQO15"/>
      <c r="LQP15"/>
      <c r="LQQ15"/>
      <c r="LQR15"/>
      <c r="LQS15"/>
      <c r="LQT15"/>
      <c r="LQU15"/>
      <c r="LQV15"/>
      <c r="LQW15"/>
      <c r="LQX15"/>
      <c r="LQY15"/>
      <c r="LQZ15"/>
      <c r="LRA15"/>
      <c r="LRB15"/>
      <c r="LRC15"/>
      <c r="LRD15"/>
      <c r="LRE15"/>
      <c r="LRF15"/>
      <c r="LRG15"/>
      <c r="LRH15"/>
      <c r="LRI15"/>
      <c r="LRJ15"/>
      <c r="LRK15"/>
      <c r="LRL15"/>
      <c r="LRM15"/>
      <c r="LRN15"/>
      <c r="LRO15"/>
      <c r="LRP15"/>
      <c r="LRQ15"/>
      <c r="LRR15"/>
      <c r="LRS15"/>
      <c r="LRT15"/>
      <c r="LRU15"/>
      <c r="LRV15"/>
      <c r="LRW15"/>
      <c r="LRX15"/>
      <c r="LRY15"/>
      <c r="LRZ15"/>
      <c r="LSA15"/>
      <c r="LSB15"/>
      <c r="LSC15"/>
      <c r="LSD15"/>
      <c r="LSE15"/>
      <c r="LSF15"/>
      <c r="LSG15"/>
      <c r="LSH15"/>
      <c r="LSI15"/>
      <c r="LSJ15"/>
      <c r="LSK15"/>
      <c r="LSL15"/>
      <c r="LSM15"/>
      <c r="LSN15"/>
      <c r="LSO15"/>
      <c r="LSP15"/>
      <c r="LSQ15"/>
      <c r="LSR15"/>
      <c r="LSS15"/>
      <c r="LST15"/>
      <c r="LSU15"/>
      <c r="LSV15"/>
      <c r="LSW15"/>
      <c r="LSX15"/>
      <c r="LSY15"/>
      <c r="LSZ15"/>
      <c r="LTA15"/>
      <c r="LTB15"/>
      <c r="LTC15"/>
      <c r="LTD15"/>
      <c r="LTE15"/>
      <c r="LTF15"/>
      <c r="LTG15"/>
      <c r="LTH15"/>
      <c r="LTI15"/>
      <c r="LTJ15"/>
      <c r="LTK15"/>
      <c r="LTL15"/>
      <c r="LTM15"/>
      <c r="LTN15"/>
      <c r="LTO15"/>
      <c r="LTP15"/>
      <c r="LTQ15"/>
      <c r="LTR15"/>
      <c r="LTS15"/>
      <c r="LTT15"/>
      <c r="LTU15"/>
      <c r="LTV15"/>
      <c r="LTW15"/>
      <c r="LTX15"/>
      <c r="LTY15"/>
      <c r="LTZ15"/>
      <c r="LUA15"/>
      <c r="LUB15"/>
      <c r="LUC15"/>
      <c r="LUD15"/>
      <c r="LUE15"/>
      <c r="LUF15"/>
      <c r="LUG15"/>
      <c r="LUH15"/>
      <c r="LUI15"/>
      <c r="LUJ15"/>
      <c r="LUK15"/>
      <c r="LUL15"/>
      <c r="LUM15"/>
      <c r="LUN15"/>
      <c r="LUO15"/>
      <c r="LUP15"/>
      <c r="LUQ15"/>
      <c r="LUR15"/>
      <c r="LUS15"/>
      <c r="LUT15"/>
      <c r="LUU15"/>
      <c r="LUV15"/>
      <c r="LUW15"/>
      <c r="LUX15"/>
      <c r="LUY15"/>
      <c r="LUZ15"/>
      <c r="LVA15"/>
      <c r="LVB15"/>
      <c r="LVC15"/>
      <c r="LVD15"/>
      <c r="LVE15"/>
      <c r="LVF15"/>
      <c r="LVG15"/>
      <c r="LVH15"/>
      <c r="LVI15"/>
      <c r="LVJ15"/>
      <c r="LVK15"/>
      <c r="LVL15"/>
      <c r="LVM15"/>
      <c r="LVN15"/>
      <c r="LVO15"/>
      <c r="LVP15"/>
      <c r="LVQ15"/>
      <c r="LVR15"/>
      <c r="LVS15"/>
      <c r="LVT15"/>
      <c r="LVU15"/>
      <c r="LVV15"/>
      <c r="LVW15"/>
      <c r="LVX15"/>
      <c r="LVY15"/>
      <c r="LVZ15"/>
      <c r="LWA15"/>
      <c r="LWB15"/>
      <c r="LWC15"/>
      <c r="LWD15"/>
      <c r="LWE15"/>
      <c r="LWF15"/>
      <c r="LWG15"/>
      <c r="LWH15"/>
      <c r="LWI15"/>
      <c r="LWJ15"/>
      <c r="LWK15"/>
      <c r="LWL15"/>
      <c r="LWM15"/>
      <c r="LWN15"/>
      <c r="LWO15"/>
      <c r="LWP15"/>
      <c r="LWQ15"/>
      <c r="LWR15"/>
      <c r="LWS15"/>
      <c r="LWT15"/>
      <c r="LWU15"/>
      <c r="LWV15"/>
      <c r="LWW15"/>
      <c r="LWX15"/>
      <c r="LWY15"/>
      <c r="LWZ15"/>
      <c r="LXA15"/>
      <c r="LXB15"/>
      <c r="LXC15"/>
      <c r="LXD15"/>
      <c r="LXE15"/>
      <c r="LXF15"/>
      <c r="LXG15"/>
      <c r="LXH15"/>
      <c r="LXI15"/>
      <c r="LXJ15"/>
      <c r="LXK15"/>
      <c r="LXL15"/>
      <c r="LXM15"/>
      <c r="LXN15"/>
      <c r="LXO15"/>
      <c r="LXP15"/>
      <c r="LXQ15"/>
      <c r="LXR15"/>
      <c r="LXS15"/>
      <c r="LXT15"/>
      <c r="LXU15"/>
      <c r="LXV15"/>
      <c r="LXW15"/>
      <c r="LXX15"/>
      <c r="LXY15"/>
      <c r="LXZ15"/>
      <c r="LYA15"/>
      <c r="LYB15"/>
      <c r="LYC15"/>
      <c r="LYD15"/>
      <c r="LYE15"/>
      <c r="LYF15"/>
      <c r="LYG15"/>
      <c r="LYH15"/>
      <c r="LYI15"/>
      <c r="LYJ15"/>
      <c r="LYK15"/>
      <c r="LYL15"/>
      <c r="LYM15"/>
      <c r="LYN15"/>
      <c r="LYO15"/>
      <c r="LYP15"/>
      <c r="LYQ15"/>
      <c r="LYR15"/>
      <c r="LYS15"/>
      <c r="LYT15"/>
      <c r="LYU15"/>
      <c r="LYV15"/>
      <c r="LYW15"/>
      <c r="LYX15"/>
      <c r="LYY15"/>
      <c r="LYZ15"/>
      <c r="LZA15"/>
      <c r="LZB15"/>
      <c r="LZC15"/>
      <c r="LZD15"/>
      <c r="LZE15"/>
      <c r="LZF15"/>
      <c r="LZG15"/>
      <c r="LZH15"/>
      <c r="LZI15"/>
      <c r="LZJ15"/>
      <c r="LZK15"/>
      <c r="LZL15"/>
      <c r="LZM15"/>
      <c r="LZN15"/>
      <c r="LZO15"/>
      <c r="LZP15"/>
      <c r="LZQ15"/>
      <c r="LZR15"/>
      <c r="LZS15"/>
      <c r="LZT15"/>
      <c r="LZU15"/>
      <c r="LZV15"/>
      <c r="LZW15"/>
      <c r="LZX15"/>
      <c r="LZY15"/>
      <c r="LZZ15"/>
      <c r="MAA15"/>
      <c r="MAB15"/>
      <c r="MAC15"/>
      <c r="MAD15"/>
      <c r="MAE15"/>
      <c r="MAF15"/>
      <c r="MAG15"/>
      <c r="MAH15"/>
      <c r="MAI15"/>
      <c r="MAJ15"/>
      <c r="MAK15"/>
      <c r="MAL15"/>
      <c r="MAM15"/>
      <c r="MAN15"/>
      <c r="MAO15"/>
      <c r="MAP15"/>
      <c r="MAQ15"/>
      <c r="MAR15"/>
      <c r="MAS15"/>
      <c r="MAT15"/>
      <c r="MAU15"/>
      <c r="MAV15"/>
      <c r="MAW15"/>
      <c r="MAX15"/>
      <c r="MAY15"/>
      <c r="MAZ15"/>
      <c r="MBA15"/>
      <c r="MBB15"/>
      <c r="MBC15"/>
      <c r="MBD15"/>
      <c r="MBE15"/>
      <c r="MBF15"/>
      <c r="MBG15"/>
      <c r="MBH15"/>
      <c r="MBI15"/>
      <c r="MBJ15"/>
      <c r="MBK15"/>
      <c r="MBL15"/>
      <c r="MBM15"/>
      <c r="MBN15"/>
      <c r="MBO15"/>
      <c r="MBP15"/>
      <c r="MBQ15"/>
      <c r="MBR15"/>
      <c r="MBS15"/>
      <c r="MBT15"/>
      <c r="MBU15"/>
      <c r="MBV15"/>
      <c r="MBW15"/>
      <c r="MBX15"/>
      <c r="MBY15"/>
      <c r="MBZ15"/>
      <c r="MCA15"/>
      <c r="MCB15"/>
      <c r="MCC15"/>
      <c r="MCD15"/>
      <c r="MCE15"/>
      <c r="MCF15"/>
      <c r="MCG15"/>
      <c r="MCH15"/>
      <c r="MCI15"/>
      <c r="MCJ15"/>
      <c r="MCK15"/>
      <c r="MCL15"/>
      <c r="MCM15"/>
      <c r="MCN15"/>
      <c r="MCO15"/>
      <c r="MCP15"/>
      <c r="MCQ15"/>
      <c r="MCR15"/>
      <c r="MCS15"/>
      <c r="MCT15"/>
      <c r="MCU15"/>
      <c r="MCV15"/>
      <c r="MCW15"/>
      <c r="MCX15"/>
      <c r="MCY15"/>
      <c r="MCZ15"/>
      <c r="MDA15"/>
      <c r="MDB15"/>
      <c r="MDC15"/>
      <c r="MDD15"/>
      <c r="MDE15"/>
      <c r="MDF15"/>
      <c r="MDG15"/>
      <c r="MDH15"/>
      <c r="MDI15"/>
      <c r="MDJ15"/>
      <c r="MDK15"/>
      <c r="MDL15"/>
      <c r="MDM15"/>
      <c r="MDN15"/>
      <c r="MDO15"/>
      <c r="MDP15"/>
      <c r="MDQ15"/>
      <c r="MDR15"/>
      <c r="MDS15"/>
      <c r="MDT15"/>
      <c r="MDU15"/>
      <c r="MDV15"/>
      <c r="MDW15"/>
      <c r="MDX15"/>
      <c r="MDY15"/>
      <c r="MDZ15"/>
      <c r="MEA15"/>
      <c r="MEB15"/>
      <c r="MEC15"/>
      <c r="MED15"/>
      <c r="MEE15"/>
      <c r="MEF15"/>
      <c r="MEG15"/>
      <c r="MEH15"/>
      <c r="MEI15"/>
      <c r="MEJ15"/>
      <c r="MEK15"/>
      <c r="MEL15"/>
      <c r="MEM15"/>
      <c r="MEN15"/>
      <c r="MEO15"/>
      <c r="MEP15"/>
      <c r="MEQ15"/>
      <c r="MER15"/>
      <c r="MES15"/>
      <c r="MET15"/>
      <c r="MEU15"/>
      <c r="MEV15"/>
      <c r="MEW15"/>
      <c r="MEX15"/>
      <c r="MEY15"/>
      <c r="MEZ15"/>
      <c r="MFA15"/>
      <c r="MFB15"/>
      <c r="MFC15"/>
      <c r="MFD15"/>
      <c r="MFE15"/>
      <c r="MFF15"/>
      <c r="MFG15"/>
      <c r="MFH15"/>
      <c r="MFI15"/>
      <c r="MFJ15"/>
      <c r="MFK15"/>
      <c r="MFL15"/>
      <c r="MFM15"/>
      <c r="MFN15"/>
      <c r="MFO15"/>
      <c r="MFP15"/>
      <c r="MFQ15"/>
      <c r="MFR15"/>
      <c r="MFS15"/>
      <c r="MFT15"/>
      <c r="MFU15"/>
      <c r="MFV15"/>
      <c r="MFW15"/>
      <c r="MFX15"/>
      <c r="MFY15"/>
      <c r="MFZ15"/>
      <c r="MGA15"/>
      <c r="MGB15"/>
      <c r="MGC15"/>
      <c r="MGD15"/>
      <c r="MGE15"/>
      <c r="MGF15"/>
      <c r="MGG15"/>
      <c r="MGH15"/>
      <c r="MGI15"/>
      <c r="MGJ15"/>
      <c r="MGK15"/>
      <c r="MGL15"/>
      <c r="MGM15"/>
      <c r="MGN15"/>
      <c r="MGO15"/>
      <c r="MGP15"/>
      <c r="MGQ15"/>
      <c r="MGR15"/>
      <c r="MGS15"/>
      <c r="MGT15"/>
      <c r="MGU15"/>
      <c r="MGV15"/>
      <c r="MGW15"/>
      <c r="MGX15"/>
      <c r="MGY15"/>
      <c r="MGZ15"/>
      <c r="MHA15"/>
      <c r="MHB15"/>
      <c r="MHC15"/>
      <c r="MHD15"/>
      <c r="MHE15"/>
      <c r="MHF15"/>
      <c r="MHG15"/>
      <c r="MHH15"/>
      <c r="MHI15"/>
      <c r="MHJ15"/>
      <c r="MHK15"/>
      <c r="MHL15"/>
      <c r="MHM15"/>
      <c r="MHN15"/>
      <c r="MHO15"/>
      <c r="MHP15"/>
      <c r="MHQ15"/>
      <c r="MHR15"/>
      <c r="MHS15"/>
      <c r="MHT15"/>
      <c r="MHU15"/>
      <c r="MHV15"/>
      <c r="MHW15"/>
      <c r="MHX15"/>
      <c r="MHY15"/>
      <c r="MHZ15"/>
      <c r="MIA15"/>
      <c r="MIB15"/>
      <c r="MIC15"/>
      <c r="MID15"/>
      <c r="MIE15"/>
      <c r="MIF15"/>
      <c r="MIG15"/>
      <c r="MIH15"/>
      <c r="MII15"/>
      <c r="MIJ15"/>
      <c r="MIK15"/>
      <c r="MIL15"/>
      <c r="MIM15"/>
      <c r="MIN15"/>
      <c r="MIO15"/>
      <c r="MIP15"/>
      <c r="MIQ15"/>
      <c r="MIR15"/>
      <c r="MIS15"/>
      <c r="MIT15"/>
      <c r="MIU15"/>
      <c r="MIV15"/>
      <c r="MIW15"/>
      <c r="MIX15"/>
      <c r="MIY15"/>
      <c r="MIZ15"/>
      <c r="MJA15"/>
      <c r="MJB15"/>
      <c r="MJC15"/>
      <c r="MJD15"/>
      <c r="MJE15"/>
      <c r="MJF15"/>
      <c r="MJG15"/>
      <c r="MJH15"/>
      <c r="MJI15"/>
      <c r="MJJ15"/>
      <c r="MJK15"/>
      <c r="MJL15"/>
      <c r="MJM15"/>
      <c r="MJN15"/>
      <c r="MJO15"/>
      <c r="MJP15"/>
      <c r="MJQ15"/>
      <c r="MJR15"/>
      <c r="MJS15"/>
      <c r="MJT15"/>
      <c r="MJU15"/>
      <c r="MJV15"/>
      <c r="MJW15"/>
      <c r="MJX15"/>
      <c r="MJY15"/>
      <c r="MJZ15"/>
      <c r="MKA15"/>
      <c r="MKB15"/>
      <c r="MKC15"/>
      <c r="MKD15"/>
      <c r="MKE15"/>
      <c r="MKF15"/>
      <c r="MKG15"/>
      <c r="MKH15"/>
      <c r="MKI15"/>
      <c r="MKJ15"/>
      <c r="MKK15"/>
      <c r="MKL15"/>
      <c r="MKM15"/>
      <c r="MKN15"/>
      <c r="MKO15"/>
      <c r="MKP15"/>
      <c r="MKQ15"/>
      <c r="MKR15"/>
      <c r="MKS15"/>
      <c r="MKT15"/>
      <c r="MKU15"/>
      <c r="MKV15"/>
      <c r="MKW15"/>
      <c r="MKX15"/>
      <c r="MKY15"/>
      <c r="MKZ15"/>
      <c r="MLA15"/>
      <c r="MLB15"/>
      <c r="MLC15"/>
      <c r="MLD15"/>
      <c r="MLE15"/>
      <c r="MLF15"/>
      <c r="MLG15"/>
      <c r="MLH15"/>
      <c r="MLI15"/>
      <c r="MLJ15"/>
      <c r="MLK15"/>
      <c r="MLL15"/>
      <c r="MLM15"/>
      <c r="MLN15"/>
      <c r="MLO15"/>
      <c r="MLP15"/>
      <c r="MLQ15"/>
      <c r="MLR15"/>
      <c r="MLS15"/>
      <c r="MLT15"/>
      <c r="MLU15"/>
      <c r="MLV15"/>
      <c r="MLW15"/>
      <c r="MLX15"/>
      <c r="MLY15"/>
      <c r="MLZ15"/>
      <c r="MMA15"/>
      <c r="MMB15"/>
      <c r="MMC15"/>
      <c r="MMD15"/>
      <c r="MME15"/>
      <c r="MMF15"/>
      <c r="MMG15"/>
      <c r="MMH15"/>
      <c r="MMI15"/>
      <c r="MMJ15"/>
      <c r="MMK15"/>
      <c r="MML15"/>
      <c r="MMM15"/>
      <c r="MMN15"/>
      <c r="MMO15"/>
      <c r="MMP15"/>
      <c r="MMQ15"/>
      <c r="MMR15"/>
      <c r="MMS15"/>
      <c r="MMT15"/>
      <c r="MMU15"/>
      <c r="MMV15"/>
      <c r="MMW15"/>
      <c r="MMX15"/>
      <c r="MMY15"/>
      <c r="MMZ15"/>
      <c r="MNA15"/>
      <c r="MNB15"/>
      <c r="MNC15"/>
      <c r="MND15"/>
      <c r="MNE15"/>
      <c r="MNF15"/>
      <c r="MNG15"/>
      <c r="MNH15"/>
      <c r="MNI15"/>
      <c r="MNJ15"/>
      <c r="MNK15"/>
      <c r="MNL15"/>
      <c r="MNM15"/>
      <c r="MNN15"/>
      <c r="MNO15"/>
      <c r="MNP15"/>
      <c r="MNQ15"/>
      <c r="MNR15"/>
      <c r="MNS15"/>
      <c r="MNT15"/>
      <c r="MNU15"/>
      <c r="MNV15"/>
      <c r="MNW15"/>
      <c r="MNX15"/>
      <c r="MNY15"/>
      <c r="MNZ15"/>
      <c r="MOA15"/>
      <c r="MOB15"/>
      <c r="MOC15"/>
      <c r="MOD15"/>
      <c r="MOE15"/>
      <c r="MOF15"/>
      <c r="MOG15"/>
      <c r="MOH15"/>
      <c r="MOI15"/>
      <c r="MOJ15"/>
      <c r="MOK15"/>
      <c r="MOL15"/>
      <c r="MOM15"/>
      <c r="MON15"/>
      <c r="MOO15"/>
      <c r="MOP15"/>
      <c r="MOQ15"/>
      <c r="MOR15"/>
      <c r="MOS15"/>
      <c r="MOT15"/>
      <c r="MOU15"/>
      <c r="MOV15"/>
      <c r="MOW15"/>
      <c r="MOX15"/>
      <c r="MOY15"/>
      <c r="MOZ15"/>
      <c r="MPA15"/>
      <c r="MPB15"/>
      <c r="MPC15"/>
      <c r="MPD15"/>
      <c r="MPE15"/>
      <c r="MPF15"/>
      <c r="MPG15"/>
      <c r="MPH15"/>
      <c r="MPI15"/>
      <c r="MPJ15"/>
      <c r="MPK15"/>
      <c r="MPL15"/>
      <c r="MPM15"/>
      <c r="MPN15"/>
      <c r="MPO15"/>
      <c r="MPP15"/>
      <c r="MPQ15"/>
      <c r="MPR15"/>
      <c r="MPS15"/>
      <c r="MPT15"/>
      <c r="MPU15"/>
      <c r="MPV15"/>
      <c r="MPW15"/>
      <c r="MPX15"/>
      <c r="MPY15"/>
      <c r="MPZ15"/>
      <c r="MQA15"/>
      <c r="MQB15"/>
      <c r="MQC15"/>
      <c r="MQD15"/>
      <c r="MQE15"/>
      <c r="MQF15"/>
      <c r="MQG15"/>
      <c r="MQH15"/>
      <c r="MQI15"/>
      <c r="MQJ15"/>
      <c r="MQK15"/>
      <c r="MQL15"/>
      <c r="MQM15"/>
      <c r="MQN15"/>
      <c r="MQO15"/>
      <c r="MQP15"/>
      <c r="MQQ15"/>
      <c r="MQR15"/>
      <c r="MQS15"/>
      <c r="MQT15"/>
      <c r="MQU15"/>
      <c r="MQV15"/>
      <c r="MQW15"/>
      <c r="MQX15"/>
      <c r="MQY15"/>
      <c r="MQZ15"/>
      <c r="MRA15"/>
      <c r="MRB15"/>
      <c r="MRC15"/>
      <c r="MRD15"/>
      <c r="MRE15"/>
      <c r="MRF15"/>
      <c r="MRG15"/>
      <c r="MRH15"/>
      <c r="MRI15"/>
      <c r="MRJ15"/>
      <c r="MRK15"/>
      <c r="MRL15"/>
      <c r="MRM15"/>
      <c r="MRN15"/>
      <c r="MRO15"/>
      <c r="MRP15"/>
      <c r="MRQ15"/>
      <c r="MRR15"/>
      <c r="MRS15"/>
      <c r="MRT15"/>
      <c r="MRU15"/>
      <c r="MRV15"/>
      <c r="MRW15"/>
      <c r="MRX15"/>
      <c r="MRY15"/>
      <c r="MRZ15"/>
      <c r="MSA15"/>
      <c r="MSB15"/>
      <c r="MSC15"/>
      <c r="MSD15"/>
      <c r="MSE15"/>
      <c r="MSF15"/>
      <c r="MSG15"/>
      <c r="MSH15"/>
      <c r="MSI15"/>
      <c r="MSJ15"/>
      <c r="MSK15"/>
      <c r="MSL15"/>
      <c r="MSM15"/>
      <c r="MSN15"/>
      <c r="MSO15"/>
      <c r="MSP15"/>
      <c r="MSQ15"/>
      <c r="MSR15"/>
      <c r="MSS15"/>
      <c r="MST15"/>
      <c r="MSU15"/>
      <c r="MSV15"/>
      <c r="MSW15"/>
      <c r="MSX15"/>
      <c r="MSY15"/>
      <c r="MSZ15"/>
      <c r="MTA15"/>
      <c r="MTB15"/>
      <c r="MTC15"/>
      <c r="MTD15"/>
      <c r="MTE15"/>
      <c r="MTF15"/>
      <c r="MTG15"/>
      <c r="MTH15"/>
      <c r="MTI15"/>
      <c r="MTJ15"/>
      <c r="MTK15"/>
      <c r="MTL15"/>
      <c r="MTM15"/>
      <c r="MTN15"/>
      <c r="MTO15"/>
      <c r="MTP15"/>
      <c r="MTQ15"/>
      <c r="MTR15"/>
      <c r="MTS15"/>
      <c r="MTT15"/>
      <c r="MTU15"/>
      <c r="MTV15"/>
      <c r="MTW15"/>
      <c r="MTX15"/>
      <c r="MTY15"/>
      <c r="MTZ15"/>
      <c r="MUA15"/>
      <c r="MUB15"/>
      <c r="MUC15"/>
      <c r="MUD15"/>
      <c r="MUE15"/>
      <c r="MUF15"/>
      <c r="MUG15"/>
      <c r="MUH15"/>
      <c r="MUI15"/>
      <c r="MUJ15"/>
      <c r="MUK15"/>
      <c r="MUL15"/>
      <c r="MUM15"/>
      <c r="MUN15"/>
      <c r="MUO15"/>
      <c r="MUP15"/>
      <c r="MUQ15"/>
      <c r="MUR15"/>
      <c r="MUS15"/>
      <c r="MUT15"/>
      <c r="MUU15"/>
      <c r="MUV15"/>
      <c r="MUW15"/>
      <c r="MUX15"/>
      <c r="MUY15"/>
      <c r="MUZ15"/>
      <c r="MVA15"/>
      <c r="MVB15"/>
      <c r="MVC15"/>
      <c r="MVD15"/>
      <c r="MVE15"/>
      <c r="MVF15"/>
      <c r="MVG15"/>
      <c r="MVH15"/>
      <c r="MVI15"/>
      <c r="MVJ15"/>
      <c r="MVK15"/>
      <c r="MVL15"/>
      <c r="MVM15"/>
      <c r="MVN15"/>
      <c r="MVO15"/>
      <c r="MVP15"/>
      <c r="MVQ15"/>
      <c r="MVR15"/>
      <c r="MVS15"/>
      <c r="MVT15"/>
      <c r="MVU15"/>
      <c r="MVV15"/>
      <c r="MVW15"/>
      <c r="MVX15"/>
      <c r="MVY15"/>
      <c r="MVZ15"/>
      <c r="MWA15"/>
      <c r="MWB15"/>
      <c r="MWC15"/>
      <c r="MWD15"/>
      <c r="MWE15"/>
      <c r="MWF15"/>
      <c r="MWG15"/>
      <c r="MWH15"/>
      <c r="MWI15"/>
      <c r="MWJ15"/>
      <c r="MWK15"/>
      <c r="MWL15"/>
      <c r="MWM15"/>
      <c r="MWN15"/>
      <c r="MWO15"/>
      <c r="MWP15"/>
      <c r="MWQ15"/>
      <c r="MWR15"/>
      <c r="MWS15"/>
      <c r="MWT15"/>
      <c r="MWU15"/>
      <c r="MWV15"/>
      <c r="MWW15"/>
      <c r="MWX15"/>
      <c r="MWY15"/>
      <c r="MWZ15"/>
      <c r="MXA15"/>
      <c r="MXB15"/>
      <c r="MXC15"/>
      <c r="MXD15"/>
      <c r="MXE15"/>
      <c r="MXF15"/>
      <c r="MXG15"/>
      <c r="MXH15"/>
      <c r="MXI15"/>
      <c r="MXJ15"/>
      <c r="MXK15"/>
      <c r="MXL15"/>
      <c r="MXM15"/>
      <c r="MXN15"/>
      <c r="MXO15"/>
      <c r="MXP15"/>
      <c r="MXQ15"/>
      <c r="MXR15"/>
      <c r="MXS15"/>
      <c r="MXT15"/>
      <c r="MXU15"/>
      <c r="MXV15"/>
      <c r="MXW15"/>
      <c r="MXX15"/>
      <c r="MXY15"/>
      <c r="MXZ15"/>
      <c r="MYA15"/>
      <c r="MYB15"/>
      <c r="MYC15"/>
      <c r="MYD15"/>
      <c r="MYE15"/>
      <c r="MYF15"/>
      <c r="MYG15"/>
      <c r="MYH15"/>
      <c r="MYI15"/>
      <c r="MYJ15"/>
      <c r="MYK15"/>
      <c r="MYL15"/>
      <c r="MYM15"/>
      <c r="MYN15"/>
      <c r="MYO15"/>
      <c r="MYP15"/>
      <c r="MYQ15"/>
      <c r="MYR15"/>
      <c r="MYS15"/>
      <c r="MYT15"/>
      <c r="MYU15"/>
      <c r="MYV15"/>
      <c r="MYW15"/>
      <c r="MYX15"/>
      <c r="MYY15"/>
      <c r="MYZ15"/>
      <c r="MZA15"/>
      <c r="MZB15"/>
      <c r="MZC15"/>
      <c r="MZD15"/>
      <c r="MZE15"/>
      <c r="MZF15"/>
      <c r="MZG15"/>
      <c r="MZH15"/>
      <c r="MZI15"/>
      <c r="MZJ15"/>
      <c r="MZK15"/>
      <c r="MZL15"/>
      <c r="MZM15"/>
      <c r="MZN15"/>
      <c r="MZO15"/>
      <c r="MZP15"/>
      <c r="MZQ15"/>
      <c r="MZR15"/>
      <c r="MZS15"/>
      <c r="MZT15"/>
      <c r="MZU15"/>
      <c r="MZV15"/>
      <c r="MZW15"/>
      <c r="MZX15"/>
      <c r="MZY15"/>
      <c r="MZZ15"/>
      <c r="NAA15"/>
      <c r="NAB15"/>
      <c r="NAC15"/>
      <c r="NAD15"/>
      <c r="NAE15"/>
      <c r="NAF15"/>
      <c r="NAG15"/>
      <c r="NAH15"/>
      <c r="NAI15"/>
      <c r="NAJ15"/>
      <c r="NAK15"/>
      <c r="NAL15"/>
      <c r="NAM15"/>
      <c r="NAN15"/>
      <c r="NAO15"/>
      <c r="NAP15"/>
      <c r="NAQ15"/>
      <c r="NAR15"/>
      <c r="NAS15"/>
      <c r="NAT15"/>
      <c r="NAU15"/>
      <c r="NAV15"/>
      <c r="NAW15"/>
      <c r="NAX15"/>
      <c r="NAY15"/>
      <c r="NAZ15"/>
      <c r="NBA15"/>
      <c r="NBB15"/>
      <c r="NBC15"/>
      <c r="NBD15"/>
      <c r="NBE15"/>
      <c r="NBF15"/>
      <c r="NBG15"/>
      <c r="NBH15"/>
      <c r="NBI15"/>
      <c r="NBJ15"/>
      <c r="NBK15"/>
      <c r="NBL15"/>
      <c r="NBM15"/>
      <c r="NBN15"/>
      <c r="NBO15"/>
      <c r="NBP15"/>
      <c r="NBQ15"/>
      <c r="NBR15"/>
      <c r="NBS15"/>
      <c r="NBT15"/>
      <c r="NBU15"/>
      <c r="NBV15"/>
      <c r="NBW15"/>
      <c r="NBX15"/>
      <c r="NBY15"/>
      <c r="NBZ15"/>
      <c r="NCA15"/>
      <c r="NCB15"/>
      <c r="NCC15"/>
      <c r="NCD15"/>
      <c r="NCE15"/>
      <c r="NCF15"/>
      <c r="NCG15"/>
      <c r="NCH15"/>
      <c r="NCI15"/>
      <c r="NCJ15"/>
      <c r="NCK15"/>
      <c r="NCL15"/>
      <c r="NCM15"/>
      <c r="NCN15"/>
      <c r="NCO15"/>
      <c r="NCP15"/>
      <c r="NCQ15"/>
      <c r="NCR15"/>
      <c r="NCS15"/>
      <c r="NCT15"/>
      <c r="NCU15"/>
      <c r="NCV15"/>
      <c r="NCW15"/>
      <c r="NCX15"/>
      <c r="NCY15"/>
      <c r="NCZ15"/>
      <c r="NDA15"/>
      <c r="NDB15"/>
      <c r="NDC15"/>
      <c r="NDD15"/>
      <c r="NDE15"/>
      <c r="NDF15"/>
      <c r="NDG15"/>
      <c r="NDH15"/>
      <c r="NDI15"/>
      <c r="NDJ15"/>
      <c r="NDK15"/>
      <c r="NDL15"/>
      <c r="NDM15"/>
      <c r="NDN15"/>
      <c r="NDO15"/>
      <c r="NDP15"/>
      <c r="NDQ15"/>
      <c r="NDR15"/>
      <c r="NDS15"/>
      <c r="NDT15"/>
      <c r="NDU15"/>
      <c r="NDV15"/>
      <c r="NDW15"/>
      <c r="NDX15"/>
      <c r="NDY15"/>
      <c r="NDZ15"/>
      <c r="NEA15"/>
      <c r="NEB15"/>
      <c r="NEC15"/>
      <c r="NED15"/>
      <c r="NEE15"/>
      <c r="NEF15"/>
      <c r="NEG15"/>
      <c r="NEH15"/>
      <c r="NEI15"/>
      <c r="NEJ15"/>
      <c r="NEK15"/>
      <c r="NEL15"/>
      <c r="NEM15"/>
      <c r="NEN15"/>
      <c r="NEO15"/>
      <c r="NEP15"/>
      <c r="NEQ15"/>
      <c r="NER15"/>
      <c r="NES15"/>
      <c r="NET15"/>
      <c r="NEU15"/>
      <c r="NEV15"/>
      <c r="NEW15"/>
      <c r="NEX15"/>
      <c r="NEY15"/>
      <c r="NEZ15"/>
      <c r="NFA15"/>
      <c r="NFB15"/>
      <c r="NFC15"/>
      <c r="NFD15"/>
      <c r="NFE15"/>
      <c r="NFF15"/>
      <c r="NFG15"/>
      <c r="NFH15"/>
      <c r="NFI15"/>
      <c r="NFJ15"/>
      <c r="NFK15"/>
      <c r="NFL15"/>
      <c r="NFM15"/>
      <c r="NFN15"/>
      <c r="NFO15"/>
      <c r="NFP15"/>
      <c r="NFQ15"/>
      <c r="NFR15"/>
      <c r="NFS15"/>
      <c r="NFT15"/>
      <c r="NFU15"/>
      <c r="NFV15"/>
      <c r="NFW15"/>
      <c r="NFX15"/>
      <c r="NFY15"/>
      <c r="NFZ15"/>
      <c r="NGA15"/>
      <c r="NGB15"/>
      <c r="NGC15"/>
      <c r="NGD15"/>
      <c r="NGE15"/>
      <c r="NGF15"/>
      <c r="NGG15"/>
      <c r="NGH15"/>
      <c r="NGI15"/>
      <c r="NGJ15"/>
      <c r="NGK15"/>
      <c r="NGL15"/>
      <c r="NGM15"/>
      <c r="NGN15"/>
      <c r="NGO15"/>
      <c r="NGP15"/>
      <c r="NGQ15"/>
      <c r="NGR15"/>
      <c r="NGS15"/>
      <c r="NGT15"/>
      <c r="NGU15"/>
      <c r="NGV15"/>
      <c r="NGW15"/>
      <c r="NGX15"/>
      <c r="NGY15"/>
      <c r="NGZ15"/>
      <c r="NHA15"/>
      <c r="NHB15"/>
      <c r="NHC15"/>
      <c r="NHD15"/>
      <c r="NHE15"/>
      <c r="NHF15"/>
      <c r="NHG15"/>
      <c r="NHH15"/>
      <c r="NHI15"/>
      <c r="NHJ15"/>
      <c r="NHK15"/>
      <c r="NHL15"/>
      <c r="NHM15"/>
      <c r="NHN15"/>
      <c r="NHO15"/>
      <c r="NHP15"/>
      <c r="NHQ15"/>
      <c r="NHR15"/>
      <c r="NHS15"/>
      <c r="NHT15"/>
      <c r="NHU15"/>
      <c r="NHV15"/>
      <c r="NHW15"/>
      <c r="NHX15"/>
      <c r="NHY15"/>
      <c r="NHZ15"/>
      <c r="NIA15"/>
      <c r="NIB15"/>
      <c r="NIC15"/>
      <c r="NID15"/>
      <c r="NIE15"/>
      <c r="NIF15"/>
      <c r="NIG15"/>
      <c r="NIH15"/>
      <c r="NII15"/>
      <c r="NIJ15"/>
      <c r="NIK15"/>
      <c r="NIL15"/>
      <c r="NIM15"/>
      <c r="NIN15"/>
      <c r="NIO15"/>
      <c r="NIP15"/>
      <c r="NIQ15"/>
      <c r="NIR15"/>
      <c r="NIS15"/>
      <c r="NIT15"/>
      <c r="NIU15"/>
      <c r="NIV15"/>
      <c r="NIW15"/>
      <c r="NIX15"/>
      <c r="NIY15"/>
      <c r="NIZ15"/>
      <c r="NJA15"/>
      <c r="NJB15"/>
      <c r="NJC15"/>
      <c r="NJD15"/>
      <c r="NJE15"/>
      <c r="NJF15"/>
      <c r="NJG15"/>
      <c r="NJH15"/>
      <c r="NJI15"/>
      <c r="NJJ15"/>
      <c r="NJK15"/>
      <c r="NJL15"/>
      <c r="NJM15"/>
      <c r="NJN15"/>
      <c r="NJO15"/>
      <c r="NJP15"/>
      <c r="NJQ15"/>
      <c r="NJR15"/>
      <c r="NJS15"/>
      <c r="NJT15"/>
      <c r="NJU15"/>
      <c r="NJV15"/>
      <c r="NJW15"/>
      <c r="NJX15"/>
      <c r="NJY15"/>
      <c r="NJZ15"/>
      <c r="NKA15"/>
      <c r="NKB15"/>
      <c r="NKC15"/>
      <c r="NKD15"/>
      <c r="NKE15"/>
      <c r="NKF15"/>
      <c r="NKG15"/>
      <c r="NKH15"/>
      <c r="NKI15"/>
      <c r="NKJ15"/>
      <c r="NKK15"/>
      <c r="NKL15"/>
      <c r="NKM15"/>
      <c r="NKN15"/>
      <c r="NKO15"/>
      <c r="NKP15"/>
      <c r="NKQ15"/>
      <c r="NKR15"/>
      <c r="NKS15"/>
      <c r="NKT15"/>
      <c r="NKU15"/>
      <c r="NKV15"/>
      <c r="NKW15"/>
      <c r="NKX15"/>
      <c r="NKY15"/>
      <c r="NKZ15"/>
      <c r="NLA15"/>
      <c r="NLB15"/>
      <c r="NLC15"/>
      <c r="NLD15"/>
      <c r="NLE15"/>
      <c r="NLF15"/>
      <c r="NLG15"/>
      <c r="NLH15"/>
      <c r="NLI15"/>
      <c r="NLJ15"/>
      <c r="NLK15"/>
      <c r="NLL15"/>
      <c r="NLM15"/>
      <c r="NLN15"/>
      <c r="NLO15"/>
      <c r="NLP15"/>
      <c r="NLQ15"/>
      <c r="NLR15"/>
      <c r="NLS15"/>
      <c r="NLT15"/>
      <c r="NLU15"/>
      <c r="NLV15"/>
      <c r="NLW15"/>
      <c r="NLX15"/>
      <c r="NLY15"/>
      <c r="NLZ15"/>
      <c r="NMA15"/>
      <c r="NMB15"/>
      <c r="NMC15"/>
      <c r="NMD15"/>
      <c r="NME15"/>
      <c r="NMF15"/>
      <c r="NMG15"/>
      <c r="NMH15"/>
      <c r="NMI15"/>
      <c r="NMJ15"/>
      <c r="NMK15"/>
      <c r="NML15"/>
      <c r="NMM15"/>
      <c r="NMN15"/>
      <c r="NMO15"/>
      <c r="NMP15"/>
      <c r="NMQ15"/>
      <c r="NMR15"/>
      <c r="NMS15"/>
      <c r="NMT15"/>
      <c r="NMU15"/>
      <c r="NMV15"/>
      <c r="NMW15"/>
      <c r="NMX15"/>
      <c r="NMY15"/>
      <c r="NMZ15"/>
      <c r="NNA15"/>
      <c r="NNB15"/>
      <c r="NNC15"/>
      <c r="NND15"/>
      <c r="NNE15"/>
      <c r="NNF15"/>
      <c r="NNG15"/>
      <c r="NNH15"/>
      <c r="NNI15"/>
      <c r="NNJ15"/>
      <c r="NNK15"/>
      <c r="NNL15"/>
      <c r="NNM15"/>
      <c r="NNN15"/>
      <c r="NNO15"/>
      <c r="NNP15"/>
      <c r="NNQ15"/>
      <c r="NNR15"/>
      <c r="NNS15"/>
      <c r="NNT15"/>
      <c r="NNU15"/>
      <c r="NNV15"/>
      <c r="NNW15"/>
      <c r="NNX15"/>
      <c r="NNY15"/>
      <c r="NNZ15"/>
      <c r="NOA15"/>
      <c r="NOB15"/>
      <c r="NOC15"/>
      <c r="NOD15"/>
      <c r="NOE15"/>
      <c r="NOF15"/>
      <c r="NOG15"/>
      <c r="NOH15"/>
      <c r="NOI15"/>
      <c r="NOJ15"/>
      <c r="NOK15"/>
      <c r="NOL15"/>
      <c r="NOM15"/>
      <c r="NON15"/>
      <c r="NOO15"/>
      <c r="NOP15"/>
      <c r="NOQ15"/>
      <c r="NOR15"/>
      <c r="NOS15"/>
      <c r="NOT15"/>
      <c r="NOU15"/>
      <c r="NOV15"/>
      <c r="NOW15"/>
      <c r="NOX15"/>
      <c r="NOY15"/>
      <c r="NOZ15"/>
      <c r="NPA15"/>
      <c r="NPB15"/>
      <c r="NPC15"/>
      <c r="NPD15"/>
      <c r="NPE15"/>
      <c r="NPF15"/>
      <c r="NPG15"/>
      <c r="NPH15"/>
      <c r="NPI15"/>
      <c r="NPJ15"/>
      <c r="NPK15"/>
      <c r="NPL15"/>
      <c r="NPM15"/>
      <c r="NPN15"/>
      <c r="NPO15"/>
      <c r="NPP15"/>
      <c r="NPQ15"/>
      <c r="NPR15"/>
      <c r="NPS15"/>
      <c r="NPT15"/>
      <c r="NPU15"/>
      <c r="NPV15"/>
      <c r="NPW15"/>
      <c r="NPX15"/>
      <c r="NPY15"/>
      <c r="NPZ15"/>
      <c r="NQA15"/>
      <c r="NQB15"/>
      <c r="NQC15"/>
      <c r="NQD15"/>
      <c r="NQE15"/>
      <c r="NQF15"/>
      <c r="NQG15"/>
      <c r="NQH15"/>
      <c r="NQI15"/>
      <c r="NQJ15"/>
      <c r="NQK15"/>
      <c r="NQL15"/>
      <c r="NQM15"/>
      <c r="NQN15"/>
      <c r="NQO15"/>
      <c r="NQP15"/>
      <c r="NQQ15"/>
      <c r="NQR15"/>
      <c r="NQS15"/>
      <c r="NQT15"/>
      <c r="NQU15"/>
      <c r="NQV15"/>
      <c r="NQW15"/>
      <c r="NQX15"/>
      <c r="NQY15"/>
      <c r="NQZ15"/>
      <c r="NRA15"/>
      <c r="NRB15"/>
      <c r="NRC15"/>
      <c r="NRD15"/>
      <c r="NRE15"/>
      <c r="NRF15"/>
      <c r="NRG15"/>
      <c r="NRH15"/>
      <c r="NRI15"/>
      <c r="NRJ15"/>
      <c r="NRK15"/>
      <c r="NRL15"/>
      <c r="NRM15"/>
      <c r="NRN15"/>
      <c r="NRO15"/>
      <c r="NRP15"/>
      <c r="NRQ15"/>
      <c r="NRR15"/>
      <c r="NRS15"/>
      <c r="NRT15"/>
      <c r="NRU15"/>
      <c r="NRV15"/>
      <c r="NRW15"/>
      <c r="NRX15"/>
      <c r="NRY15"/>
      <c r="NRZ15"/>
      <c r="NSA15"/>
      <c r="NSB15"/>
      <c r="NSC15"/>
      <c r="NSD15"/>
      <c r="NSE15"/>
      <c r="NSF15"/>
      <c r="NSG15"/>
      <c r="NSH15"/>
      <c r="NSI15"/>
      <c r="NSJ15"/>
      <c r="NSK15"/>
      <c r="NSL15"/>
      <c r="NSM15"/>
      <c r="NSN15"/>
      <c r="NSO15"/>
      <c r="NSP15"/>
      <c r="NSQ15"/>
      <c r="NSR15"/>
      <c r="NSS15"/>
      <c r="NST15"/>
      <c r="NSU15"/>
      <c r="NSV15"/>
      <c r="NSW15"/>
      <c r="NSX15"/>
      <c r="NSY15"/>
      <c r="NSZ15"/>
      <c r="NTA15"/>
      <c r="NTB15"/>
      <c r="NTC15"/>
      <c r="NTD15"/>
      <c r="NTE15"/>
      <c r="NTF15"/>
      <c r="NTG15"/>
      <c r="NTH15"/>
      <c r="NTI15"/>
      <c r="NTJ15"/>
      <c r="NTK15"/>
      <c r="NTL15"/>
      <c r="NTM15"/>
      <c r="NTN15"/>
      <c r="NTO15"/>
      <c r="NTP15"/>
      <c r="NTQ15"/>
      <c r="NTR15"/>
      <c r="NTS15"/>
      <c r="NTT15"/>
      <c r="NTU15"/>
      <c r="NTV15"/>
      <c r="NTW15"/>
      <c r="NTX15"/>
      <c r="NTY15"/>
      <c r="NTZ15"/>
      <c r="NUA15"/>
      <c r="NUB15"/>
      <c r="NUC15"/>
      <c r="NUD15"/>
      <c r="NUE15"/>
      <c r="NUF15"/>
      <c r="NUG15"/>
      <c r="NUH15"/>
      <c r="NUI15"/>
      <c r="NUJ15"/>
      <c r="NUK15"/>
      <c r="NUL15"/>
      <c r="NUM15"/>
      <c r="NUN15"/>
      <c r="NUO15"/>
      <c r="NUP15"/>
      <c r="NUQ15"/>
      <c r="NUR15"/>
      <c r="NUS15"/>
      <c r="NUT15"/>
      <c r="NUU15"/>
      <c r="NUV15"/>
      <c r="NUW15"/>
      <c r="NUX15"/>
      <c r="NUY15"/>
      <c r="NUZ15"/>
      <c r="NVA15"/>
      <c r="NVB15"/>
      <c r="NVC15"/>
      <c r="NVD15"/>
      <c r="NVE15"/>
      <c r="NVF15"/>
      <c r="NVG15"/>
      <c r="NVH15"/>
      <c r="NVI15"/>
      <c r="NVJ15"/>
      <c r="NVK15"/>
      <c r="NVL15"/>
      <c r="NVM15"/>
      <c r="NVN15"/>
      <c r="NVO15"/>
      <c r="NVP15"/>
      <c r="NVQ15"/>
      <c r="NVR15"/>
      <c r="NVS15"/>
      <c r="NVT15"/>
      <c r="NVU15"/>
      <c r="NVV15"/>
      <c r="NVW15"/>
      <c r="NVX15"/>
      <c r="NVY15"/>
      <c r="NVZ15"/>
      <c r="NWA15"/>
      <c r="NWB15"/>
      <c r="NWC15"/>
      <c r="NWD15"/>
      <c r="NWE15"/>
      <c r="NWF15"/>
      <c r="NWG15"/>
      <c r="NWH15"/>
      <c r="NWI15"/>
      <c r="NWJ15"/>
      <c r="NWK15"/>
      <c r="NWL15"/>
      <c r="NWM15"/>
      <c r="NWN15"/>
      <c r="NWO15"/>
      <c r="NWP15"/>
      <c r="NWQ15"/>
      <c r="NWR15"/>
      <c r="NWS15"/>
      <c r="NWT15"/>
      <c r="NWU15"/>
      <c r="NWV15"/>
      <c r="NWW15"/>
      <c r="NWX15"/>
      <c r="NWY15"/>
      <c r="NWZ15"/>
      <c r="NXA15"/>
      <c r="NXB15"/>
      <c r="NXC15"/>
      <c r="NXD15"/>
      <c r="NXE15"/>
      <c r="NXF15"/>
      <c r="NXG15"/>
      <c r="NXH15"/>
      <c r="NXI15"/>
      <c r="NXJ15"/>
      <c r="NXK15"/>
      <c r="NXL15"/>
      <c r="NXM15"/>
      <c r="NXN15"/>
      <c r="NXO15"/>
      <c r="NXP15"/>
      <c r="NXQ15"/>
      <c r="NXR15"/>
      <c r="NXS15"/>
      <c r="NXT15"/>
      <c r="NXU15"/>
      <c r="NXV15"/>
      <c r="NXW15"/>
      <c r="NXX15"/>
      <c r="NXY15"/>
      <c r="NXZ15"/>
      <c r="NYA15"/>
      <c r="NYB15"/>
      <c r="NYC15"/>
      <c r="NYD15"/>
      <c r="NYE15"/>
      <c r="NYF15"/>
      <c r="NYG15"/>
      <c r="NYH15"/>
      <c r="NYI15"/>
      <c r="NYJ15"/>
      <c r="NYK15"/>
      <c r="NYL15"/>
      <c r="NYM15"/>
      <c r="NYN15"/>
      <c r="NYO15"/>
      <c r="NYP15"/>
      <c r="NYQ15"/>
      <c r="NYR15"/>
      <c r="NYS15"/>
      <c r="NYT15"/>
      <c r="NYU15"/>
      <c r="NYV15"/>
      <c r="NYW15"/>
      <c r="NYX15"/>
      <c r="NYY15"/>
      <c r="NYZ15"/>
      <c r="NZA15"/>
      <c r="NZB15"/>
      <c r="NZC15"/>
      <c r="NZD15"/>
      <c r="NZE15"/>
      <c r="NZF15"/>
      <c r="NZG15"/>
      <c r="NZH15"/>
      <c r="NZI15"/>
      <c r="NZJ15"/>
      <c r="NZK15"/>
      <c r="NZL15"/>
      <c r="NZM15"/>
      <c r="NZN15"/>
      <c r="NZO15"/>
      <c r="NZP15"/>
      <c r="NZQ15"/>
      <c r="NZR15"/>
      <c r="NZS15"/>
      <c r="NZT15"/>
      <c r="NZU15"/>
      <c r="NZV15"/>
      <c r="NZW15"/>
      <c r="NZX15"/>
      <c r="NZY15"/>
      <c r="NZZ15"/>
      <c r="OAA15"/>
      <c r="OAB15"/>
      <c r="OAC15"/>
      <c r="OAD15"/>
      <c r="OAE15"/>
      <c r="OAF15"/>
      <c r="OAG15"/>
      <c r="OAH15"/>
      <c r="OAI15"/>
      <c r="OAJ15"/>
      <c r="OAK15"/>
      <c r="OAL15"/>
      <c r="OAM15"/>
      <c r="OAN15"/>
      <c r="OAO15"/>
      <c r="OAP15"/>
      <c r="OAQ15"/>
      <c r="OAR15"/>
      <c r="OAS15"/>
      <c r="OAT15"/>
      <c r="OAU15"/>
      <c r="OAV15"/>
      <c r="OAW15"/>
      <c r="OAX15"/>
      <c r="OAY15"/>
      <c r="OAZ15"/>
      <c r="OBA15"/>
      <c r="OBB15"/>
      <c r="OBC15"/>
      <c r="OBD15"/>
      <c r="OBE15"/>
      <c r="OBF15"/>
      <c r="OBG15"/>
      <c r="OBH15"/>
      <c r="OBI15"/>
      <c r="OBJ15"/>
      <c r="OBK15"/>
      <c r="OBL15"/>
      <c r="OBM15"/>
      <c r="OBN15"/>
      <c r="OBO15"/>
      <c r="OBP15"/>
      <c r="OBQ15"/>
      <c r="OBR15"/>
      <c r="OBS15"/>
      <c r="OBT15"/>
      <c r="OBU15"/>
      <c r="OBV15"/>
      <c r="OBW15"/>
      <c r="OBX15"/>
      <c r="OBY15"/>
      <c r="OBZ15"/>
      <c r="OCA15"/>
      <c r="OCB15"/>
      <c r="OCC15"/>
      <c r="OCD15"/>
      <c r="OCE15"/>
      <c r="OCF15"/>
      <c r="OCG15"/>
      <c r="OCH15"/>
      <c r="OCI15"/>
      <c r="OCJ15"/>
      <c r="OCK15"/>
      <c r="OCL15"/>
      <c r="OCM15"/>
      <c r="OCN15"/>
      <c r="OCO15"/>
      <c r="OCP15"/>
      <c r="OCQ15"/>
      <c r="OCR15"/>
      <c r="OCS15"/>
      <c r="OCT15"/>
      <c r="OCU15"/>
      <c r="OCV15"/>
      <c r="OCW15"/>
      <c r="OCX15"/>
      <c r="OCY15"/>
      <c r="OCZ15"/>
      <c r="ODA15"/>
      <c r="ODB15"/>
      <c r="ODC15"/>
      <c r="ODD15"/>
      <c r="ODE15"/>
      <c r="ODF15"/>
      <c r="ODG15"/>
      <c r="ODH15"/>
      <c r="ODI15"/>
      <c r="ODJ15"/>
      <c r="ODK15"/>
      <c r="ODL15"/>
      <c r="ODM15"/>
      <c r="ODN15"/>
      <c r="ODO15"/>
      <c r="ODP15"/>
      <c r="ODQ15"/>
      <c r="ODR15"/>
      <c r="ODS15"/>
      <c r="ODT15"/>
      <c r="ODU15"/>
      <c r="ODV15"/>
      <c r="ODW15"/>
      <c r="ODX15"/>
      <c r="ODY15"/>
      <c r="ODZ15"/>
      <c r="OEA15"/>
      <c r="OEB15"/>
      <c r="OEC15"/>
      <c r="OED15"/>
      <c r="OEE15"/>
      <c r="OEF15"/>
      <c r="OEG15"/>
      <c r="OEH15"/>
      <c r="OEI15"/>
      <c r="OEJ15"/>
      <c r="OEK15"/>
      <c r="OEL15"/>
      <c r="OEM15"/>
      <c r="OEN15"/>
      <c r="OEO15"/>
      <c r="OEP15"/>
      <c r="OEQ15"/>
      <c r="OER15"/>
      <c r="OES15"/>
      <c r="OET15"/>
      <c r="OEU15"/>
      <c r="OEV15"/>
      <c r="OEW15"/>
      <c r="OEX15"/>
      <c r="OEY15"/>
      <c r="OEZ15"/>
      <c r="OFA15"/>
      <c r="OFB15"/>
      <c r="OFC15"/>
      <c r="OFD15"/>
      <c r="OFE15"/>
      <c r="OFF15"/>
      <c r="OFG15"/>
      <c r="OFH15"/>
      <c r="OFI15"/>
      <c r="OFJ15"/>
      <c r="OFK15"/>
      <c r="OFL15"/>
      <c r="OFM15"/>
      <c r="OFN15"/>
      <c r="OFO15"/>
      <c r="OFP15"/>
      <c r="OFQ15"/>
      <c r="OFR15"/>
      <c r="OFS15"/>
      <c r="OFT15"/>
      <c r="OFU15"/>
      <c r="OFV15"/>
      <c r="OFW15"/>
      <c r="OFX15"/>
      <c r="OFY15"/>
      <c r="OFZ15"/>
      <c r="OGA15"/>
      <c r="OGB15"/>
      <c r="OGC15"/>
      <c r="OGD15"/>
      <c r="OGE15"/>
      <c r="OGF15"/>
      <c r="OGG15"/>
      <c r="OGH15"/>
      <c r="OGI15"/>
      <c r="OGJ15"/>
      <c r="OGK15"/>
      <c r="OGL15"/>
      <c r="OGM15"/>
      <c r="OGN15"/>
      <c r="OGO15"/>
      <c r="OGP15"/>
      <c r="OGQ15"/>
      <c r="OGR15"/>
      <c r="OGS15"/>
      <c r="OGT15"/>
      <c r="OGU15"/>
      <c r="OGV15"/>
      <c r="OGW15"/>
      <c r="OGX15"/>
      <c r="OGY15"/>
      <c r="OGZ15"/>
      <c r="OHA15"/>
      <c r="OHB15"/>
      <c r="OHC15"/>
      <c r="OHD15"/>
      <c r="OHE15"/>
      <c r="OHF15"/>
      <c r="OHG15"/>
      <c r="OHH15"/>
      <c r="OHI15"/>
      <c r="OHJ15"/>
      <c r="OHK15"/>
      <c r="OHL15"/>
      <c r="OHM15"/>
      <c r="OHN15"/>
      <c r="OHO15"/>
      <c r="OHP15"/>
      <c r="OHQ15"/>
      <c r="OHR15"/>
      <c r="OHS15"/>
      <c r="OHT15"/>
      <c r="OHU15"/>
      <c r="OHV15"/>
      <c r="OHW15"/>
      <c r="OHX15"/>
      <c r="OHY15"/>
      <c r="OHZ15"/>
      <c r="OIA15"/>
      <c r="OIB15"/>
      <c r="OIC15"/>
      <c r="OID15"/>
      <c r="OIE15"/>
      <c r="OIF15"/>
      <c r="OIG15"/>
      <c r="OIH15"/>
      <c r="OII15"/>
      <c r="OIJ15"/>
      <c r="OIK15"/>
      <c r="OIL15"/>
      <c r="OIM15"/>
      <c r="OIN15"/>
      <c r="OIO15"/>
      <c r="OIP15"/>
      <c r="OIQ15"/>
      <c r="OIR15"/>
      <c r="OIS15"/>
      <c r="OIT15"/>
      <c r="OIU15"/>
      <c r="OIV15"/>
      <c r="OIW15"/>
      <c r="OIX15"/>
      <c r="OIY15"/>
      <c r="OIZ15"/>
      <c r="OJA15"/>
      <c r="OJB15"/>
      <c r="OJC15"/>
      <c r="OJD15"/>
      <c r="OJE15"/>
      <c r="OJF15"/>
      <c r="OJG15"/>
      <c r="OJH15"/>
      <c r="OJI15"/>
      <c r="OJJ15"/>
      <c r="OJK15"/>
      <c r="OJL15"/>
      <c r="OJM15"/>
      <c r="OJN15"/>
      <c r="OJO15"/>
      <c r="OJP15"/>
      <c r="OJQ15"/>
      <c r="OJR15"/>
      <c r="OJS15"/>
      <c r="OJT15"/>
      <c r="OJU15"/>
      <c r="OJV15"/>
      <c r="OJW15"/>
      <c r="OJX15"/>
      <c r="OJY15"/>
      <c r="OJZ15"/>
      <c r="OKA15"/>
      <c r="OKB15"/>
      <c r="OKC15"/>
      <c r="OKD15"/>
      <c r="OKE15"/>
      <c r="OKF15"/>
      <c r="OKG15"/>
      <c r="OKH15"/>
      <c r="OKI15"/>
      <c r="OKJ15"/>
      <c r="OKK15"/>
      <c r="OKL15"/>
      <c r="OKM15"/>
      <c r="OKN15"/>
      <c r="OKO15"/>
      <c r="OKP15"/>
      <c r="OKQ15"/>
      <c r="OKR15"/>
      <c r="OKS15"/>
      <c r="OKT15"/>
      <c r="OKU15"/>
      <c r="OKV15"/>
      <c r="OKW15"/>
      <c r="OKX15"/>
      <c r="OKY15"/>
      <c r="OKZ15"/>
      <c r="OLA15"/>
      <c r="OLB15"/>
      <c r="OLC15"/>
      <c r="OLD15"/>
      <c r="OLE15"/>
      <c r="OLF15"/>
      <c r="OLG15"/>
      <c r="OLH15"/>
      <c r="OLI15"/>
      <c r="OLJ15"/>
      <c r="OLK15"/>
      <c r="OLL15"/>
      <c r="OLM15"/>
      <c r="OLN15"/>
      <c r="OLO15"/>
      <c r="OLP15"/>
      <c r="OLQ15"/>
      <c r="OLR15"/>
      <c r="OLS15"/>
      <c r="OLT15"/>
      <c r="OLU15"/>
      <c r="OLV15"/>
      <c r="OLW15"/>
      <c r="OLX15"/>
      <c r="OLY15"/>
      <c r="OLZ15"/>
      <c r="OMA15"/>
      <c r="OMB15"/>
      <c r="OMC15"/>
      <c r="OMD15"/>
      <c r="OME15"/>
      <c r="OMF15"/>
      <c r="OMG15"/>
      <c r="OMH15"/>
      <c r="OMI15"/>
      <c r="OMJ15"/>
      <c r="OMK15"/>
      <c r="OML15"/>
      <c r="OMM15"/>
      <c r="OMN15"/>
      <c r="OMO15"/>
      <c r="OMP15"/>
      <c r="OMQ15"/>
      <c r="OMR15"/>
      <c r="OMS15"/>
      <c r="OMT15"/>
      <c r="OMU15"/>
      <c r="OMV15"/>
      <c r="OMW15"/>
      <c r="OMX15"/>
      <c r="OMY15"/>
      <c r="OMZ15"/>
      <c r="ONA15"/>
      <c r="ONB15"/>
      <c r="ONC15"/>
      <c r="OND15"/>
      <c r="ONE15"/>
      <c r="ONF15"/>
      <c r="ONG15"/>
      <c r="ONH15"/>
      <c r="ONI15"/>
      <c r="ONJ15"/>
      <c r="ONK15"/>
      <c r="ONL15"/>
      <c r="ONM15"/>
      <c r="ONN15"/>
      <c r="ONO15"/>
      <c r="ONP15"/>
      <c r="ONQ15"/>
      <c r="ONR15"/>
      <c r="ONS15"/>
      <c r="ONT15"/>
      <c r="ONU15"/>
      <c r="ONV15"/>
      <c r="ONW15"/>
      <c r="ONX15"/>
      <c r="ONY15"/>
      <c r="ONZ15"/>
      <c r="OOA15"/>
      <c r="OOB15"/>
      <c r="OOC15"/>
      <c r="OOD15"/>
      <c r="OOE15"/>
      <c r="OOF15"/>
      <c r="OOG15"/>
      <c r="OOH15"/>
      <c r="OOI15"/>
      <c r="OOJ15"/>
      <c r="OOK15"/>
      <c r="OOL15"/>
      <c r="OOM15"/>
      <c r="OON15"/>
      <c r="OOO15"/>
      <c r="OOP15"/>
      <c r="OOQ15"/>
      <c r="OOR15"/>
      <c r="OOS15"/>
      <c r="OOT15"/>
      <c r="OOU15"/>
      <c r="OOV15"/>
      <c r="OOW15"/>
      <c r="OOX15"/>
      <c r="OOY15"/>
      <c r="OOZ15"/>
      <c r="OPA15"/>
      <c r="OPB15"/>
      <c r="OPC15"/>
      <c r="OPD15"/>
      <c r="OPE15"/>
      <c r="OPF15"/>
      <c r="OPG15"/>
      <c r="OPH15"/>
      <c r="OPI15"/>
      <c r="OPJ15"/>
      <c r="OPK15"/>
      <c r="OPL15"/>
      <c r="OPM15"/>
      <c r="OPN15"/>
      <c r="OPO15"/>
      <c r="OPP15"/>
      <c r="OPQ15"/>
      <c r="OPR15"/>
      <c r="OPS15"/>
      <c r="OPT15"/>
      <c r="OPU15"/>
      <c r="OPV15"/>
      <c r="OPW15"/>
      <c r="OPX15"/>
      <c r="OPY15"/>
      <c r="OPZ15"/>
      <c r="OQA15"/>
      <c r="OQB15"/>
      <c r="OQC15"/>
      <c r="OQD15"/>
      <c r="OQE15"/>
      <c r="OQF15"/>
      <c r="OQG15"/>
      <c r="OQH15"/>
      <c r="OQI15"/>
      <c r="OQJ15"/>
      <c r="OQK15"/>
      <c r="OQL15"/>
      <c r="OQM15"/>
      <c r="OQN15"/>
      <c r="OQO15"/>
      <c r="OQP15"/>
      <c r="OQQ15"/>
      <c r="OQR15"/>
      <c r="OQS15"/>
      <c r="OQT15"/>
      <c r="OQU15"/>
      <c r="OQV15"/>
      <c r="OQW15"/>
      <c r="OQX15"/>
      <c r="OQY15"/>
      <c r="OQZ15"/>
      <c r="ORA15"/>
      <c r="ORB15"/>
      <c r="ORC15"/>
      <c r="ORD15"/>
      <c r="ORE15"/>
      <c r="ORF15"/>
      <c r="ORG15"/>
      <c r="ORH15"/>
      <c r="ORI15"/>
      <c r="ORJ15"/>
      <c r="ORK15"/>
      <c r="ORL15"/>
      <c r="ORM15"/>
      <c r="ORN15"/>
      <c r="ORO15"/>
      <c r="ORP15"/>
      <c r="ORQ15"/>
      <c r="ORR15"/>
      <c r="ORS15"/>
      <c r="ORT15"/>
      <c r="ORU15"/>
      <c r="ORV15"/>
      <c r="ORW15"/>
      <c r="ORX15"/>
      <c r="ORY15"/>
      <c r="ORZ15"/>
      <c r="OSA15"/>
      <c r="OSB15"/>
      <c r="OSC15"/>
      <c r="OSD15"/>
      <c r="OSE15"/>
      <c r="OSF15"/>
      <c r="OSG15"/>
      <c r="OSH15"/>
      <c r="OSI15"/>
      <c r="OSJ15"/>
      <c r="OSK15"/>
      <c r="OSL15"/>
      <c r="OSM15"/>
      <c r="OSN15"/>
      <c r="OSO15"/>
      <c r="OSP15"/>
      <c r="OSQ15"/>
      <c r="OSR15"/>
      <c r="OSS15"/>
      <c r="OST15"/>
      <c r="OSU15"/>
      <c r="OSV15"/>
      <c r="OSW15"/>
      <c r="OSX15"/>
      <c r="OSY15"/>
      <c r="OSZ15"/>
      <c r="OTA15"/>
      <c r="OTB15"/>
      <c r="OTC15"/>
      <c r="OTD15"/>
      <c r="OTE15"/>
      <c r="OTF15"/>
      <c r="OTG15"/>
      <c r="OTH15"/>
      <c r="OTI15"/>
      <c r="OTJ15"/>
      <c r="OTK15"/>
      <c r="OTL15"/>
      <c r="OTM15"/>
      <c r="OTN15"/>
      <c r="OTO15"/>
      <c r="OTP15"/>
      <c r="OTQ15"/>
      <c r="OTR15"/>
      <c r="OTS15"/>
      <c r="OTT15"/>
      <c r="OTU15"/>
      <c r="OTV15"/>
      <c r="OTW15"/>
      <c r="OTX15"/>
      <c r="OTY15"/>
      <c r="OTZ15"/>
      <c r="OUA15"/>
      <c r="OUB15"/>
      <c r="OUC15"/>
      <c r="OUD15"/>
      <c r="OUE15"/>
      <c r="OUF15"/>
      <c r="OUG15"/>
      <c r="OUH15"/>
      <c r="OUI15"/>
      <c r="OUJ15"/>
      <c r="OUK15"/>
      <c r="OUL15"/>
      <c r="OUM15"/>
      <c r="OUN15"/>
      <c r="OUO15"/>
      <c r="OUP15"/>
      <c r="OUQ15"/>
      <c r="OUR15"/>
      <c r="OUS15"/>
      <c r="OUT15"/>
      <c r="OUU15"/>
      <c r="OUV15"/>
      <c r="OUW15"/>
      <c r="OUX15"/>
      <c r="OUY15"/>
      <c r="OUZ15"/>
      <c r="OVA15"/>
      <c r="OVB15"/>
      <c r="OVC15"/>
      <c r="OVD15"/>
      <c r="OVE15"/>
      <c r="OVF15"/>
      <c r="OVG15"/>
      <c r="OVH15"/>
      <c r="OVI15"/>
      <c r="OVJ15"/>
      <c r="OVK15"/>
      <c r="OVL15"/>
      <c r="OVM15"/>
      <c r="OVN15"/>
      <c r="OVO15"/>
      <c r="OVP15"/>
      <c r="OVQ15"/>
      <c r="OVR15"/>
      <c r="OVS15"/>
      <c r="OVT15"/>
      <c r="OVU15"/>
      <c r="OVV15"/>
      <c r="OVW15"/>
      <c r="OVX15"/>
      <c r="OVY15"/>
      <c r="OVZ15"/>
      <c r="OWA15"/>
      <c r="OWB15"/>
      <c r="OWC15"/>
      <c r="OWD15"/>
      <c r="OWE15"/>
      <c r="OWF15"/>
      <c r="OWG15"/>
      <c r="OWH15"/>
      <c r="OWI15"/>
      <c r="OWJ15"/>
      <c r="OWK15"/>
      <c r="OWL15"/>
      <c r="OWM15"/>
      <c r="OWN15"/>
      <c r="OWO15"/>
      <c r="OWP15"/>
      <c r="OWQ15"/>
      <c r="OWR15"/>
      <c r="OWS15"/>
      <c r="OWT15"/>
      <c r="OWU15"/>
      <c r="OWV15"/>
      <c r="OWW15"/>
      <c r="OWX15"/>
      <c r="OWY15"/>
      <c r="OWZ15"/>
      <c r="OXA15"/>
      <c r="OXB15"/>
      <c r="OXC15"/>
      <c r="OXD15"/>
      <c r="OXE15"/>
      <c r="OXF15"/>
      <c r="OXG15"/>
      <c r="OXH15"/>
      <c r="OXI15"/>
      <c r="OXJ15"/>
      <c r="OXK15"/>
      <c r="OXL15"/>
      <c r="OXM15"/>
      <c r="OXN15"/>
      <c r="OXO15"/>
      <c r="OXP15"/>
      <c r="OXQ15"/>
      <c r="OXR15"/>
      <c r="OXS15"/>
      <c r="OXT15"/>
      <c r="OXU15"/>
      <c r="OXV15"/>
      <c r="OXW15"/>
      <c r="OXX15"/>
      <c r="OXY15"/>
      <c r="OXZ15"/>
      <c r="OYA15"/>
      <c r="OYB15"/>
      <c r="OYC15"/>
      <c r="OYD15"/>
      <c r="OYE15"/>
      <c r="OYF15"/>
      <c r="OYG15"/>
      <c r="OYH15"/>
      <c r="OYI15"/>
      <c r="OYJ15"/>
      <c r="OYK15"/>
      <c r="OYL15"/>
      <c r="OYM15"/>
      <c r="OYN15"/>
      <c r="OYO15"/>
      <c r="OYP15"/>
      <c r="OYQ15"/>
      <c r="OYR15"/>
      <c r="OYS15"/>
      <c r="OYT15"/>
      <c r="OYU15"/>
      <c r="OYV15"/>
      <c r="OYW15"/>
      <c r="OYX15"/>
      <c r="OYY15"/>
      <c r="OYZ15"/>
      <c r="OZA15"/>
      <c r="OZB15"/>
      <c r="OZC15"/>
      <c r="OZD15"/>
      <c r="OZE15"/>
      <c r="OZF15"/>
      <c r="OZG15"/>
      <c r="OZH15"/>
      <c r="OZI15"/>
      <c r="OZJ15"/>
      <c r="OZK15"/>
      <c r="OZL15"/>
      <c r="OZM15"/>
      <c r="OZN15"/>
      <c r="OZO15"/>
      <c r="OZP15"/>
      <c r="OZQ15"/>
      <c r="OZR15"/>
      <c r="OZS15"/>
      <c r="OZT15"/>
      <c r="OZU15"/>
      <c r="OZV15"/>
      <c r="OZW15"/>
      <c r="OZX15"/>
      <c r="OZY15"/>
      <c r="OZZ15"/>
      <c r="PAA15"/>
      <c r="PAB15"/>
      <c r="PAC15"/>
      <c r="PAD15"/>
      <c r="PAE15"/>
      <c r="PAF15"/>
      <c r="PAG15"/>
      <c r="PAH15"/>
      <c r="PAI15"/>
      <c r="PAJ15"/>
      <c r="PAK15"/>
      <c r="PAL15"/>
      <c r="PAM15"/>
      <c r="PAN15"/>
      <c r="PAO15"/>
      <c r="PAP15"/>
      <c r="PAQ15"/>
      <c r="PAR15"/>
      <c r="PAS15"/>
      <c r="PAT15"/>
      <c r="PAU15"/>
      <c r="PAV15"/>
      <c r="PAW15"/>
      <c r="PAX15"/>
      <c r="PAY15"/>
      <c r="PAZ15"/>
      <c r="PBA15"/>
      <c r="PBB15"/>
      <c r="PBC15"/>
      <c r="PBD15"/>
      <c r="PBE15"/>
      <c r="PBF15"/>
      <c r="PBG15"/>
      <c r="PBH15"/>
      <c r="PBI15"/>
      <c r="PBJ15"/>
      <c r="PBK15"/>
      <c r="PBL15"/>
      <c r="PBM15"/>
      <c r="PBN15"/>
      <c r="PBO15"/>
      <c r="PBP15"/>
      <c r="PBQ15"/>
      <c r="PBR15"/>
      <c r="PBS15"/>
      <c r="PBT15"/>
      <c r="PBU15"/>
      <c r="PBV15"/>
      <c r="PBW15"/>
      <c r="PBX15"/>
      <c r="PBY15"/>
      <c r="PBZ15"/>
      <c r="PCA15"/>
      <c r="PCB15"/>
      <c r="PCC15"/>
      <c r="PCD15"/>
      <c r="PCE15"/>
      <c r="PCF15"/>
      <c r="PCG15"/>
      <c r="PCH15"/>
      <c r="PCI15"/>
      <c r="PCJ15"/>
      <c r="PCK15"/>
      <c r="PCL15"/>
      <c r="PCM15"/>
      <c r="PCN15"/>
      <c r="PCO15"/>
      <c r="PCP15"/>
      <c r="PCQ15"/>
      <c r="PCR15"/>
      <c r="PCS15"/>
      <c r="PCT15"/>
      <c r="PCU15"/>
      <c r="PCV15"/>
      <c r="PCW15"/>
      <c r="PCX15"/>
      <c r="PCY15"/>
      <c r="PCZ15"/>
      <c r="PDA15"/>
      <c r="PDB15"/>
      <c r="PDC15"/>
      <c r="PDD15"/>
      <c r="PDE15"/>
      <c r="PDF15"/>
      <c r="PDG15"/>
      <c r="PDH15"/>
      <c r="PDI15"/>
      <c r="PDJ15"/>
      <c r="PDK15"/>
      <c r="PDL15"/>
      <c r="PDM15"/>
      <c r="PDN15"/>
      <c r="PDO15"/>
      <c r="PDP15"/>
      <c r="PDQ15"/>
      <c r="PDR15"/>
      <c r="PDS15"/>
      <c r="PDT15"/>
      <c r="PDU15"/>
      <c r="PDV15"/>
      <c r="PDW15"/>
      <c r="PDX15"/>
      <c r="PDY15"/>
      <c r="PDZ15"/>
      <c r="PEA15"/>
      <c r="PEB15"/>
      <c r="PEC15"/>
      <c r="PED15"/>
      <c r="PEE15"/>
      <c r="PEF15"/>
      <c r="PEG15"/>
      <c r="PEH15"/>
      <c r="PEI15"/>
      <c r="PEJ15"/>
      <c r="PEK15"/>
      <c r="PEL15"/>
      <c r="PEM15"/>
      <c r="PEN15"/>
      <c r="PEO15"/>
      <c r="PEP15"/>
      <c r="PEQ15"/>
      <c r="PER15"/>
      <c r="PES15"/>
      <c r="PET15"/>
      <c r="PEU15"/>
      <c r="PEV15"/>
      <c r="PEW15"/>
      <c r="PEX15"/>
      <c r="PEY15"/>
      <c r="PEZ15"/>
      <c r="PFA15"/>
      <c r="PFB15"/>
      <c r="PFC15"/>
      <c r="PFD15"/>
      <c r="PFE15"/>
      <c r="PFF15"/>
      <c r="PFG15"/>
      <c r="PFH15"/>
      <c r="PFI15"/>
      <c r="PFJ15"/>
      <c r="PFK15"/>
      <c r="PFL15"/>
      <c r="PFM15"/>
      <c r="PFN15"/>
      <c r="PFO15"/>
      <c r="PFP15"/>
      <c r="PFQ15"/>
      <c r="PFR15"/>
      <c r="PFS15"/>
      <c r="PFT15"/>
      <c r="PFU15"/>
      <c r="PFV15"/>
      <c r="PFW15"/>
      <c r="PFX15"/>
      <c r="PFY15"/>
      <c r="PFZ15"/>
      <c r="PGA15"/>
      <c r="PGB15"/>
      <c r="PGC15"/>
      <c r="PGD15"/>
      <c r="PGE15"/>
      <c r="PGF15"/>
      <c r="PGG15"/>
      <c r="PGH15"/>
      <c r="PGI15"/>
      <c r="PGJ15"/>
      <c r="PGK15"/>
      <c r="PGL15"/>
      <c r="PGM15"/>
      <c r="PGN15"/>
      <c r="PGO15"/>
      <c r="PGP15"/>
      <c r="PGQ15"/>
      <c r="PGR15"/>
      <c r="PGS15"/>
      <c r="PGT15"/>
      <c r="PGU15"/>
      <c r="PGV15"/>
      <c r="PGW15"/>
      <c r="PGX15"/>
      <c r="PGY15"/>
      <c r="PGZ15"/>
      <c r="PHA15"/>
      <c r="PHB15"/>
      <c r="PHC15"/>
      <c r="PHD15"/>
      <c r="PHE15"/>
      <c r="PHF15"/>
      <c r="PHG15"/>
      <c r="PHH15"/>
      <c r="PHI15"/>
      <c r="PHJ15"/>
      <c r="PHK15"/>
      <c r="PHL15"/>
      <c r="PHM15"/>
      <c r="PHN15"/>
      <c r="PHO15"/>
      <c r="PHP15"/>
      <c r="PHQ15"/>
      <c r="PHR15"/>
      <c r="PHS15"/>
      <c r="PHT15"/>
      <c r="PHU15"/>
      <c r="PHV15"/>
      <c r="PHW15"/>
      <c r="PHX15"/>
      <c r="PHY15"/>
      <c r="PHZ15"/>
      <c r="PIA15"/>
      <c r="PIB15"/>
      <c r="PIC15"/>
      <c r="PID15"/>
      <c r="PIE15"/>
      <c r="PIF15"/>
      <c r="PIG15"/>
      <c r="PIH15"/>
      <c r="PII15"/>
      <c r="PIJ15"/>
      <c r="PIK15"/>
      <c r="PIL15"/>
      <c r="PIM15"/>
      <c r="PIN15"/>
      <c r="PIO15"/>
      <c r="PIP15"/>
      <c r="PIQ15"/>
      <c r="PIR15"/>
      <c r="PIS15"/>
      <c r="PIT15"/>
      <c r="PIU15"/>
      <c r="PIV15"/>
      <c r="PIW15"/>
      <c r="PIX15"/>
      <c r="PIY15"/>
      <c r="PIZ15"/>
      <c r="PJA15"/>
      <c r="PJB15"/>
      <c r="PJC15"/>
      <c r="PJD15"/>
      <c r="PJE15"/>
      <c r="PJF15"/>
      <c r="PJG15"/>
      <c r="PJH15"/>
      <c r="PJI15"/>
      <c r="PJJ15"/>
      <c r="PJK15"/>
      <c r="PJL15"/>
      <c r="PJM15"/>
      <c r="PJN15"/>
      <c r="PJO15"/>
      <c r="PJP15"/>
      <c r="PJQ15"/>
      <c r="PJR15"/>
      <c r="PJS15"/>
      <c r="PJT15"/>
      <c r="PJU15"/>
      <c r="PJV15"/>
      <c r="PJW15"/>
      <c r="PJX15"/>
      <c r="PJY15"/>
      <c r="PJZ15"/>
      <c r="PKA15"/>
      <c r="PKB15"/>
      <c r="PKC15"/>
      <c r="PKD15"/>
      <c r="PKE15"/>
      <c r="PKF15"/>
      <c r="PKG15"/>
      <c r="PKH15"/>
      <c r="PKI15"/>
      <c r="PKJ15"/>
      <c r="PKK15"/>
      <c r="PKL15"/>
      <c r="PKM15"/>
      <c r="PKN15"/>
      <c r="PKO15"/>
      <c r="PKP15"/>
      <c r="PKQ15"/>
      <c r="PKR15"/>
      <c r="PKS15"/>
      <c r="PKT15"/>
      <c r="PKU15"/>
      <c r="PKV15"/>
      <c r="PKW15"/>
      <c r="PKX15"/>
      <c r="PKY15"/>
      <c r="PKZ15"/>
      <c r="PLA15"/>
      <c r="PLB15"/>
      <c r="PLC15"/>
      <c r="PLD15"/>
      <c r="PLE15"/>
      <c r="PLF15"/>
      <c r="PLG15"/>
      <c r="PLH15"/>
      <c r="PLI15"/>
      <c r="PLJ15"/>
      <c r="PLK15"/>
      <c r="PLL15"/>
      <c r="PLM15"/>
      <c r="PLN15"/>
      <c r="PLO15"/>
      <c r="PLP15"/>
      <c r="PLQ15"/>
      <c r="PLR15"/>
      <c r="PLS15"/>
      <c r="PLT15"/>
      <c r="PLU15"/>
      <c r="PLV15"/>
      <c r="PLW15"/>
      <c r="PLX15"/>
      <c r="PLY15"/>
      <c r="PLZ15"/>
      <c r="PMA15"/>
      <c r="PMB15"/>
      <c r="PMC15"/>
      <c r="PMD15"/>
      <c r="PME15"/>
      <c r="PMF15"/>
      <c r="PMG15"/>
      <c r="PMH15"/>
      <c r="PMI15"/>
      <c r="PMJ15"/>
      <c r="PMK15"/>
      <c r="PML15"/>
      <c r="PMM15"/>
      <c r="PMN15"/>
      <c r="PMO15"/>
      <c r="PMP15"/>
      <c r="PMQ15"/>
      <c r="PMR15"/>
      <c r="PMS15"/>
      <c r="PMT15"/>
      <c r="PMU15"/>
      <c r="PMV15"/>
      <c r="PMW15"/>
      <c r="PMX15"/>
      <c r="PMY15"/>
      <c r="PMZ15"/>
      <c r="PNA15"/>
      <c r="PNB15"/>
      <c r="PNC15"/>
      <c r="PND15"/>
      <c r="PNE15"/>
      <c r="PNF15"/>
      <c r="PNG15"/>
      <c r="PNH15"/>
      <c r="PNI15"/>
      <c r="PNJ15"/>
      <c r="PNK15"/>
      <c r="PNL15"/>
      <c r="PNM15"/>
      <c r="PNN15"/>
      <c r="PNO15"/>
      <c r="PNP15"/>
      <c r="PNQ15"/>
      <c r="PNR15"/>
      <c r="PNS15"/>
      <c r="PNT15"/>
      <c r="PNU15"/>
      <c r="PNV15"/>
      <c r="PNW15"/>
      <c r="PNX15"/>
      <c r="PNY15"/>
      <c r="PNZ15"/>
      <c r="POA15"/>
      <c r="POB15"/>
      <c r="POC15"/>
      <c r="POD15"/>
      <c r="POE15"/>
      <c r="POF15"/>
      <c r="POG15"/>
      <c r="POH15"/>
      <c r="POI15"/>
      <c r="POJ15"/>
      <c r="POK15"/>
      <c r="POL15"/>
      <c r="POM15"/>
      <c r="PON15"/>
      <c r="POO15"/>
      <c r="POP15"/>
      <c r="POQ15"/>
      <c r="POR15"/>
      <c r="POS15"/>
      <c r="POT15"/>
      <c r="POU15"/>
      <c r="POV15"/>
      <c r="POW15"/>
      <c r="POX15"/>
      <c r="POY15"/>
      <c r="POZ15"/>
      <c r="PPA15"/>
      <c r="PPB15"/>
      <c r="PPC15"/>
      <c r="PPD15"/>
      <c r="PPE15"/>
      <c r="PPF15"/>
      <c r="PPG15"/>
      <c r="PPH15"/>
      <c r="PPI15"/>
      <c r="PPJ15"/>
      <c r="PPK15"/>
      <c r="PPL15"/>
      <c r="PPM15"/>
      <c r="PPN15"/>
      <c r="PPO15"/>
      <c r="PPP15"/>
      <c r="PPQ15"/>
      <c r="PPR15"/>
      <c r="PPS15"/>
      <c r="PPT15"/>
      <c r="PPU15"/>
      <c r="PPV15"/>
      <c r="PPW15"/>
      <c r="PPX15"/>
      <c r="PPY15"/>
      <c r="PPZ15"/>
      <c r="PQA15"/>
      <c r="PQB15"/>
      <c r="PQC15"/>
      <c r="PQD15"/>
      <c r="PQE15"/>
      <c r="PQF15"/>
      <c r="PQG15"/>
      <c r="PQH15"/>
      <c r="PQI15"/>
      <c r="PQJ15"/>
      <c r="PQK15"/>
      <c r="PQL15"/>
      <c r="PQM15"/>
      <c r="PQN15"/>
      <c r="PQO15"/>
      <c r="PQP15"/>
      <c r="PQQ15"/>
      <c r="PQR15"/>
      <c r="PQS15"/>
      <c r="PQT15"/>
      <c r="PQU15"/>
      <c r="PQV15"/>
      <c r="PQW15"/>
      <c r="PQX15"/>
      <c r="PQY15"/>
      <c r="PQZ15"/>
      <c r="PRA15"/>
      <c r="PRB15"/>
      <c r="PRC15"/>
      <c r="PRD15"/>
      <c r="PRE15"/>
      <c r="PRF15"/>
      <c r="PRG15"/>
      <c r="PRH15"/>
      <c r="PRI15"/>
      <c r="PRJ15"/>
      <c r="PRK15"/>
      <c r="PRL15"/>
      <c r="PRM15"/>
      <c r="PRN15"/>
      <c r="PRO15"/>
      <c r="PRP15"/>
      <c r="PRQ15"/>
      <c r="PRR15"/>
      <c r="PRS15"/>
      <c r="PRT15"/>
      <c r="PRU15"/>
      <c r="PRV15"/>
      <c r="PRW15"/>
      <c r="PRX15"/>
      <c r="PRY15"/>
      <c r="PRZ15"/>
      <c r="PSA15"/>
      <c r="PSB15"/>
      <c r="PSC15"/>
      <c r="PSD15"/>
      <c r="PSE15"/>
      <c r="PSF15"/>
      <c r="PSG15"/>
      <c r="PSH15"/>
      <c r="PSI15"/>
      <c r="PSJ15"/>
      <c r="PSK15"/>
      <c r="PSL15"/>
      <c r="PSM15"/>
      <c r="PSN15"/>
      <c r="PSO15"/>
      <c r="PSP15"/>
      <c r="PSQ15"/>
      <c r="PSR15"/>
      <c r="PSS15"/>
      <c r="PST15"/>
      <c r="PSU15"/>
      <c r="PSV15"/>
      <c r="PSW15"/>
      <c r="PSX15"/>
      <c r="PSY15"/>
      <c r="PSZ15"/>
      <c r="PTA15"/>
      <c r="PTB15"/>
      <c r="PTC15"/>
      <c r="PTD15"/>
      <c r="PTE15"/>
      <c r="PTF15"/>
      <c r="PTG15"/>
      <c r="PTH15"/>
      <c r="PTI15"/>
      <c r="PTJ15"/>
      <c r="PTK15"/>
      <c r="PTL15"/>
      <c r="PTM15"/>
      <c r="PTN15"/>
      <c r="PTO15"/>
      <c r="PTP15"/>
      <c r="PTQ15"/>
      <c r="PTR15"/>
      <c r="PTS15"/>
      <c r="PTT15"/>
      <c r="PTU15"/>
      <c r="PTV15"/>
      <c r="PTW15"/>
      <c r="PTX15"/>
      <c r="PTY15"/>
      <c r="PTZ15"/>
      <c r="PUA15"/>
      <c r="PUB15"/>
      <c r="PUC15"/>
      <c r="PUD15"/>
      <c r="PUE15"/>
      <c r="PUF15"/>
      <c r="PUG15"/>
      <c r="PUH15"/>
      <c r="PUI15"/>
      <c r="PUJ15"/>
      <c r="PUK15"/>
      <c r="PUL15"/>
      <c r="PUM15"/>
      <c r="PUN15"/>
      <c r="PUO15"/>
      <c r="PUP15"/>
      <c r="PUQ15"/>
      <c r="PUR15"/>
      <c r="PUS15"/>
      <c r="PUT15"/>
      <c r="PUU15"/>
      <c r="PUV15"/>
      <c r="PUW15"/>
      <c r="PUX15"/>
      <c r="PUY15"/>
      <c r="PUZ15"/>
      <c r="PVA15"/>
      <c r="PVB15"/>
      <c r="PVC15"/>
      <c r="PVD15"/>
      <c r="PVE15"/>
      <c r="PVF15"/>
      <c r="PVG15"/>
      <c r="PVH15"/>
      <c r="PVI15"/>
      <c r="PVJ15"/>
      <c r="PVK15"/>
      <c r="PVL15"/>
      <c r="PVM15"/>
      <c r="PVN15"/>
      <c r="PVO15"/>
      <c r="PVP15"/>
      <c r="PVQ15"/>
      <c r="PVR15"/>
      <c r="PVS15"/>
      <c r="PVT15"/>
      <c r="PVU15"/>
      <c r="PVV15"/>
      <c r="PVW15"/>
      <c r="PVX15"/>
      <c r="PVY15"/>
      <c r="PVZ15"/>
      <c r="PWA15"/>
      <c r="PWB15"/>
      <c r="PWC15"/>
      <c r="PWD15"/>
      <c r="PWE15"/>
      <c r="PWF15"/>
      <c r="PWG15"/>
      <c r="PWH15"/>
      <c r="PWI15"/>
      <c r="PWJ15"/>
      <c r="PWK15"/>
      <c r="PWL15"/>
      <c r="PWM15"/>
      <c r="PWN15"/>
      <c r="PWO15"/>
      <c r="PWP15"/>
      <c r="PWQ15"/>
      <c r="PWR15"/>
      <c r="PWS15"/>
      <c r="PWT15"/>
      <c r="PWU15"/>
      <c r="PWV15"/>
      <c r="PWW15"/>
      <c r="PWX15"/>
      <c r="PWY15"/>
      <c r="PWZ15"/>
      <c r="PXA15"/>
      <c r="PXB15"/>
      <c r="PXC15"/>
      <c r="PXD15"/>
      <c r="PXE15"/>
      <c r="PXF15"/>
      <c r="PXG15"/>
      <c r="PXH15"/>
      <c r="PXI15"/>
      <c r="PXJ15"/>
      <c r="PXK15"/>
      <c r="PXL15"/>
      <c r="PXM15"/>
      <c r="PXN15"/>
      <c r="PXO15"/>
      <c r="PXP15"/>
      <c r="PXQ15"/>
      <c r="PXR15"/>
      <c r="PXS15"/>
      <c r="PXT15"/>
      <c r="PXU15"/>
      <c r="PXV15"/>
      <c r="PXW15"/>
      <c r="PXX15"/>
      <c r="PXY15"/>
      <c r="PXZ15"/>
      <c r="PYA15"/>
      <c r="PYB15"/>
      <c r="PYC15"/>
      <c r="PYD15"/>
      <c r="PYE15"/>
      <c r="PYF15"/>
      <c r="PYG15"/>
      <c r="PYH15"/>
      <c r="PYI15"/>
      <c r="PYJ15"/>
      <c r="PYK15"/>
      <c r="PYL15"/>
      <c r="PYM15"/>
      <c r="PYN15"/>
      <c r="PYO15"/>
      <c r="PYP15"/>
      <c r="PYQ15"/>
      <c r="PYR15"/>
      <c r="PYS15"/>
      <c r="PYT15"/>
      <c r="PYU15"/>
      <c r="PYV15"/>
      <c r="PYW15"/>
      <c r="PYX15"/>
      <c r="PYY15"/>
      <c r="PYZ15"/>
      <c r="PZA15"/>
      <c r="PZB15"/>
      <c r="PZC15"/>
      <c r="PZD15"/>
      <c r="PZE15"/>
      <c r="PZF15"/>
      <c r="PZG15"/>
      <c r="PZH15"/>
      <c r="PZI15"/>
      <c r="PZJ15"/>
      <c r="PZK15"/>
      <c r="PZL15"/>
      <c r="PZM15"/>
      <c r="PZN15"/>
      <c r="PZO15"/>
      <c r="PZP15"/>
      <c r="PZQ15"/>
      <c r="PZR15"/>
      <c r="PZS15"/>
      <c r="PZT15"/>
      <c r="PZU15"/>
      <c r="PZV15"/>
      <c r="PZW15"/>
      <c r="PZX15"/>
      <c r="PZY15"/>
      <c r="PZZ15"/>
      <c r="QAA15"/>
      <c r="QAB15"/>
      <c r="QAC15"/>
      <c r="QAD15"/>
      <c r="QAE15"/>
      <c r="QAF15"/>
      <c r="QAG15"/>
      <c r="QAH15"/>
      <c r="QAI15"/>
      <c r="QAJ15"/>
      <c r="QAK15"/>
      <c r="QAL15"/>
      <c r="QAM15"/>
      <c r="QAN15"/>
      <c r="QAO15"/>
      <c r="QAP15"/>
      <c r="QAQ15"/>
      <c r="QAR15"/>
      <c r="QAS15"/>
      <c r="QAT15"/>
      <c r="QAU15"/>
      <c r="QAV15"/>
      <c r="QAW15"/>
      <c r="QAX15"/>
      <c r="QAY15"/>
      <c r="QAZ15"/>
      <c r="QBA15"/>
      <c r="QBB15"/>
      <c r="QBC15"/>
      <c r="QBD15"/>
      <c r="QBE15"/>
      <c r="QBF15"/>
      <c r="QBG15"/>
      <c r="QBH15"/>
      <c r="QBI15"/>
      <c r="QBJ15"/>
      <c r="QBK15"/>
      <c r="QBL15"/>
      <c r="QBM15"/>
      <c r="QBN15"/>
      <c r="QBO15"/>
      <c r="QBP15"/>
      <c r="QBQ15"/>
      <c r="QBR15"/>
      <c r="QBS15"/>
      <c r="QBT15"/>
      <c r="QBU15"/>
      <c r="QBV15"/>
      <c r="QBW15"/>
      <c r="QBX15"/>
      <c r="QBY15"/>
      <c r="QBZ15"/>
      <c r="QCA15"/>
      <c r="QCB15"/>
      <c r="QCC15"/>
      <c r="QCD15"/>
      <c r="QCE15"/>
      <c r="QCF15"/>
      <c r="QCG15"/>
      <c r="QCH15"/>
      <c r="QCI15"/>
      <c r="QCJ15"/>
      <c r="QCK15"/>
      <c r="QCL15"/>
      <c r="QCM15"/>
      <c r="QCN15"/>
      <c r="QCO15"/>
      <c r="QCP15"/>
      <c r="QCQ15"/>
      <c r="QCR15"/>
      <c r="QCS15"/>
      <c r="QCT15"/>
      <c r="QCU15"/>
      <c r="QCV15"/>
      <c r="QCW15"/>
      <c r="QCX15"/>
      <c r="QCY15"/>
      <c r="QCZ15"/>
      <c r="QDA15"/>
      <c r="QDB15"/>
      <c r="QDC15"/>
      <c r="QDD15"/>
      <c r="QDE15"/>
      <c r="QDF15"/>
      <c r="QDG15"/>
      <c r="QDH15"/>
      <c r="QDI15"/>
      <c r="QDJ15"/>
      <c r="QDK15"/>
      <c r="QDL15"/>
      <c r="QDM15"/>
      <c r="QDN15"/>
      <c r="QDO15"/>
      <c r="QDP15"/>
      <c r="QDQ15"/>
      <c r="QDR15"/>
      <c r="QDS15"/>
      <c r="QDT15"/>
      <c r="QDU15"/>
      <c r="QDV15"/>
      <c r="QDW15"/>
      <c r="QDX15"/>
      <c r="QDY15"/>
      <c r="QDZ15"/>
      <c r="QEA15"/>
      <c r="QEB15"/>
      <c r="QEC15"/>
      <c r="QED15"/>
      <c r="QEE15"/>
      <c r="QEF15"/>
      <c r="QEG15"/>
      <c r="QEH15"/>
      <c r="QEI15"/>
      <c r="QEJ15"/>
      <c r="QEK15"/>
      <c r="QEL15"/>
      <c r="QEM15"/>
      <c r="QEN15"/>
      <c r="QEO15"/>
      <c r="QEP15"/>
      <c r="QEQ15"/>
      <c r="QER15"/>
      <c r="QES15"/>
      <c r="QET15"/>
      <c r="QEU15"/>
      <c r="QEV15"/>
      <c r="QEW15"/>
      <c r="QEX15"/>
      <c r="QEY15"/>
      <c r="QEZ15"/>
      <c r="QFA15"/>
      <c r="QFB15"/>
      <c r="QFC15"/>
      <c r="QFD15"/>
      <c r="QFE15"/>
      <c r="QFF15"/>
      <c r="QFG15"/>
      <c r="QFH15"/>
      <c r="QFI15"/>
      <c r="QFJ15"/>
      <c r="QFK15"/>
      <c r="QFL15"/>
      <c r="QFM15"/>
      <c r="QFN15"/>
      <c r="QFO15"/>
      <c r="QFP15"/>
      <c r="QFQ15"/>
      <c r="QFR15"/>
      <c r="QFS15"/>
      <c r="QFT15"/>
      <c r="QFU15"/>
      <c r="QFV15"/>
      <c r="QFW15"/>
      <c r="QFX15"/>
      <c r="QFY15"/>
      <c r="QFZ15"/>
      <c r="QGA15"/>
      <c r="QGB15"/>
      <c r="QGC15"/>
      <c r="QGD15"/>
      <c r="QGE15"/>
      <c r="QGF15"/>
      <c r="QGG15"/>
      <c r="QGH15"/>
      <c r="QGI15"/>
      <c r="QGJ15"/>
      <c r="QGK15"/>
      <c r="QGL15"/>
      <c r="QGM15"/>
      <c r="QGN15"/>
      <c r="QGO15"/>
      <c r="QGP15"/>
      <c r="QGQ15"/>
      <c r="QGR15"/>
      <c r="QGS15"/>
      <c r="QGT15"/>
      <c r="QGU15"/>
      <c r="QGV15"/>
      <c r="QGW15"/>
      <c r="QGX15"/>
      <c r="QGY15"/>
      <c r="QGZ15"/>
      <c r="QHA15"/>
      <c r="QHB15"/>
      <c r="QHC15"/>
      <c r="QHD15"/>
      <c r="QHE15"/>
      <c r="QHF15"/>
      <c r="QHG15"/>
      <c r="QHH15"/>
      <c r="QHI15"/>
      <c r="QHJ15"/>
      <c r="QHK15"/>
      <c r="QHL15"/>
      <c r="QHM15"/>
      <c r="QHN15"/>
      <c r="QHO15"/>
      <c r="QHP15"/>
      <c r="QHQ15"/>
      <c r="QHR15"/>
      <c r="QHS15"/>
      <c r="QHT15"/>
      <c r="QHU15"/>
      <c r="QHV15"/>
      <c r="QHW15"/>
      <c r="QHX15"/>
      <c r="QHY15"/>
      <c r="QHZ15"/>
      <c r="QIA15"/>
      <c r="QIB15"/>
      <c r="QIC15"/>
      <c r="QID15"/>
      <c r="QIE15"/>
      <c r="QIF15"/>
      <c r="QIG15"/>
      <c r="QIH15"/>
      <c r="QII15"/>
      <c r="QIJ15"/>
      <c r="QIK15"/>
      <c r="QIL15"/>
      <c r="QIM15"/>
      <c r="QIN15"/>
      <c r="QIO15"/>
      <c r="QIP15"/>
      <c r="QIQ15"/>
      <c r="QIR15"/>
      <c r="QIS15"/>
      <c r="QIT15"/>
      <c r="QIU15"/>
      <c r="QIV15"/>
      <c r="QIW15"/>
      <c r="QIX15"/>
      <c r="QIY15"/>
      <c r="QIZ15"/>
      <c r="QJA15"/>
      <c r="QJB15"/>
      <c r="QJC15"/>
      <c r="QJD15"/>
      <c r="QJE15"/>
      <c r="QJF15"/>
      <c r="QJG15"/>
      <c r="QJH15"/>
      <c r="QJI15"/>
      <c r="QJJ15"/>
      <c r="QJK15"/>
      <c r="QJL15"/>
      <c r="QJM15"/>
      <c r="QJN15"/>
      <c r="QJO15"/>
      <c r="QJP15"/>
      <c r="QJQ15"/>
      <c r="QJR15"/>
      <c r="QJS15"/>
      <c r="QJT15"/>
      <c r="QJU15"/>
      <c r="QJV15"/>
      <c r="QJW15"/>
      <c r="QJX15"/>
      <c r="QJY15"/>
      <c r="QJZ15"/>
      <c r="QKA15"/>
      <c r="QKB15"/>
      <c r="QKC15"/>
      <c r="QKD15"/>
      <c r="QKE15"/>
      <c r="QKF15"/>
      <c r="QKG15"/>
      <c r="QKH15"/>
      <c r="QKI15"/>
      <c r="QKJ15"/>
      <c r="QKK15"/>
      <c r="QKL15"/>
      <c r="QKM15"/>
      <c r="QKN15"/>
      <c r="QKO15"/>
      <c r="QKP15"/>
      <c r="QKQ15"/>
      <c r="QKR15"/>
      <c r="QKS15"/>
      <c r="QKT15"/>
      <c r="QKU15"/>
      <c r="QKV15"/>
      <c r="QKW15"/>
      <c r="QKX15"/>
      <c r="QKY15"/>
      <c r="QKZ15"/>
      <c r="QLA15"/>
      <c r="QLB15"/>
      <c r="QLC15"/>
      <c r="QLD15"/>
      <c r="QLE15"/>
      <c r="QLF15"/>
      <c r="QLG15"/>
      <c r="QLH15"/>
      <c r="QLI15"/>
      <c r="QLJ15"/>
      <c r="QLK15"/>
      <c r="QLL15"/>
      <c r="QLM15"/>
      <c r="QLN15"/>
      <c r="QLO15"/>
      <c r="QLP15"/>
      <c r="QLQ15"/>
      <c r="QLR15"/>
      <c r="QLS15"/>
      <c r="QLT15"/>
      <c r="QLU15"/>
      <c r="QLV15"/>
      <c r="QLW15"/>
      <c r="QLX15"/>
      <c r="QLY15"/>
      <c r="QLZ15"/>
      <c r="QMA15"/>
      <c r="QMB15"/>
      <c r="QMC15"/>
      <c r="QMD15"/>
      <c r="QME15"/>
      <c r="QMF15"/>
      <c r="QMG15"/>
      <c r="QMH15"/>
      <c r="QMI15"/>
      <c r="QMJ15"/>
      <c r="QMK15"/>
      <c r="QML15"/>
      <c r="QMM15"/>
      <c r="QMN15"/>
      <c r="QMO15"/>
      <c r="QMP15"/>
      <c r="QMQ15"/>
      <c r="QMR15"/>
      <c r="QMS15"/>
      <c r="QMT15"/>
      <c r="QMU15"/>
      <c r="QMV15"/>
      <c r="QMW15"/>
      <c r="QMX15"/>
      <c r="QMY15"/>
      <c r="QMZ15"/>
      <c r="QNA15"/>
      <c r="QNB15"/>
      <c r="QNC15"/>
      <c r="QND15"/>
      <c r="QNE15"/>
      <c r="QNF15"/>
      <c r="QNG15"/>
      <c r="QNH15"/>
      <c r="QNI15"/>
      <c r="QNJ15"/>
      <c r="QNK15"/>
      <c r="QNL15"/>
      <c r="QNM15"/>
      <c r="QNN15"/>
      <c r="QNO15"/>
      <c r="QNP15"/>
      <c r="QNQ15"/>
      <c r="QNR15"/>
      <c r="QNS15"/>
      <c r="QNT15"/>
      <c r="QNU15"/>
      <c r="QNV15"/>
      <c r="QNW15"/>
      <c r="QNX15"/>
      <c r="QNY15"/>
      <c r="QNZ15"/>
      <c r="QOA15"/>
      <c r="QOB15"/>
      <c r="QOC15"/>
      <c r="QOD15"/>
      <c r="QOE15"/>
      <c r="QOF15"/>
      <c r="QOG15"/>
      <c r="QOH15"/>
      <c r="QOI15"/>
      <c r="QOJ15"/>
      <c r="QOK15"/>
      <c r="QOL15"/>
      <c r="QOM15"/>
      <c r="QON15"/>
      <c r="QOO15"/>
      <c r="QOP15"/>
      <c r="QOQ15"/>
      <c r="QOR15"/>
      <c r="QOS15"/>
      <c r="QOT15"/>
      <c r="QOU15"/>
      <c r="QOV15"/>
      <c r="QOW15"/>
      <c r="QOX15"/>
      <c r="QOY15"/>
      <c r="QOZ15"/>
      <c r="QPA15"/>
      <c r="QPB15"/>
      <c r="QPC15"/>
      <c r="QPD15"/>
      <c r="QPE15"/>
      <c r="QPF15"/>
      <c r="QPG15"/>
      <c r="QPH15"/>
      <c r="QPI15"/>
      <c r="QPJ15"/>
      <c r="QPK15"/>
      <c r="QPL15"/>
      <c r="QPM15"/>
      <c r="QPN15"/>
      <c r="QPO15"/>
      <c r="QPP15"/>
      <c r="QPQ15"/>
      <c r="QPR15"/>
      <c r="QPS15"/>
      <c r="QPT15"/>
      <c r="QPU15"/>
      <c r="QPV15"/>
      <c r="QPW15"/>
      <c r="QPX15"/>
      <c r="QPY15"/>
      <c r="QPZ15"/>
      <c r="QQA15"/>
      <c r="QQB15"/>
      <c r="QQC15"/>
      <c r="QQD15"/>
      <c r="QQE15"/>
      <c r="QQF15"/>
      <c r="QQG15"/>
      <c r="QQH15"/>
      <c r="QQI15"/>
      <c r="QQJ15"/>
      <c r="QQK15"/>
      <c r="QQL15"/>
      <c r="QQM15"/>
      <c r="QQN15"/>
      <c r="QQO15"/>
      <c r="QQP15"/>
      <c r="QQQ15"/>
      <c r="QQR15"/>
      <c r="QQS15"/>
      <c r="QQT15"/>
      <c r="QQU15"/>
      <c r="QQV15"/>
      <c r="QQW15"/>
      <c r="QQX15"/>
      <c r="QQY15"/>
      <c r="QQZ15"/>
      <c r="QRA15"/>
      <c r="QRB15"/>
      <c r="QRC15"/>
      <c r="QRD15"/>
      <c r="QRE15"/>
      <c r="QRF15"/>
      <c r="QRG15"/>
      <c r="QRH15"/>
      <c r="QRI15"/>
      <c r="QRJ15"/>
      <c r="QRK15"/>
      <c r="QRL15"/>
      <c r="QRM15"/>
      <c r="QRN15"/>
      <c r="QRO15"/>
      <c r="QRP15"/>
      <c r="QRQ15"/>
      <c r="QRR15"/>
      <c r="QRS15"/>
      <c r="QRT15"/>
      <c r="QRU15"/>
      <c r="QRV15"/>
      <c r="QRW15"/>
      <c r="QRX15"/>
      <c r="QRY15"/>
      <c r="QRZ15"/>
      <c r="QSA15"/>
      <c r="QSB15"/>
      <c r="QSC15"/>
      <c r="QSD15"/>
      <c r="QSE15"/>
      <c r="QSF15"/>
      <c r="QSG15"/>
      <c r="QSH15"/>
      <c r="QSI15"/>
      <c r="QSJ15"/>
      <c r="QSK15"/>
      <c r="QSL15"/>
      <c r="QSM15"/>
      <c r="QSN15"/>
      <c r="QSO15"/>
      <c r="QSP15"/>
      <c r="QSQ15"/>
      <c r="QSR15"/>
      <c r="QSS15"/>
      <c r="QST15"/>
      <c r="QSU15"/>
      <c r="QSV15"/>
      <c r="QSW15"/>
      <c r="QSX15"/>
      <c r="QSY15"/>
      <c r="QSZ15"/>
      <c r="QTA15"/>
      <c r="QTB15"/>
      <c r="QTC15"/>
      <c r="QTD15"/>
      <c r="QTE15"/>
      <c r="QTF15"/>
      <c r="QTG15"/>
      <c r="QTH15"/>
      <c r="QTI15"/>
      <c r="QTJ15"/>
      <c r="QTK15"/>
      <c r="QTL15"/>
      <c r="QTM15"/>
      <c r="QTN15"/>
      <c r="QTO15"/>
      <c r="QTP15"/>
      <c r="QTQ15"/>
      <c r="QTR15"/>
      <c r="QTS15"/>
      <c r="QTT15"/>
      <c r="QTU15"/>
      <c r="QTV15"/>
      <c r="QTW15"/>
      <c r="QTX15"/>
      <c r="QTY15"/>
      <c r="QTZ15"/>
      <c r="QUA15"/>
      <c r="QUB15"/>
      <c r="QUC15"/>
      <c r="QUD15"/>
      <c r="QUE15"/>
      <c r="QUF15"/>
      <c r="QUG15"/>
      <c r="QUH15"/>
      <c r="QUI15"/>
      <c r="QUJ15"/>
      <c r="QUK15"/>
      <c r="QUL15"/>
      <c r="QUM15"/>
      <c r="QUN15"/>
      <c r="QUO15"/>
      <c r="QUP15"/>
      <c r="QUQ15"/>
      <c r="QUR15"/>
      <c r="QUS15"/>
      <c r="QUT15"/>
      <c r="QUU15"/>
      <c r="QUV15"/>
      <c r="QUW15"/>
      <c r="QUX15"/>
      <c r="QUY15"/>
      <c r="QUZ15"/>
      <c r="QVA15"/>
      <c r="QVB15"/>
      <c r="QVC15"/>
      <c r="QVD15"/>
      <c r="QVE15"/>
      <c r="QVF15"/>
      <c r="QVG15"/>
      <c r="QVH15"/>
      <c r="QVI15"/>
      <c r="QVJ15"/>
      <c r="QVK15"/>
      <c r="QVL15"/>
      <c r="QVM15"/>
      <c r="QVN15"/>
      <c r="QVO15"/>
      <c r="QVP15"/>
      <c r="QVQ15"/>
      <c r="QVR15"/>
      <c r="QVS15"/>
      <c r="QVT15"/>
      <c r="QVU15"/>
      <c r="QVV15"/>
      <c r="QVW15"/>
      <c r="QVX15"/>
      <c r="QVY15"/>
      <c r="QVZ15"/>
      <c r="QWA15"/>
      <c r="QWB15"/>
      <c r="QWC15"/>
      <c r="QWD15"/>
      <c r="QWE15"/>
      <c r="QWF15"/>
      <c r="QWG15"/>
      <c r="QWH15"/>
      <c r="QWI15"/>
      <c r="QWJ15"/>
      <c r="QWK15"/>
      <c r="QWL15"/>
      <c r="QWM15"/>
      <c r="QWN15"/>
      <c r="QWO15"/>
      <c r="QWP15"/>
      <c r="QWQ15"/>
      <c r="QWR15"/>
      <c r="QWS15"/>
      <c r="QWT15"/>
      <c r="QWU15"/>
      <c r="QWV15"/>
      <c r="QWW15"/>
      <c r="QWX15"/>
      <c r="QWY15"/>
      <c r="QWZ15"/>
      <c r="QXA15"/>
      <c r="QXB15"/>
      <c r="QXC15"/>
      <c r="QXD15"/>
      <c r="QXE15"/>
      <c r="QXF15"/>
      <c r="QXG15"/>
      <c r="QXH15"/>
      <c r="QXI15"/>
      <c r="QXJ15"/>
      <c r="QXK15"/>
      <c r="QXL15"/>
      <c r="QXM15"/>
      <c r="QXN15"/>
      <c r="QXO15"/>
      <c r="QXP15"/>
      <c r="QXQ15"/>
      <c r="QXR15"/>
      <c r="QXS15"/>
      <c r="QXT15"/>
      <c r="QXU15"/>
      <c r="QXV15"/>
      <c r="QXW15"/>
      <c r="QXX15"/>
      <c r="QXY15"/>
      <c r="QXZ15"/>
      <c r="QYA15"/>
      <c r="QYB15"/>
      <c r="QYC15"/>
      <c r="QYD15"/>
      <c r="QYE15"/>
      <c r="QYF15"/>
      <c r="QYG15"/>
      <c r="QYH15"/>
      <c r="QYI15"/>
      <c r="QYJ15"/>
      <c r="QYK15"/>
      <c r="QYL15"/>
      <c r="QYM15"/>
      <c r="QYN15"/>
      <c r="QYO15"/>
      <c r="QYP15"/>
      <c r="QYQ15"/>
      <c r="QYR15"/>
      <c r="QYS15"/>
      <c r="QYT15"/>
      <c r="QYU15"/>
      <c r="QYV15"/>
      <c r="QYW15"/>
      <c r="QYX15"/>
      <c r="QYY15"/>
      <c r="QYZ15"/>
      <c r="QZA15"/>
      <c r="QZB15"/>
      <c r="QZC15"/>
      <c r="QZD15"/>
      <c r="QZE15"/>
      <c r="QZF15"/>
      <c r="QZG15"/>
      <c r="QZH15"/>
      <c r="QZI15"/>
      <c r="QZJ15"/>
      <c r="QZK15"/>
      <c r="QZL15"/>
      <c r="QZM15"/>
      <c r="QZN15"/>
      <c r="QZO15"/>
      <c r="QZP15"/>
      <c r="QZQ15"/>
      <c r="QZR15"/>
      <c r="QZS15"/>
      <c r="QZT15"/>
      <c r="QZU15"/>
      <c r="QZV15"/>
      <c r="QZW15"/>
      <c r="QZX15"/>
      <c r="QZY15"/>
      <c r="QZZ15"/>
      <c r="RAA15"/>
      <c r="RAB15"/>
      <c r="RAC15"/>
      <c r="RAD15"/>
      <c r="RAE15"/>
      <c r="RAF15"/>
      <c r="RAG15"/>
      <c r="RAH15"/>
      <c r="RAI15"/>
      <c r="RAJ15"/>
      <c r="RAK15"/>
      <c r="RAL15"/>
      <c r="RAM15"/>
      <c r="RAN15"/>
      <c r="RAO15"/>
      <c r="RAP15"/>
      <c r="RAQ15"/>
      <c r="RAR15"/>
      <c r="RAS15"/>
      <c r="RAT15"/>
      <c r="RAU15"/>
      <c r="RAV15"/>
      <c r="RAW15"/>
      <c r="RAX15"/>
      <c r="RAY15"/>
      <c r="RAZ15"/>
      <c r="RBA15"/>
      <c r="RBB15"/>
      <c r="RBC15"/>
      <c r="RBD15"/>
      <c r="RBE15"/>
      <c r="RBF15"/>
      <c r="RBG15"/>
      <c r="RBH15"/>
      <c r="RBI15"/>
      <c r="RBJ15"/>
      <c r="RBK15"/>
      <c r="RBL15"/>
      <c r="RBM15"/>
      <c r="RBN15"/>
      <c r="RBO15"/>
      <c r="RBP15"/>
      <c r="RBQ15"/>
      <c r="RBR15"/>
      <c r="RBS15"/>
      <c r="RBT15"/>
      <c r="RBU15"/>
      <c r="RBV15"/>
      <c r="RBW15"/>
      <c r="RBX15"/>
      <c r="RBY15"/>
      <c r="RBZ15"/>
      <c r="RCA15"/>
      <c r="RCB15"/>
      <c r="RCC15"/>
      <c r="RCD15"/>
      <c r="RCE15"/>
      <c r="RCF15"/>
      <c r="RCG15"/>
      <c r="RCH15"/>
      <c r="RCI15"/>
      <c r="RCJ15"/>
      <c r="RCK15"/>
      <c r="RCL15"/>
      <c r="RCM15"/>
      <c r="RCN15"/>
      <c r="RCO15"/>
      <c r="RCP15"/>
      <c r="RCQ15"/>
      <c r="RCR15"/>
      <c r="RCS15"/>
      <c r="RCT15"/>
      <c r="RCU15"/>
      <c r="RCV15"/>
      <c r="RCW15"/>
      <c r="RCX15"/>
      <c r="RCY15"/>
      <c r="RCZ15"/>
      <c r="RDA15"/>
      <c r="RDB15"/>
      <c r="RDC15"/>
      <c r="RDD15"/>
      <c r="RDE15"/>
      <c r="RDF15"/>
      <c r="RDG15"/>
      <c r="RDH15"/>
      <c r="RDI15"/>
      <c r="RDJ15"/>
      <c r="RDK15"/>
      <c r="RDL15"/>
      <c r="RDM15"/>
      <c r="RDN15"/>
      <c r="RDO15"/>
      <c r="RDP15"/>
      <c r="RDQ15"/>
      <c r="RDR15"/>
      <c r="RDS15"/>
      <c r="RDT15"/>
      <c r="RDU15"/>
      <c r="RDV15"/>
      <c r="RDW15"/>
      <c r="RDX15"/>
      <c r="RDY15"/>
      <c r="RDZ15"/>
      <c r="REA15"/>
      <c r="REB15"/>
      <c r="REC15"/>
      <c r="RED15"/>
      <c r="REE15"/>
      <c r="REF15"/>
      <c r="REG15"/>
      <c r="REH15"/>
      <c r="REI15"/>
      <c r="REJ15"/>
      <c r="REK15"/>
      <c r="REL15"/>
      <c r="REM15"/>
      <c r="REN15"/>
      <c r="REO15"/>
      <c r="REP15"/>
      <c r="REQ15"/>
      <c r="RER15"/>
      <c r="RES15"/>
      <c r="RET15"/>
      <c r="REU15"/>
      <c r="REV15"/>
      <c r="REW15"/>
      <c r="REX15"/>
      <c r="REY15"/>
      <c r="REZ15"/>
      <c r="RFA15"/>
      <c r="RFB15"/>
      <c r="RFC15"/>
      <c r="RFD15"/>
      <c r="RFE15"/>
      <c r="RFF15"/>
      <c r="RFG15"/>
      <c r="RFH15"/>
      <c r="RFI15"/>
      <c r="RFJ15"/>
      <c r="RFK15"/>
      <c r="RFL15"/>
      <c r="RFM15"/>
      <c r="RFN15"/>
      <c r="RFO15"/>
      <c r="RFP15"/>
      <c r="RFQ15"/>
      <c r="RFR15"/>
      <c r="RFS15"/>
      <c r="RFT15"/>
      <c r="RFU15"/>
      <c r="RFV15"/>
      <c r="RFW15"/>
      <c r="RFX15"/>
      <c r="RFY15"/>
      <c r="RFZ15"/>
      <c r="RGA15"/>
      <c r="RGB15"/>
      <c r="RGC15"/>
      <c r="RGD15"/>
      <c r="RGE15"/>
      <c r="RGF15"/>
      <c r="RGG15"/>
      <c r="RGH15"/>
      <c r="RGI15"/>
      <c r="RGJ15"/>
      <c r="RGK15"/>
      <c r="RGL15"/>
      <c r="RGM15"/>
      <c r="RGN15"/>
      <c r="RGO15"/>
      <c r="RGP15"/>
      <c r="RGQ15"/>
      <c r="RGR15"/>
      <c r="RGS15"/>
      <c r="RGT15"/>
      <c r="RGU15"/>
      <c r="RGV15"/>
      <c r="RGW15"/>
      <c r="RGX15"/>
      <c r="RGY15"/>
      <c r="RGZ15"/>
      <c r="RHA15"/>
      <c r="RHB15"/>
      <c r="RHC15"/>
      <c r="RHD15"/>
      <c r="RHE15"/>
      <c r="RHF15"/>
      <c r="RHG15"/>
      <c r="RHH15"/>
      <c r="RHI15"/>
      <c r="RHJ15"/>
      <c r="RHK15"/>
      <c r="RHL15"/>
      <c r="RHM15"/>
      <c r="RHN15"/>
      <c r="RHO15"/>
      <c r="RHP15"/>
      <c r="RHQ15"/>
      <c r="RHR15"/>
      <c r="RHS15"/>
      <c r="RHT15"/>
      <c r="RHU15"/>
      <c r="RHV15"/>
      <c r="RHW15"/>
      <c r="RHX15"/>
      <c r="RHY15"/>
      <c r="RHZ15"/>
      <c r="RIA15"/>
      <c r="RIB15"/>
      <c r="RIC15"/>
      <c r="RID15"/>
      <c r="RIE15"/>
      <c r="RIF15"/>
      <c r="RIG15"/>
      <c r="RIH15"/>
      <c r="RII15"/>
      <c r="RIJ15"/>
      <c r="RIK15"/>
      <c r="RIL15"/>
      <c r="RIM15"/>
      <c r="RIN15"/>
      <c r="RIO15"/>
      <c r="RIP15"/>
      <c r="RIQ15"/>
      <c r="RIR15"/>
      <c r="RIS15"/>
      <c r="RIT15"/>
      <c r="RIU15"/>
      <c r="RIV15"/>
      <c r="RIW15"/>
      <c r="RIX15"/>
      <c r="RIY15"/>
      <c r="RIZ15"/>
      <c r="RJA15"/>
      <c r="RJB15"/>
      <c r="RJC15"/>
      <c r="RJD15"/>
      <c r="RJE15"/>
      <c r="RJF15"/>
      <c r="RJG15"/>
      <c r="RJH15"/>
      <c r="RJI15"/>
      <c r="RJJ15"/>
      <c r="RJK15"/>
      <c r="RJL15"/>
      <c r="RJM15"/>
      <c r="RJN15"/>
      <c r="RJO15"/>
      <c r="RJP15"/>
      <c r="RJQ15"/>
      <c r="RJR15"/>
      <c r="RJS15"/>
      <c r="RJT15"/>
      <c r="RJU15"/>
      <c r="RJV15"/>
      <c r="RJW15"/>
      <c r="RJX15"/>
      <c r="RJY15"/>
      <c r="RJZ15"/>
      <c r="RKA15"/>
      <c r="RKB15"/>
      <c r="RKC15"/>
      <c r="RKD15"/>
      <c r="RKE15"/>
      <c r="RKF15"/>
      <c r="RKG15"/>
      <c r="RKH15"/>
      <c r="RKI15"/>
      <c r="RKJ15"/>
      <c r="RKK15"/>
      <c r="RKL15"/>
      <c r="RKM15"/>
      <c r="RKN15"/>
      <c r="RKO15"/>
      <c r="RKP15"/>
      <c r="RKQ15"/>
      <c r="RKR15"/>
      <c r="RKS15"/>
      <c r="RKT15"/>
      <c r="RKU15"/>
      <c r="RKV15"/>
      <c r="RKW15"/>
      <c r="RKX15"/>
      <c r="RKY15"/>
      <c r="RKZ15"/>
      <c r="RLA15"/>
      <c r="RLB15"/>
      <c r="RLC15"/>
      <c r="RLD15"/>
      <c r="RLE15"/>
      <c r="RLF15"/>
      <c r="RLG15"/>
      <c r="RLH15"/>
      <c r="RLI15"/>
      <c r="RLJ15"/>
      <c r="RLK15"/>
      <c r="RLL15"/>
      <c r="RLM15"/>
      <c r="RLN15"/>
      <c r="RLO15"/>
      <c r="RLP15"/>
      <c r="RLQ15"/>
      <c r="RLR15"/>
      <c r="RLS15"/>
      <c r="RLT15"/>
      <c r="RLU15"/>
      <c r="RLV15"/>
      <c r="RLW15"/>
      <c r="RLX15"/>
      <c r="RLY15"/>
      <c r="RLZ15"/>
      <c r="RMA15"/>
      <c r="RMB15"/>
      <c r="RMC15"/>
      <c r="RMD15"/>
      <c r="RME15"/>
      <c r="RMF15"/>
      <c r="RMG15"/>
      <c r="RMH15"/>
      <c r="RMI15"/>
      <c r="RMJ15"/>
      <c r="RMK15"/>
      <c r="RML15"/>
      <c r="RMM15"/>
      <c r="RMN15"/>
      <c r="RMO15"/>
      <c r="RMP15"/>
      <c r="RMQ15"/>
      <c r="RMR15"/>
      <c r="RMS15"/>
      <c r="RMT15"/>
      <c r="RMU15"/>
      <c r="RMV15"/>
      <c r="RMW15"/>
      <c r="RMX15"/>
      <c r="RMY15"/>
      <c r="RMZ15"/>
      <c r="RNA15"/>
      <c r="RNB15"/>
      <c r="RNC15"/>
      <c r="RND15"/>
      <c r="RNE15"/>
      <c r="RNF15"/>
      <c r="RNG15"/>
      <c r="RNH15"/>
      <c r="RNI15"/>
      <c r="RNJ15"/>
      <c r="RNK15"/>
      <c r="RNL15"/>
      <c r="RNM15"/>
      <c r="RNN15"/>
      <c r="RNO15"/>
      <c r="RNP15"/>
      <c r="RNQ15"/>
      <c r="RNR15"/>
      <c r="RNS15"/>
      <c r="RNT15"/>
      <c r="RNU15"/>
      <c r="RNV15"/>
      <c r="RNW15"/>
      <c r="RNX15"/>
      <c r="RNY15"/>
      <c r="RNZ15"/>
      <c r="ROA15"/>
      <c r="ROB15"/>
      <c r="ROC15"/>
      <c r="ROD15"/>
      <c r="ROE15"/>
      <c r="ROF15"/>
      <c r="ROG15"/>
      <c r="ROH15"/>
      <c r="ROI15"/>
      <c r="ROJ15"/>
      <c r="ROK15"/>
      <c r="ROL15"/>
      <c r="ROM15"/>
      <c r="RON15"/>
      <c r="ROO15"/>
      <c r="ROP15"/>
      <c r="ROQ15"/>
      <c r="ROR15"/>
      <c r="ROS15"/>
      <c r="ROT15"/>
      <c r="ROU15"/>
      <c r="ROV15"/>
      <c r="ROW15"/>
      <c r="ROX15"/>
      <c r="ROY15"/>
      <c r="ROZ15"/>
      <c r="RPA15"/>
      <c r="RPB15"/>
      <c r="RPC15"/>
      <c r="RPD15"/>
      <c r="RPE15"/>
      <c r="RPF15"/>
      <c r="RPG15"/>
      <c r="RPH15"/>
      <c r="RPI15"/>
      <c r="RPJ15"/>
      <c r="RPK15"/>
      <c r="RPL15"/>
      <c r="RPM15"/>
      <c r="RPN15"/>
      <c r="RPO15"/>
      <c r="RPP15"/>
      <c r="RPQ15"/>
      <c r="RPR15"/>
      <c r="RPS15"/>
      <c r="RPT15"/>
      <c r="RPU15"/>
      <c r="RPV15"/>
      <c r="RPW15"/>
      <c r="RPX15"/>
      <c r="RPY15"/>
      <c r="RPZ15"/>
      <c r="RQA15"/>
      <c r="RQB15"/>
      <c r="RQC15"/>
      <c r="RQD15"/>
      <c r="RQE15"/>
      <c r="RQF15"/>
      <c r="RQG15"/>
      <c r="RQH15"/>
      <c r="RQI15"/>
      <c r="RQJ15"/>
      <c r="RQK15"/>
      <c r="RQL15"/>
      <c r="RQM15"/>
      <c r="RQN15"/>
      <c r="RQO15"/>
      <c r="RQP15"/>
      <c r="RQQ15"/>
      <c r="RQR15"/>
      <c r="RQS15"/>
      <c r="RQT15"/>
      <c r="RQU15"/>
      <c r="RQV15"/>
      <c r="RQW15"/>
      <c r="RQX15"/>
      <c r="RQY15"/>
      <c r="RQZ15"/>
      <c r="RRA15"/>
      <c r="RRB15"/>
      <c r="RRC15"/>
      <c r="RRD15"/>
      <c r="RRE15"/>
      <c r="RRF15"/>
      <c r="RRG15"/>
      <c r="RRH15"/>
      <c r="RRI15"/>
      <c r="RRJ15"/>
      <c r="RRK15"/>
      <c r="RRL15"/>
      <c r="RRM15"/>
      <c r="RRN15"/>
      <c r="RRO15"/>
      <c r="RRP15"/>
      <c r="RRQ15"/>
      <c r="RRR15"/>
      <c r="RRS15"/>
      <c r="RRT15"/>
      <c r="RRU15"/>
      <c r="RRV15"/>
      <c r="RRW15"/>
      <c r="RRX15"/>
      <c r="RRY15"/>
      <c r="RRZ15"/>
      <c r="RSA15"/>
      <c r="RSB15"/>
      <c r="RSC15"/>
      <c r="RSD15"/>
      <c r="RSE15"/>
      <c r="RSF15"/>
      <c r="RSG15"/>
      <c r="RSH15"/>
      <c r="RSI15"/>
      <c r="RSJ15"/>
      <c r="RSK15"/>
      <c r="RSL15"/>
      <c r="RSM15"/>
      <c r="RSN15"/>
      <c r="RSO15"/>
      <c r="RSP15"/>
      <c r="RSQ15"/>
      <c r="RSR15"/>
      <c r="RSS15"/>
      <c r="RST15"/>
      <c r="RSU15"/>
      <c r="RSV15"/>
      <c r="RSW15"/>
      <c r="RSX15"/>
      <c r="RSY15"/>
      <c r="RSZ15"/>
      <c r="RTA15"/>
      <c r="RTB15"/>
      <c r="RTC15"/>
      <c r="RTD15"/>
      <c r="RTE15"/>
      <c r="RTF15"/>
      <c r="RTG15"/>
      <c r="RTH15"/>
      <c r="RTI15"/>
      <c r="RTJ15"/>
      <c r="RTK15"/>
      <c r="RTL15"/>
      <c r="RTM15"/>
      <c r="RTN15"/>
      <c r="RTO15"/>
      <c r="RTP15"/>
      <c r="RTQ15"/>
      <c r="RTR15"/>
      <c r="RTS15"/>
      <c r="RTT15"/>
      <c r="RTU15"/>
      <c r="RTV15"/>
      <c r="RTW15"/>
      <c r="RTX15"/>
      <c r="RTY15"/>
      <c r="RTZ15"/>
      <c r="RUA15"/>
      <c r="RUB15"/>
      <c r="RUC15"/>
      <c r="RUD15"/>
      <c r="RUE15"/>
      <c r="RUF15"/>
      <c r="RUG15"/>
      <c r="RUH15"/>
      <c r="RUI15"/>
      <c r="RUJ15"/>
      <c r="RUK15"/>
      <c r="RUL15"/>
      <c r="RUM15"/>
      <c r="RUN15"/>
      <c r="RUO15"/>
      <c r="RUP15"/>
      <c r="RUQ15"/>
      <c r="RUR15"/>
      <c r="RUS15"/>
      <c r="RUT15"/>
      <c r="RUU15"/>
      <c r="RUV15"/>
      <c r="RUW15"/>
      <c r="RUX15"/>
      <c r="RUY15"/>
      <c r="RUZ15"/>
      <c r="RVA15"/>
      <c r="RVB15"/>
      <c r="RVC15"/>
      <c r="RVD15"/>
      <c r="RVE15"/>
      <c r="RVF15"/>
      <c r="RVG15"/>
      <c r="RVH15"/>
      <c r="RVI15"/>
      <c r="RVJ15"/>
      <c r="RVK15"/>
      <c r="RVL15"/>
      <c r="RVM15"/>
      <c r="RVN15"/>
      <c r="RVO15"/>
      <c r="RVP15"/>
      <c r="RVQ15"/>
      <c r="RVR15"/>
      <c r="RVS15"/>
      <c r="RVT15"/>
      <c r="RVU15"/>
      <c r="RVV15"/>
      <c r="RVW15"/>
      <c r="RVX15"/>
      <c r="RVY15"/>
      <c r="RVZ15"/>
      <c r="RWA15"/>
      <c r="RWB15"/>
      <c r="RWC15"/>
      <c r="RWD15"/>
      <c r="RWE15"/>
      <c r="RWF15"/>
      <c r="RWG15"/>
      <c r="RWH15"/>
      <c r="RWI15"/>
      <c r="RWJ15"/>
      <c r="RWK15"/>
      <c r="RWL15"/>
      <c r="RWM15"/>
      <c r="RWN15"/>
      <c r="RWO15"/>
      <c r="RWP15"/>
      <c r="RWQ15"/>
      <c r="RWR15"/>
      <c r="RWS15"/>
      <c r="RWT15"/>
      <c r="RWU15"/>
      <c r="RWV15"/>
      <c r="RWW15"/>
      <c r="RWX15"/>
      <c r="RWY15"/>
      <c r="RWZ15"/>
      <c r="RXA15"/>
      <c r="RXB15"/>
      <c r="RXC15"/>
      <c r="RXD15"/>
      <c r="RXE15"/>
      <c r="RXF15"/>
      <c r="RXG15"/>
      <c r="RXH15"/>
      <c r="RXI15"/>
      <c r="RXJ15"/>
      <c r="RXK15"/>
      <c r="RXL15"/>
      <c r="RXM15"/>
      <c r="RXN15"/>
      <c r="RXO15"/>
      <c r="RXP15"/>
      <c r="RXQ15"/>
      <c r="RXR15"/>
      <c r="RXS15"/>
      <c r="RXT15"/>
      <c r="RXU15"/>
      <c r="RXV15"/>
      <c r="RXW15"/>
      <c r="RXX15"/>
      <c r="RXY15"/>
      <c r="RXZ15"/>
      <c r="RYA15"/>
      <c r="RYB15"/>
      <c r="RYC15"/>
      <c r="RYD15"/>
      <c r="RYE15"/>
      <c r="RYF15"/>
      <c r="RYG15"/>
      <c r="RYH15"/>
      <c r="RYI15"/>
      <c r="RYJ15"/>
      <c r="RYK15"/>
      <c r="RYL15"/>
      <c r="RYM15"/>
      <c r="RYN15"/>
      <c r="RYO15"/>
      <c r="RYP15"/>
      <c r="RYQ15"/>
      <c r="RYR15"/>
      <c r="RYS15"/>
      <c r="RYT15"/>
      <c r="RYU15"/>
      <c r="RYV15"/>
      <c r="RYW15"/>
      <c r="RYX15"/>
      <c r="RYY15"/>
      <c r="RYZ15"/>
      <c r="RZA15"/>
      <c r="RZB15"/>
      <c r="RZC15"/>
      <c r="RZD15"/>
      <c r="RZE15"/>
      <c r="RZF15"/>
      <c r="RZG15"/>
      <c r="RZH15"/>
      <c r="RZI15"/>
      <c r="RZJ15"/>
      <c r="RZK15"/>
      <c r="RZL15"/>
      <c r="RZM15"/>
      <c r="RZN15"/>
      <c r="RZO15"/>
      <c r="RZP15"/>
      <c r="RZQ15"/>
      <c r="RZR15"/>
      <c r="RZS15"/>
      <c r="RZT15"/>
      <c r="RZU15"/>
      <c r="RZV15"/>
      <c r="RZW15"/>
      <c r="RZX15"/>
      <c r="RZY15"/>
      <c r="RZZ15"/>
      <c r="SAA15"/>
      <c r="SAB15"/>
      <c r="SAC15"/>
      <c r="SAD15"/>
      <c r="SAE15"/>
      <c r="SAF15"/>
      <c r="SAG15"/>
      <c r="SAH15"/>
      <c r="SAI15"/>
      <c r="SAJ15"/>
      <c r="SAK15"/>
      <c r="SAL15"/>
      <c r="SAM15"/>
      <c r="SAN15"/>
      <c r="SAO15"/>
      <c r="SAP15"/>
      <c r="SAQ15"/>
      <c r="SAR15"/>
      <c r="SAS15"/>
      <c r="SAT15"/>
      <c r="SAU15"/>
      <c r="SAV15"/>
      <c r="SAW15"/>
      <c r="SAX15"/>
      <c r="SAY15"/>
      <c r="SAZ15"/>
      <c r="SBA15"/>
      <c r="SBB15"/>
      <c r="SBC15"/>
      <c r="SBD15"/>
      <c r="SBE15"/>
      <c r="SBF15"/>
      <c r="SBG15"/>
      <c r="SBH15"/>
      <c r="SBI15"/>
      <c r="SBJ15"/>
      <c r="SBK15"/>
      <c r="SBL15"/>
      <c r="SBM15"/>
      <c r="SBN15"/>
      <c r="SBO15"/>
      <c r="SBP15"/>
      <c r="SBQ15"/>
      <c r="SBR15"/>
      <c r="SBS15"/>
      <c r="SBT15"/>
      <c r="SBU15"/>
      <c r="SBV15"/>
      <c r="SBW15"/>
      <c r="SBX15"/>
      <c r="SBY15"/>
      <c r="SBZ15"/>
      <c r="SCA15"/>
      <c r="SCB15"/>
      <c r="SCC15"/>
      <c r="SCD15"/>
      <c r="SCE15"/>
      <c r="SCF15"/>
      <c r="SCG15"/>
      <c r="SCH15"/>
      <c r="SCI15"/>
      <c r="SCJ15"/>
      <c r="SCK15"/>
      <c r="SCL15"/>
      <c r="SCM15"/>
      <c r="SCN15"/>
      <c r="SCO15"/>
      <c r="SCP15"/>
      <c r="SCQ15"/>
      <c r="SCR15"/>
      <c r="SCS15"/>
      <c r="SCT15"/>
      <c r="SCU15"/>
      <c r="SCV15"/>
      <c r="SCW15"/>
      <c r="SCX15"/>
      <c r="SCY15"/>
      <c r="SCZ15"/>
      <c r="SDA15"/>
      <c r="SDB15"/>
      <c r="SDC15"/>
      <c r="SDD15"/>
      <c r="SDE15"/>
      <c r="SDF15"/>
      <c r="SDG15"/>
      <c r="SDH15"/>
      <c r="SDI15"/>
      <c r="SDJ15"/>
      <c r="SDK15"/>
      <c r="SDL15"/>
      <c r="SDM15"/>
      <c r="SDN15"/>
      <c r="SDO15"/>
      <c r="SDP15"/>
      <c r="SDQ15"/>
      <c r="SDR15"/>
      <c r="SDS15"/>
      <c r="SDT15"/>
      <c r="SDU15"/>
      <c r="SDV15"/>
      <c r="SDW15"/>
      <c r="SDX15"/>
      <c r="SDY15"/>
      <c r="SDZ15"/>
      <c r="SEA15"/>
      <c r="SEB15"/>
      <c r="SEC15"/>
      <c r="SED15"/>
      <c r="SEE15"/>
      <c r="SEF15"/>
      <c r="SEG15"/>
      <c r="SEH15"/>
      <c r="SEI15"/>
      <c r="SEJ15"/>
      <c r="SEK15"/>
      <c r="SEL15"/>
      <c r="SEM15"/>
      <c r="SEN15"/>
      <c r="SEO15"/>
      <c r="SEP15"/>
      <c r="SEQ15"/>
      <c r="SER15"/>
      <c r="SES15"/>
      <c r="SET15"/>
      <c r="SEU15"/>
      <c r="SEV15"/>
      <c r="SEW15"/>
      <c r="SEX15"/>
      <c r="SEY15"/>
      <c r="SEZ15"/>
      <c r="SFA15"/>
      <c r="SFB15"/>
      <c r="SFC15"/>
      <c r="SFD15"/>
      <c r="SFE15"/>
      <c r="SFF15"/>
      <c r="SFG15"/>
      <c r="SFH15"/>
      <c r="SFI15"/>
      <c r="SFJ15"/>
      <c r="SFK15"/>
      <c r="SFL15"/>
      <c r="SFM15"/>
      <c r="SFN15"/>
      <c r="SFO15"/>
      <c r="SFP15"/>
      <c r="SFQ15"/>
      <c r="SFR15"/>
      <c r="SFS15"/>
      <c r="SFT15"/>
      <c r="SFU15"/>
      <c r="SFV15"/>
      <c r="SFW15"/>
      <c r="SFX15"/>
      <c r="SFY15"/>
      <c r="SFZ15"/>
      <c r="SGA15"/>
      <c r="SGB15"/>
      <c r="SGC15"/>
      <c r="SGD15"/>
      <c r="SGE15"/>
      <c r="SGF15"/>
      <c r="SGG15"/>
      <c r="SGH15"/>
      <c r="SGI15"/>
      <c r="SGJ15"/>
      <c r="SGK15"/>
      <c r="SGL15"/>
      <c r="SGM15"/>
      <c r="SGN15"/>
      <c r="SGO15"/>
      <c r="SGP15"/>
      <c r="SGQ15"/>
      <c r="SGR15"/>
      <c r="SGS15"/>
      <c r="SGT15"/>
      <c r="SGU15"/>
      <c r="SGV15"/>
      <c r="SGW15"/>
      <c r="SGX15"/>
      <c r="SGY15"/>
      <c r="SGZ15"/>
      <c r="SHA15"/>
      <c r="SHB15"/>
      <c r="SHC15"/>
      <c r="SHD15"/>
      <c r="SHE15"/>
      <c r="SHF15"/>
      <c r="SHG15"/>
      <c r="SHH15"/>
      <c r="SHI15"/>
      <c r="SHJ15"/>
      <c r="SHK15"/>
      <c r="SHL15"/>
      <c r="SHM15"/>
      <c r="SHN15"/>
      <c r="SHO15"/>
      <c r="SHP15"/>
      <c r="SHQ15"/>
      <c r="SHR15"/>
      <c r="SHS15"/>
      <c r="SHT15"/>
      <c r="SHU15"/>
      <c r="SHV15"/>
      <c r="SHW15"/>
      <c r="SHX15"/>
      <c r="SHY15"/>
      <c r="SHZ15"/>
      <c r="SIA15"/>
      <c r="SIB15"/>
      <c r="SIC15"/>
      <c r="SID15"/>
      <c r="SIE15"/>
      <c r="SIF15"/>
      <c r="SIG15"/>
      <c r="SIH15"/>
      <c r="SII15"/>
      <c r="SIJ15"/>
      <c r="SIK15"/>
      <c r="SIL15"/>
      <c r="SIM15"/>
      <c r="SIN15"/>
      <c r="SIO15"/>
      <c r="SIP15"/>
      <c r="SIQ15"/>
      <c r="SIR15"/>
      <c r="SIS15"/>
      <c r="SIT15"/>
      <c r="SIU15"/>
      <c r="SIV15"/>
      <c r="SIW15"/>
      <c r="SIX15"/>
      <c r="SIY15"/>
      <c r="SIZ15"/>
      <c r="SJA15"/>
      <c r="SJB15"/>
      <c r="SJC15"/>
      <c r="SJD15"/>
      <c r="SJE15"/>
      <c r="SJF15"/>
      <c r="SJG15"/>
      <c r="SJH15"/>
      <c r="SJI15"/>
      <c r="SJJ15"/>
      <c r="SJK15"/>
      <c r="SJL15"/>
      <c r="SJM15"/>
      <c r="SJN15"/>
      <c r="SJO15"/>
      <c r="SJP15"/>
      <c r="SJQ15"/>
      <c r="SJR15"/>
      <c r="SJS15"/>
      <c r="SJT15"/>
      <c r="SJU15"/>
      <c r="SJV15"/>
      <c r="SJW15"/>
      <c r="SJX15"/>
      <c r="SJY15"/>
      <c r="SJZ15"/>
      <c r="SKA15"/>
      <c r="SKB15"/>
      <c r="SKC15"/>
      <c r="SKD15"/>
      <c r="SKE15"/>
      <c r="SKF15"/>
      <c r="SKG15"/>
      <c r="SKH15"/>
      <c r="SKI15"/>
      <c r="SKJ15"/>
      <c r="SKK15"/>
      <c r="SKL15"/>
      <c r="SKM15"/>
      <c r="SKN15"/>
      <c r="SKO15"/>
      <c r="SKP15"/>
      <c r="SKQ15"/>
      <c r="SKR15"/>
      <c r="SKS15"/>
      <c r="SKT15"/>
      <c r="SKU15"/>
      <c r="SKV15"/>
      <c r="SKW15"/>
      <c r="SKX15"/>
      <c r="SKY15"/>
      <c r="SKZ15"/>
      <c r="SLA15"/>
      <c r="SLB15"/>
      <c r="SLC15"/>
      <c r="SLD15"/>
      <c r="SLE15"/>
      <c r="SLF15"/>
      <c r="SLG15"/>
      <c r="SLH15"/>
      <c r="SLI15"/>
      <c r="SLJ15"/>
      <c r="SLK15"/>
      <c r="SLL15"/>
      <c r="SLM15"/>
      <c r="SLN15"/>
      <c r="SLO15"/>
      <c r="SLP15"/>
      <c r="SLQ15"/>
      <c r="SLR15"/>
      <c r="SLS15"/>
      <c r="SLT15"/>
      <c r="SLU15"/>
      <c r="SLV15"/>
      <c r="SLW15"/>
      <c r="SLX15"/>
      <c r="SLY15"/>
      <c r="SLZ15"/>
      <c r="SMA15"/>
      <c r="SMB15"/>
      <c r="SMC15"/>
      <c r="SMD15"/>
      <c r="SME15"/>
      <c r="SMF15"/>
      <c r="SMG15"/>
      <c r="SMH15"/>
      <c r="SMI15"/>
      <c r="SMJ15"/>
      <c r="SMK15"/>
      <c r="SML15"/>
      <c r="SMM15"/>
      <c r="SMN15"/>
      <c r="SMO15"/>
      <c r="SMP15"/>
      <c r="SMQ15"/>
      <c r="SMR15"/>
      <c r="SMS15"/>
      <c r="SMT15"/>
      <c r="SMU15"/>
      <c r="SMV15"/>
      <c r="SMW15"/>
      <c r="SMX15"/>
      <c r="SMY15"/>
      <c r="SMZ15"/>
      <c r="SNA15"/>
      <c r="SNB15"/>
      <c r="SNC15"/>
      <c r="SND15"/>
      <c r="SNE15"/>
      <c r="SNF15"/>
      <c r="SNG15"/>
      <c r="SNH15"/>
      <c r="SNI15"/>
      <c r="SNJ15"/>
      <c r="SNK15"/>
      <c r="SNL15"/>
      <c r="SNM15"/>
      <c r="SNN15"/>
      <c r="SNO15"/>
      <c r="SNP15"/>
      <c r="SNQ15"/>
      <c r="SNR15"/>
      <c r="SNS15"/>
      <c r="SNT15"/>
      <c r="SNU15"/>
      <c r="SNV15"/>
      <c r="SNW15"/>
      <c r="SNX15"/>
      <c r="SNY15"/>
      <c r="SNZ15"/>
      <c r="SOA15"/>
      <c r="SOB15"/>
      <c r="SOC15"/>
      <c r="SOD15"/>
      <c r="SOE15"/>
      <c r="SOF15"/>
      <c r="SOG15"/>
      <c r="SOH15"/>
      <c r="SOI15"/>
      <c r="SOJ15"/>
      <c r="SOK15"/>
      <c r="SOL15"/>
      <c r="SOM15"/>
      <c r="SON15"/>
      <c r="SOO15"/>
      <c r="SOP15"/>
      <c r="SOQ15"/>
      <c r="SOR15"/>
      <c r="SOS15"/>
      <c r="SOT15"/>
      <c r="SOU15"/>
      <c r="SOV15"/>
      <c r="SOW15"/>
      <c r="SOX15"/>
      <c r="SOY15"/>
      <c r="SOZ15"/>
      <c r="SPA15"/>
      <c r="SPB15"/>
      <c r="SPC15"/>
      <c r="SPD15"/>
      <c r="SPE15"/>
      <c r="SPF15"/>
      <c r="SPG15"/>
      <c r="SPH15"/>
      <c r="SPI15"/>
      <c r="SPJ15"/>
      <c r="SPK15"/>
      <c r="SPL15"/>
      <c r="SPM15"/>
      <c r="SPN15"/>
      <c r="SPO15"/>
      <c r="SPP15"/>
      <c r="SPQ15"/>
      <c r="SPR15"/>
      <c r="SPS15"/>
      <c r="SPT15"/>
      <c r="SPU15"/>
      <c r="SPV15"/>
      <c r="SPW15"/>
      <c r="SPX15"/>
      <c r="SPY15"/>
      <c r="SPZ15"/>
      <c r="SQA15"/>
      <c r="SQB15"/>
      <c r="SQC15"/>
      <c r="SQD15"/>
      <c r="SQE15"/>
      <c r="SQF15"/>
      <c r="SQG15"/>
      <c r="SQH15"/>
      <c r="SQI15"/>
      <c r="SQJ15"/>
      <c r="SQK15"/>
      <c r="SQL15"/>
      <c r="SQM15"/>
      <c r="SQN15"/>
      <c r="SQO15"/>
      <c r="SQP15"/>
      <c r="SQQ15"/>
      <c r="SQR15"/>
      <c r="SQS15"/>
      <c r="SQT15"/>
      <c r="SQU15"/>
      <c r="SQV15"/>
      <c r="SQW15"/>
      <c r="SQX15"/>
      <c r="SQY15"/>
      <c r="SQZ15"/>
      <c r="SRA15"/>
      <c r="SRB15"/>
      <c r="SRC15"/>
      <c r="SRD15"/>
      <c r="SRE15"/>
      <c r="SRF15"/>
      <c r="SRG15"/>
      <c r="SRH15"/>
      <c r="SRI15"/>
      <c r="SRJ15"/>
      <c r="SRK15"/>
      <c r="SRL15"/>
      <c r="SRM15"/>
      <c r="SRN15"/>
      <c r="SRO15"/>
      <c r="SRP15"/>
      <c r="SRQ15"/>
      <c r="SRR15"/>
      <c r="SRS15"/>
      <c r="SRT15"/>
      <c r="SRU15"/>
      <c r="SRV15"/>
      <c r="SRW15"/>
      <c r="SRX15"/>
      <c r="SRY15"/>
      <c r="SRZ15"/>
      <c r="SSA15"/>
      <c r="SSB15"/>
      <c r="SSC15"/>
      <c r="SSD15"/>
      <c r="SSE15"/>
      <c r="SSF15"/>
      <c r="SSG15"/>
      <c r="SSH15"/>
      <c r="SSI15"/>
      <c r="SSJ15"/>
      <c r="SSK15"/>
      <c r="SSL15"/>
      <c r="SSM15"/>
      <c r="SSN15"/>
      <c r="SSO15"/>
      <c r="SSP15"/>
      <c r="SSQ15"/>
      <c r="SSR15"/>
      <c r="SSS15"/>
      <c r="SST15"/>
      <c r="SSU15"/>
      <c r="SSV15"/>
      <c r="SSW15"/>
      <c r="SSX15"/>
      <c r="SSY15"/>
      <c r="SSZ15"/>
      <c r="STA15"/>
      <c r="STB15"/>
      <c r="STC15"/>
      <c r="STD15"/>
      <c r="STE15"/>
      <c r="STF15"/>
      <c r="STG15"/>
      <c r="STH15"/>
      <c r="STI15"/>
      <c r="STJ15"/>
      <c r="STK15"/>
      <c r="STL15"/>
      <c r="STM15"/>
      <c r="STN15"/>
      <c r="STO15"/>
      <c r="STP15"/>
      <c r="STQ15"/>
      <c r="STR15"/>
      <c r="STS15"/>
      <c r="STT15"/>
      <c r="STU15"/>
      <c r="STV15"/>
      <c r="STW15"/>
      <c r="STX15"/>
      <c r="STY15"/>
      <c r="STZ15"/>
      <c r="SUA15"/>
      <c r="SUB15"/>
      <c r="SUC15"/>
      <c r="SUD15"/>
      <c r="SUE15"/>
      <c r="SUF15"/>
      <c r="SUG15"/>
      <c r="SUH15"/>
      <c r="SUI15"/>
      <c r="SUJ15"/>
      <c r="SUK15"/>
      <c r="SUL15"/>
      <c r="SUM15"/>
      <c r="SUN15"/>
      <c r="SUO15"/>
      <c r="SUP15"/>
      <c r="SUQ15"/>
      <c r="SUR15"/>
      <c r="SUS15"/>
      <c r="SUT15"/>
      <c r="SUU15"/>
      <c r="SUV15"/>
      <c r="SUW15"/>
      <c r="SUX15"/>
      <c r="SUY15"/>
      <c r="SUZ15"/>
      <c r="SVA15"/>
      <c r="SVB15"/>
      <c r="SVC15"/>
      <c r="SVD15"/>
      <c r="SVE15"/>
      <c r="SVF15"/>
      <c r="SVG15"/>
      <c r="SVH15"/>
      <c r="SVI15"/>
      <c r="SVJ15"/>
      <c r="SVK15"/>
      <c r="SVL15"/>
      <c r="SVM15"/>
      <c r="SVN15"/>
      <c r="SVO15"/>
      <c r="SVP15"/>
      <c r="SVQ15"/>
      <c r="SVR15"/>
      <c r="SVS15"/>
      <c r="SVT15"/>
      <c r="SVU15"/>
      <c r="SVV15"/>
      <c r="SVW15"/>
      <c r="SVX15"/>
      <c r="SVY15"/>
      <c r="SVZ15"/>
      <c r="SWA15"/>
      <c r="SWB15"/>
      <c r="SWC15"/>
      <c r="SWD15"/>
      <c r="SWE15"/>
      <c r="SWF15"/>
      <c r="SWG15"/>
      <c r="SWH15"/>
      <c r="SWI15"/>
      <c r="SWJ15"/>
      <c r="SWK15"/>
      <c r="SWL15"/>
      <c r="SWM15"/>
      <c r="SWN15"/>
      <c r="SWO15"/>
      <c r="SWP15"/>
      <c r="SWQ15"/>
      <c r="SWR15"/>
      <c r="SWS15"/>
      <c r="SWT15"/>
      <c r="SWU15"/>
      <c r="SWV15"/>
      <c r="SWW15"/>
      <c r="SWX15"/>
      <c r="SWY15"/>
      <c r="SWZ15"/>
      <c r="SXA15"/>
      <c r="SXB15"/>
      <c r="SXC15"/>
      <c r="SXD15"/>
      <c r="SXE15"/>
      <c r="SXF15"/>
      <c r="SXG15"/>
      <c r="SXH15"/>
      <c r="SXI15"/>
      <c r="SXJ15"/>
      <c r="SXK15"/>
      <c r="SXL15"/>
      <c r="SXM15"/>
      <c r="SXN15"/>
      <c r="SXO15"/>
      <c r="SXP15"/>
      <c r="SXQ15"/>
      <c r="SXR15"/>
      <c r="SXS15"/>
      <c r="SXT15"/>
      <c r="SXU15"/>
      <c r="SXV15"/>
      <c r="SXW15"/>
      <c r="SXX15"/>
      <c r="SXY15"/>
      <c r="SXZ15"/>
      <c r="SYA15"/>
      <c r="SYB15"/>
      <c r="SYC15"/>
      <c r="SYD15"/>
      <c r="SYE15"/>
      <c r="SYF15"/>
      <c r="SYG15"/>
      <c r="SYH15"/>
      <c r="SYI15"/>
      <c r="SYJ15"/>
      <c r="SYK15"/>
      <c r="SYL15"/>
      <c r="SYM15"/>
      <c r="SYN15"/>
      <c r="SYO15"/>
      <c r="SYP15"/>
      <c r="SYQ15"/>
      <c r="SYR15"/>
      <c r="SYS15"/>
      <c r="SYT15"/>
      <c r="SYU15"/>
      <c r="SYV15"/>
      <c r="SYW15"/>
      <c r="SYX15"/>
      <c r="SYY15"/>
      <c r="SYZ15"/>
      <c r="SZA15"/>
      <c r="SZB15"/>
      <c r="SZC15"/>
      <c r="SZD15"/>
      <c r="SZE15"/>
      <c r="SZF15"/>
      <c r="SZG15"/>
      <c r="SZH15"/>
      <c r="SZI15"/>
      <c r="SZJ15"/>
      <c r="SZK15"/>
      <c r="SZL15"/>
      <c r="SZM15"/>
      <c r="SZN15"/>
      <c r="SZO15"/>
      <c r="SZP15"/>
      <c r="SZQ15"/>
      <c r="SZR15"/>
      <c r="SZS15"/>
      <c r="SZT15"/>
      <c r="SZU15"/>
      <c r="SZV15"/>
      <c r="SZW15"/>
      <c r="SZX15"/>
      <c r="SZY15"/>
      <c r="SZZ15"/>
      <c r="TAA15"/>
      <c r="TAB15"/>
      <c r="TAC15"/>
      <c r="TAD15"/>
      <c r="TAE15"/>
      <c r="TAF15"/>
      <c r="TAG15"/>
      <c r="TAH15"/>
      <c r="TAI15"/>
      <c r="TAJ15"/>
      <c r="TAK15"/>
      <c r="TAL15"/>
      <c r="TAM15"/>
      <c r="TAN15"/>
      <c r="TAO15"/>
      <c r="TAP15"/>
      <c r="TAQ15"/>
      <c r="TAR15"/>
      <c r="TAS15"/>
      <c r="TAT15"/>
      <c r="TAU15"/>
      <c r="TAV15"/>
      <c r="TAW15"/>
      <c r="TAX15"/>
      <c r="TAY15"/>
      <c r="TAZ15"/>
      <c r="TBA15"/>
      <c r="TBB15"/>
      <c r="TBC15"/>
      <c r="TBD15"/>
      <c r="TBE15"/>
      <c r="TBF15"/>
      <c r="TBG15"/>
      <c r="TBH15"/>
      <c r="TBI15"/>
      <c r="TBJ15"/>
      <c r="TBK15"/>
      <c r="TBL15"/>
      <c r="TBM15"/>
      <c r="TBN15"/>
      <c r="TBO15"/>
      <c r="TBP15"/>
      <c r="TBQ15"/>
      <c r="TBR15"/>
      <c r="TBS15"/>
      <c r="TBT15"/>
      <c r="TBU15"/>
      <c r="TBV15"/>
      <c r="TBW15"/>
      <c r="TBX15"/>
      <c r="TBY15"/>
      <c r="TBZ15"/>
      <c r="TCA15"/>
      <c r="TCB15"/>
      <c r="TCC15"/>
      <c r="TCD15"/>
      <c r="TCE15"/>
      <c r="TCF15"/>
      <c r="TCG15"/>
      <c r="TCH15"/>
      <c r="TCI15"/>
      <c r="TCJ15"/>
      <c r="TCK15"/>
      <c r="TCL15"/>
      <c r="TCM15"/>
      <c r="TCN15"/>
      <c r="TCO15"/>
      <c r="TCP15"/>
      <c r="TCQ15"/>
      <c r="TCR15"/>
      <c r="TCS15"/>
      <c r="TCT15"/>
      <c r="TCU15"/>
      <c r="TCV15"/>
      <c r="TCW15"/>
      <c r="TCX15"/>
      <c r="TCY15"/>
      <c r="TCZ15"/>
      <c r="TDA15"/>
      <c r="TDB15"/>
      <c r="TDC15"/>
      <c r="TDD15"/>
      <c r="TDE15"/>
      <c r="TDF15"/>
      <c r="TDG15"/>
      <c r="TDH15"/>
      <c r="TDI15"/>
      <c r="TDJ15"/>
      <c r="TDK15"/>
      <c r="TDL15"/>
      <c r="TDM15"/>
      <c r="TDN15"/>
      <c r="TDO15"/>
      <c r="TDP15"/>
      <c r="TDQ15"/>
      <c r="TDR15"/>
      <c r="TDS15"/>
      <c r="TDT15"/>
      <c r="TDU15"/>
      <c r="TDV15"/>
      <c r="TDW15"/>
      <c r="TDX15"/>
      <c r="TDY15"/>
      <c r="TDZ15"/>
      <c r="TEA15"/>
      <c r="TEB15"/>
      <c r="TEC15"/>
      <c r="TED15"/>
      <c r="TEE15"/>
      <c r="TEF15"/>
      <c r="TEG15"/>
      <c r="TEH15"/>
      <c r="TEI15"/>
      <c r="TEJ15"/>
      <c r="TEK15"/>
      <c r="TEL15"/>
      <c r="TEM15"/>
      <c r="TEN15"/>
      <c r="TEO15"/>
      <c r="TEP15"/>
      <c r="TEQ15"/>
      <c r="TER15"/>
      <c r="TES15"/>
      <c r="TET15"/>
      <c r="TEU15"/>
      <c r="TEV15"/>
      <c r="TEW15"/>
      <c r="TEX15"/>
      <c r="TEY15"/>
      <c r="TEZ15"/>
      <c r="TFA15"/>
      <c r="TFB15"/>
      <c r="TFC15"/>
      <c r="TFD15"/>
      <c r="TFE15"/>
      <c r="TFF15"/>
      <c r="TFG15"/>
      <c r="TFH15"/>
      <c r="TFI15"/>
      <c r="TFJ15"/>
      <c r="TFK15"/>
      <c r="TFL15"/>
      <c r="TFM15"/>
      <c r="TFN15"/>
      <c r="TFO15"/>
      <c r="TFP15"/>
      <c r="TFQ15"/>
      <c r="TFR15"/>
      <c r="TFS15"/>
      <c r="TFT15"/>
      <c r="TFU15"/>
      <c r="TFV15"/>
      <c r="TFW15"/>
      <c r="TFX15"/>
      <c r="TFY15"/>
      <c r="TFZ15"/>
      <c r="TGA15"/>
      <c r="TGB15"/>
      <c r="TGC15"/>
      <c r="TGD15"/>
      <c r="TGE15"/>
      <c r="TGF15"/>
      <c r="TGG15"/>
      <c r="TGH15"/>
      <c r="TGI15"/>
      <c r="TGJ15"/>
      <c r="TGK15"/>
      <c r="TGL15"/>
      <c r="TGM15"/>
      <c r="TGN15"/>
      <c r="TGO15"/>
      <c r="TGP15"/>
      <c r="TGQ15"/>
      <c r="TGR15"/>
      <c r="TGS15"/>
      <c r="TGT15"/>
      <c r="TGU15"/>
      <c r="TGV15"/>
      <c r="TGW15"/>
      <c r="TGX15"/>
      <c r="TGY15"/>
      <c r="TGZ15"/>
      <c r="THA15"/>
      <c r="THB15"/>
      <c r="THC15"/>
      <c r="THD15"/>
      <c r="THE15"/>
      <c r="THF15"/>
      <c r="THG15"/>
      <c r="THH15"/>
      <c r="THI15"/>
      <c r="THJ15"/>
      <c r="THK15"/>
      <c r="THL15"/>
      <c r="THM15"/>
      <c r="THN15"/>
      <c r="THO15"/>
      <c r="THP15"/>
      <c r="THQ15"/>
      <c r="THR15"/>
      <c r="THS15"/>
      <c r="THT15"/>
      <c r="THU15"/>
      <c r="THV15"/>
      <c r="THW15"/>
      <c r="THX15"/>
      <c r="THY15"/>
      <c r="THZ15"/>
      <c r="TIA15"/>
      <c r="TIB15"/>
      <c r="TIC15"/>
      <c r="TID15"/>
      <c r="TIE15"/>
      <c r="TIF15"/>
      <c r="TIG15"/>
      <c r="TIH15"/>
      <c r="TII15"/>
      <c r="TIJ15"/>
      <c r="TIK15"/>
      <c r="TIL15"/>
      <c r="TIM15"/>
      <c r="TIN15"/>
      <c r="TIO15"/>
      <c r="TIP15"/>
      <c r="TIQ15"/>
      <c r="TIR15"/>
      <c r="TIS15"/>
      <c r="TIT15"/>
      <c r="TIU15"/>
      <c r="TIV15"/>
      <c r="TIW15"/>
      <c r="TIX15"/>
      <c r="TIY15"/>
      <c r="TIZ15"/>
      <c r="TJA15"/>
      <c r="TJB15"/>
      <c r="TJC15"/>
      <c r="TJD15"/>
      <c r="TJE15"/>
      <c r="TJF15"/>
      <c r="TJG15"/>
      <c r="TJH15"/>
      <c r="TJI15"/>
      <c r="TJJ15"/>
      <c r="TJK15"/>
      <c r="TJL15"/>
      <c r="TJM15"/>
      <c r="TJN15"/>
      <c r="TJO15"/>
      <c r="TJP15"/>
      <c r="TJQ15"/>
      <c r="TJR15"/>
      <c r="TJS15"/>
      <c r="TJT15"/>
      <c r="TJU15"/>
      <c r="TJV15"/>
      <c r="TJW15"/>
      <c r="TJX15"/>
      <c r="TJY15"/>
      <c r="TJZ15"/>
      <c r="TKA15"/>
      <c r="TKB15"/>
      <c r="TKC15"/>
      <c r="TKD15"/>
      <c r="TKE15"/>
      <c r="TKF15"/>
      <c r="TKG15"/>
      <c r="TKH15"/>
      <c r="TKI15"/>
      <c r="TKJ15"/>
      <c r="TKK15"/>
      <c r="TKL15"/>
      <c r="TKM15"/>
      <c r="TKN15"/>
      <c r="TKO15"/>
      <c r="TKP15"/>
      <c r="TKQ15"/>
      <c r="TKR15"/>
      <c r="TKS15"/>
      <c r="TKT15"/>
      <c r="TKU15"/>
      <c r="TKV15"/>
      <c r="TKW15"/>
      <c r="TKX15"/>
      <c r="TKY15"/>
      <c r="TKZ15"/>
      <c r="TLA15"/>
      <c r="TLB15"/>
      <c r="TLC15"/>
      <c r="TLD15"/>
      <c r="TLE15"/>
      <c r="TLF15"/>
      <c r="TLG15"/>
      <c r="TLH15"/>
      <c r="TLI15"/>
      <c r="TLJ15"/>
      <c r="TLK15"/>
      <c r="TLL15"/>
      <c r="TLM15"/>
      <c r="TLN15"/>
      <c r="TLO15"/>
      <c r="TLP15"/>
      <c r="TLQ15"/>
      <c r="TLR15"/>
      <c r="TLS15"/>
      <c r="TLT15"/>
      <c r="TLU15"/>
      <c r="TLV15"/>
      <c r="TLW15"/>
      <c r="TLX15"/>
      <c r="TLY15"/>
      <c r="TLZ15"/>
      <c r="TMA15"/>
      <c r="TMB15"/>
      <c r="TMC15"/>
      <c r="TMD15"/>
      <c r="TME15"/>
      <c r="TMF15"/>
      <c r="TMG15"/>
      <c r="TMH15"/>
      <c r="TMI15"/>
      <c r="TMJ15"/>
      <c r="TMK15"/>
      <c r="TML15"/>
      <c r="TMM15"/>
      <c r="TMN15"/>
      <c r="TMO15"/>
      <c r="TMP15"/>
      <c r="TMQ15"/>
      <c r="TMR15"/>
      <c r="TMS15"/>
      <c r="TMT15"/>
      <c r="TMU15"/>
      <c r="TMV15"/>
      <c r="TMW15"/>
      <c r="TMX15"/>
      <c r="TMY15"/>
      <c r="TMZ15"/>
      <c r="TNA15"/>
      <c r="TNB15"/>
      <c r="TNC15"/>
      <c r="TND15"/>
      <c r="TNE15"/>
      <c r="TNF15"/>
      <c r="TNG15"/>
      <c r="TNH15"/>
      <c r="TNI15"/>
      <c r="TNJ15"/>
      <c r="TNK15"/>
      <c r="TNL15"/>
      <c r="TNM15"/>
      <c r="TNN15"/>
      <c r="TNO15"/>
      <c r="TNP15"/>
      <c r="TNQ15"/>
      <c r="TNR15"/>
      <c r="TNS15"/>
      <c r="TNT15"/>
      <c r="TNU15"/>
      <c r="TNV15"/>
      <c r="TNW15"/>
      <c r="TNX15"/>
      <c r="TNY15"/>
      <c r="TNZ15"/>
      <c r="TOA15"/>
      <c r="TOB15"/>
      <c r="TOC15"/>
      <c r="TOD15"/>
      <c r="TOE15"/>
      <c r="TOF15"/>
      <c r="TOG15"/>
      <c r="TOH15"/>
      <c r="TOI15"/>
      <c r="TOJ15"/>
      <c r="TOK15"/>
      <c r="TOL15"/>
      <c r="TOM15"/>
      <c r="TON15"/>
      <c r="TOO15"/>
      <c r="TOP15"/>
      <c r="TOQ15"/>
      <c r="TOR15"/>
      <c r="TOS15"/>
      <c r="TOT15"/>
      <c r="TOU15"/>
      <c r="TOV15"/>
      <c r="TOW15"/>
      <c r="TOX15"/>
      <c r="TOY15"/>
      <c r="TOZ15"/>
      <c r="TPA15"/>
      <c r="TPB15"/>
      <c r="TPC15"/>
      <c r="TPD15"/>
      <c r="TPE15"/>
      <c r="TPF15"/>
      <c r="TPG15"/>
      <c r="TPH15"/>
      <c r="TPI15"/>
      <c r="TPJ15"/>
      <c r="TPK15"/>
      <c r="TPL15"/>
      <c r="TPM15"/>
      <c r="TPN15"/>
      <c r="TPO15"/>
      <c r="TPP15"/>
      <c r="TPQ15"/>
      <c r="TPR15"/>
      <c r="TPS15"/>
      <c r="TPT15"/>
      <c r="TPU15"/>
      <c r="TPV15"/>
      <c r="TPW15"/>
      <c r="TPX15"/>
      <c r="TPY15"/>
      <c r="TPZ15"/>
      <c r="TQA15"/>
      <c r="TQB15"/>
      <c r="TQC15"/>
      <c r="TQD15"/>
      <c r="TQE15"/>
      <c r="TQF15"/>
      <c r="TQG15"/>
      <c r="TQH15"/>
      <c r="TQI15"/>
      <c r="TQJ15"/>
      <c r="TQK15"/>
      <c r="TQL15"/>
      <c r="TQM15"/>
      <c r="TQN15"/>
      <c r="TQO15"/>
      <c r="TQP15"/>
      <c r="TQQ15"/>
      <c r="TQR15"/>
      <c r="TQS15"/>
      <c r="TQT15"/>
      <c r="TQU15"/>
      <c r="TQV15"/>
      <c r="TQW15"/>
      <c r="TQX15"/>
      <c r="TQY15"/>
      <c r="TQZ15"/>
      <c r="TRA15"/>
      <c r="TRB15"/>
      <c r="TRC15"/>
      <c r="TRD15"/>
      <c r="TRE15"/>
      <c r="TRF15"/>
      <c r="TRG15"/>
      <c r="TRH15"/>
      <c r="TRI15"/>
      <c r="TRJ15"/>
      <c r="TRK15"/>
      <c r="TRL15"/>
      <c r="TRM15"/>
      <c r="TRN15"/>
      <c r="TRO15"/>
      <c r="TRP15"/>
      <c r="TRQ15"/>
      <c r="TRR15"/>
      <c r="TRS15"/>
      <c r="TRT15"/>
      <c r="TRU15"/>
      <c r="TRV15"/>
      <c r="TRW15"/>
      <c r="TRX15"/>
      <c r="TRY15"/>
      <c r="TRZ15"/>
      <c r="TSA15"/>
      <c r="TSB15"/>
      <c r="TSC15"/>
      <c r="TSD15"/>
      <c r="TSE15"/>
      <c r="TSF15"/>
      <c r="TSG15"/>
      <c r="TSH15"/>
      <c r="TSI15"/>
      <c r="TSJ15"/>
      <c r="TSK15"/>
      <c r="TSL15"/>
      <c r="TSM15"/>
      <c r="TSN15"/>
      <c r="TSO15"/>
      <c r="TSP15"/>
      <c r="TSQ15"/>
      <c r="TSR15"/>
      <c r="TSS15"/>
      <c r="TST15"/>
      <c r="TSU15"/>
      <c r="TSV15"/>
      <c r="TSW15"/>
      <c r="TSX15"/>
      <c r="TSY15"/>
      <c r="TSZ15"/>
      <c r="TTA15"/>
      <c r="TTB15"/>
      <c r="TTC15"/>
      <c r="TTD15"/>
      <c r="TTE15"/>
      <c r="TTF15"/>
      <c r="TTG15"/>
      <c r="TTH15"/>
      <c r="TTI15"/>
      <c r="TTJ15"/>
      <c r="TTK15"/>
      <c r="TTL15"/>
      <c r="TTM15"/>
      <c r="TTN15"/>
      <c r="TTO15"/>
      <c r="TTP15"/>
      <c r="TTQ15"/>
      <c r="TTR15"/>
      <c r="TTS15"/>
      <c r="TTT15"/>
      <c r="TTU15"/>
      <c r="TTV15"/>
      <c r="TTW15"/>
      <c r="TTX15"/>
      <c r="TTY15"/>
      <c r="TTZ15"/>
      <c r="TUA15"/>
      <c r="TUB15"/>
      <c r="TUC15"/>
      <c r="TUD15"/>
      <c r="TUE15"/>
      <c r="TUF15"/>
      <c r="TUG15"/>
      <c r="TUH15"/>
      <c r="TUI15"/>
      <c r="TUJ15"/>
      <c r="TUK15"/>
      <c r="TUL15"/>
      <c r="TUM15"/>
      <c r="TUN15"/>
      <c r="TUO15"/>
      <c r="TUP15"/>
      <c r="TUQ15"/>
      <c r="TUR15"/>
      <c r="TUS15"/>
      <c r="TUT15"/>
      <c r="TUU15"/>
      <c r="TUV15"/>
      <c r="TUW15"/>
      <c r="TUX15"/>
      <c r="TUY15"/>
      <c r="TUZ15"/>
      <c r="TVA15"/>
      <c r="TVB15"/>
      <c r="TVC15"/>
      <c r="TVD15"/>
      <c r="TVE15"/>
      <c r="TVF15"/>
      <c r="TVG15"/>
      <c r="TVH15"/>
      <c r="TVI15"/>
      <c r="TVJ15"/>
      <c r="TVK15"/>
      <c r="TVL15"/>
      <c r="TVM15"/>
      <c r="TVN15"/>
      <c r="TVO15"/>
      <c r="TVP15"/>
      <c r="TVQ15"/>
      <c r="TVR15"/>
      <c r="TVS15"/>
      <c r="TVT15"/>
      <c r="TVU15"/>
      <c r="TVV15"/>
      <c r="TVW15"/>
      <c r="TVX15"/>
      <c r="TVY15"/>
      <c r="TVZ15"/>
      <c r="TWA15"/>
      <c r="TWB15"/>
      <c r="TWC15"/>
      <c r="TWD15"/>
      <c r="TWE15"/>
      <c r="TWF15"/>
      <c r="TWG15"/>
      <c r="TWH15"/>
      <c r="TWI15"/>
      <c r="TWJ15"/>
      <c r="TWK15"/>
      <c r="TWL15"/>
      <c r="TWM15"/>
      <c r="TWN15"/>
      <c r="TWO15"/>
      <c r="TWP15"/>
      <c r="TWQ15"/>
      <c r="TWR15"/>
      <c r="TWS15"/>
      <c r="TWT15"/>
      <c r="TWU15"/>
      <c r="TWV15"/>
      <c r="TWW15"/>
      <c r="TWX15"/>
      <c r="TWY15"/>
      <c r="TWZ15"/>
      <c r="TXA15"/>
      <c r="TXB15"/>
      <c r="TXC15"/>
      <c r="TXD15"/>
      <c r="TXE15"/>
      <c r="TXF15"/>
      <c r="TXG15"/>
      <c r="TXH15"/>
      <c r="TXI15"/>
      <c r="TXJ15"/>
      <c r="TXK15"/>
      <c r="TXL15"/>
      <c r="TXM15"/>
      <c r="TXN15"/>
      <c r="TXO15"/>
      <c r="TXP15"/>
      <c r="TXQ15"/>
      <c r="TXR15"/>
      <c r="TXS15"/>
      <c r="TXT15"/>
      <c r="TXU15"/>
      <c r="TXV15"/>
      <c r="TXW15"/>
      <c r="TXX15"/>
      <c r="TXY15"/>
      <c r="TXZ15"/>
      <c r="TYA15"/>
      <c r="TYB15"/>
      <c r="TYC15"/>
      <c r="TYD15"/>
      <c r="TYE15"/>
      <c r="TYF15"/>
      <c r="TYG15"/>
      <c r="TYH15"/>
      <c r="TYI15"/>
      <c r="TYJ15"/>
      <c r="TYK15"/>
      <c r="TYL15"/>
      <c r="TYM15"/>
      <c r="TYN15"/>
      <c r="TYO15"/>
      <c r="TYP15"/>
      <c r="TYQ15"/>
      <c r="TYR15"/>
      <c r="TYS15"/>
      <c r="TYT15"/>
      <c r="TYU15"/>
      <c r="TYV15"/>
      <c r="TYW15"/>
      <c r="TYX15"/>
      <c r="TYY15"/>
      <c r="TYZ15"/>
      <c r="TZA15"/>
      <c r="TZB15"/>
      <c r="TZC15"/>
      <c r="TZD15"/>
      <c r="TZE15"/>
      <c r="TZF15"/>
      <c r="TZG15"/>
      <c r="TZH15"/>
      <c r="TZI15"/>
      <c r="TZJ15"/>
      <c r="TZK15"/>
      <c r="TZL15"/>
      <c r="TZM15"/>
      <c r="TZN15"/>
      <c r="TZO15"/>
      <c r="TZP15"/>
      <c r="TZQ15"/>
      <c r="TZR15"/>
      <c r="TZS15"/>
      <c r="TZT15"/>
      <c r="TZU15"/>
      <c r="TZV15"/>
      <c r="TZW15"/>
      <c r="TZX15"/>
      <c r="TZY15"/>
      <c r="TZZ15"/>
      <c r="UAA15"/>
      <c r="UAB15"/>
      <c r="UAC15"/>
      <c r="UAD15"/>
      <c r="UAE15"/>
      <c r="UAF15"/>
      <c r="UAG15"/>
      <c r="UAH15"/>
      <c r="UAI15"/>
      <c r="UAJ15"/>
      <c r="UAK15"/>
      <c r="UAL15"/>
      <c r="UAM15"/>
      <c r="UAN15"/>
      <c r="UAO15"/>
      <c r="UAP15"/>
      <c r="UAQ15"/>
      <c r="UAR15"/>
      <c r="UAS15"/>
      <c r="UAT15"/>
      <c r="UAU15"/>
      <c r="UAV15"/>
      <c r="UAW15"/>
      <c r="UAX15"/>
      <c r="UAY15"/>
      <c r="UAZ15"/>
      <c r="UBA15"/>
      <c r="UBB15"/>
      <c r="UBC15"/>
      <c r="UBD15"/>
      <c r="UBE15"/>
      <c r="UBF15"/>
      <c r="UBG15"/>
      <c r="UBH15"/>
      <c r="UBI15"/>
      <c r="UBJ15"/>
      <c r="UBK15"/>
      <c r="UBL15"/>
      <c r="UBM15"/>
      <c r="UBN15"/>
      <c r="UBO15"/>
      <c r="UBP15"/>
      <c r="UBQ15"/>
      <c r="UBR15"/>
      <c r="UBS15"/>
      <c r="UBT15"/>
      <c r="UBU15"/>
      <c r="UBV15"/>
      <c r="UBW15"/>
      <c r="UBX15"/>
      <c r="UBY15"/>
      <c r="UBZ15"/>
      <c r="UCA15"/>
      <c r="UCB15"/>
      <c r="UCC15"/>
      <c r="UCD15"/>
      <c r="UCE15"/>
      <c r="UCF15"/>
      <c r="UCG15"/>
      <c r="UCH15"/>
      <c r="UCI15"/>
      <c r="UCJ15"/>
      <c r="UCK15"/>
      <c r="UCL15"/>
      <c r="UCM15"/>
      <c r="UCN15"/>
      <c r="UCO15"/>
      <c r="UCP15"/>
      <c r="UCQ15"/>
      <c r="UCR15"/>
      <c r="UCS15"/>
      <c r="UCT15"/>
      <c r="UCU15"/>
      <c r="UCV15"/>
      <c r="UCW15"/>
      <c r="UCX15"/>
      <c r="UCY15"/>
      <c r="UCZ15"/>
      <c r="UDA15"/>
      <c r="UDB15"/>
      <c r="UDC15"/>
      <c r="UDD15"/>
      <c r="UDE15"/>
      <c r="UDF15"/>
      <c r="UDG15"/>
      <c r="UDH15"/>
      <c r="UDI15"/>
      <c r="UDJ15"/>
      <c r="UDK15"/>
      <c r="UDL15"/>
      <c r="UDM15"/>
      <c r="UDN15"/>
      <c r="UDO15"/>
      <c r="UDP15"/>
      <c r="UDQ15"/>
      <c r="UDR15"/>
      <c r="UDS15"/>
      <c r="UDT15"/>
      <c r="UDU15"/>
      <c r="UDV15"/>
      <c r="UDW15"/>
      <c r="UDX15"/>
      <c r="UDY15"/>
      <c r="UDZ15"/>
      <c r="UEA15"/>
      <c r="UEB15"/>
      <c r="UEC15"/>
      <c r="UED15"/>
      <c r="UEE15"/>
      <c r="UEF15"/>
      <c r="UEG15"/>
      <c r="UEH15"/>
      <c r="UEI15"/>
      <c r="UEJ15"/>
      <c r="UEK15"/>
      <c r="UEL15"/>
      <c r="UEM15"/>
      <c r="UEN15"/>
      <c r="UEO15"/>
      <c r="UEP15"/>
      <c r="UEQ15"/>
      <c r="UER15"/>
      <c r="UES15"/>
      <c r="UET15"/>
      <c r="UEU15"/>
      <c r="UEV15"/>
      <c r="UEW15"/>
      <c r="UEX15"/>
      <c r="UEY15"/>
      <c r="UEZ15"/>
      <c r="UFA15"/>
      <c r="UFB15"/>
      <c r="UFC15"/>
      <c r="UFD15"/>
      <c r="UFE15"/>
      <c r="UFF15"/>
      <c r="UFG15"/>
      <c r="UFH15"/>
      <c r="UFI15"/>
      <c r="UFJ15"/>
      <c r="UFK15"/>
      <c r="UFL15"/>
      <c r="UFM15"/>
      <c r="UFN15"/>
      <c r="UFO15"/>
      <c r="UFP15"/>
      <c r="UFQ15"/>
      <c r="UFR15"/>
      <c r="UFS15"/>
      <c r="UFT15"/>
      <c r="UFU15"/>
      <c r="UFV15"/>
      <c r="UFW15"/>
      <c r="UFX15"/>
      <c r="UFY15"/>
      <c r="UFZ15"/>
      <c r="UGA15"/>
      <c r="UGB15"/>
      <c r="UGC15"/>
      <c r="UGD15"/>
      <c r="UGE15"/>
      <c r="UGF15"/>
      <c r="UGG15"/>
      <c r="UGH15"/>
      <c r="UGI15"/>
      <c r="UGJ15"/>
      <c r="UGK15"/>
      <c r="UGL15"/>
      <c r="UGM15"/>
      <c r="UGN15"/>
      <c r="UGO15"/>
      <c r="UGP15"/>
      <c r="UGQ15"/>
      <c r="UGR15"/>
      <c r="UGS15"/>
      <c r="UGT15"/>
      <c r="UGU15"/>
      <c r="UGV15"/>
      <c r="UGW15"/>
      <c r="UGX15"/>
      <c r="UGY15"/>
      <c r="UGZ15"/>
      <c r="UHA15"/>
      <c r="UHB15"/>
      <c r="UHC15"/>
      <c r="UHD15"/>
      <c r="UHE15"/>
      <c r="UHF15"/>
      <c r="UHG15"/>
      <c r="UHH15"/>
      <c r="UHI15"/>
      <c r="UHJ15"/>
      <c r="UHK15"/>
      <c r="UHL15"/>
      <c r="UHM15"/>
      <c r="UHN15"/>
      <c r="UHO15"/>
      <c r="UHP15"/>
      <c r="UHQ15"/>
      <c r="UHR15"/>
      <c r="UHS15"/>
      <c r="UHT15"/>
      <c r="UHU15"/>
      <c r="UHV15"/>
      <c r="UHW15"/>
      <c r="UHX15"/>
      <c r="UHY15"/>
      <c r="UHZ15"/>
      <c r="UIA15"/>
      <c r="UIB15"/>
      <c r="UIC15"/>
      <c r="UID15"/>
      <c r="UIE15"/>
      <c r="UIF15"/>
      <c r="UIG15"/>
      <c r="UIH15"/>
      <c r="UII15"/>
      <c r="UIJ15"/>
      <c r="UIK15"/>
      <c r="UIL15"/>
      <c r="UIM15"/>
      <c r="UIN15"/>
      <c r="UIO15"/>
      <c r="UIP15"/>
      <c r="UIQ15"/>
      <c r="UIR15"/>
      <c r="UIS15"/>
      <c r="UIT15"/>
      <c r="UIU15"/>
      <c r="UIV15"/>
      <c r="UIW15"/>
      <c r="UIX15"/>
      <c r="UIY15"/>
      <c r="UIZ15"/>
      <c r="UJA15"/>
      <c r="UJB15"/>
      <c r="UJC15"/>
      <c r="UJD15"/>
      <c r="UJE15"/>
      <c r="UJF15"/>
      <c r="UJG15"/>
      <c r="UJH15"/>
      <c r="UJI15"/>
      <c r="UJJ15"/>
      <c r="UJK15"/>
      <c r="UJL15"/>
      <c r="UJM15"/>
      <c r="UJN15"/>
      <c r="UJO15"/>
      <c r="UJP15"/>
      <c r="UJQ15"/>
      <c r="UJR15"/>
      <c r="UJS15"/>
      <c r="UJT15"/>
      <c r="UJU15"/>
      <c r="UJV15"/>
      <c r="UJW15"/>
      <c r="UJX15"/>
      <c r="UJY15"/>
      <c r="UJZ15"/>
      <c r="UKA15"/>
      <c r="UKB15"/>
      <c r="UKC15"/>
      <c r="UKD15"/>
      <c r="UKE15"/>
      <c r="UKF15"/>
      <c r="UKG15"/>
      <c r="UKH15"/>
      <c r="UKI15"/>
      <c r="UKJ15"/>
      <c r="UKK15"/>
      <c r="UKL15"/>
      <c r="UKM15"/>
      <c r="UKN15"/>
      <c r="UKO15"/>
      <c r="UKP15"/>
      <c r="UKQ15"/>
      <c r="UKR15"/>
      <c r="UKS15"/>
      <c r="UKT15"/>
      <c r="UKU15"/>
      <c r="UKV15"/>
      <c r="UKW15"/>
      <c r="UKX15"/>
      <c r="UKY15"/>
      <c r="UKZ15"/>
      <c r="ULA15"/>
      <c r="ULB15"/>
      <c r="ULC15"/>
      <c r="ULD15"/>
      <c r="ULE15"/>
      <c r="ULF15"/>
      <c r="ULG15"/>
      <c r="ULH15"/>
      <c r="ULI15"/>
      <c r="ULJ15"/>
      <c r="ULK15"/>
      <c r="ULL15"/>
      <c r="ULM15"/>
      <c r="ULN15"/>
      <c r="ULO15"/>
      <c r="ULP15"/>
      <c r="ULQ15"/>
      <c r="ULR15"/>
      <c r="ULS15"/>
      <c r="ULT15"/>
      <c r="ULU15"/>
      <c r="ULV15"/>
      <c r="ULW15"/>
      <c r="ULX15"/>
      <c r="ULY15"/>
      <c r="ULZ15"/>
      <c r="UMA15"/>
      <c r="UMB15"/>
      <c r="UMC15"/>
      <c r="UMD15"/>
      <c r="UME15"/>
      <c r="UMF15"/>
      <c r="UMG15"/>
      <c r="UMH15"/>
      <c r="UMI15"/>
      <c r="UMJ15"/>
      <c r="UMK15"/>
      <c r="UML15"/>
      <c r="UMM15"/>
      <c r="UMN15"/>
      <c r="UMO15"/>
      <c r="UMP15"/>
      <c r="UMQ15"/>
      <c r="UMR15"/>
      <c r="UMS15"/>
      <c r="UMT15"/>
      <c r="UMU15"/>
      <c r="UMV15"/>
      <c r="UMW15"/>
      <c r="UMX15"/>
      <c r="UMY15"/>
      <c r="UMZ15"/>
      <c r="UNA15"/>
      <c r="UNB15"/>
      <c r="UNC15"/>
      <c r="UND15"/>
      <c r="UNE15"/>
      <c r="UNF15"/>
      <c r="UNG15"/>
      <c r="UNH15"/>
      <c r="UNI15"/>
      <c r="UNJ15"/>
      <c r="UNK15"/>
      <c r="UNL15"/>
      <c r="UNM15"/>
      <c r="UNN15"/>
      <c r="UNO15"/>
      <c r="UNP15"/>
      <c r="UNQ15"/>
      <c r="UNR15"/>
      <c r="UNS15"/>
      <c r="UNT15"/>
      <c r="UNU15"/>
      <c r="UNV15"/>
      <c r="UNW15"/>
      <c r="UNX15"/>
      <c r="UNY15"/>
      <c r="UNZ15"/>
      <c r="UOA15"/>
      <c r="UOB15"/>
      <c r="UOC15"/>
      <c r="UOD15"/>
      <c r="UOE15"/>
      <c r="UOF15"/>
      <c r="UOG15"/>
      <c r="UOH15"/>
      <c r="UOI15"/>
      <c r="UOJ15"/>
      <c r="UOK15"/>
      <c r="UOL15"/>
      <c r="UOM15"/>
      <c r="UON15"/>
      <c r="UOO15"/>
      <c r="UOP15"/>
      <c r="UOQ15"/>
      <c r="UOR15"/>
      <c r="UOS15"/>
      <c r="UOT15"/>
      <c r="UOU15"/>
      <c r="UOV15"/>
      <c r="UOW15"/>
      <c r="UOX15"/>
      <c r="UOY15"/>
      <c r="UOZ15"/>
      <c r="UPA15"/>
      <c r="UPB15"/>
      <c r="UPC15"/>
      <c r="UPD15"/>
      <c r="UPE15"/>
      <c r="UPF15"/>
      <c r="UPG15"/>
      <c r="UPH15"/>
      <c r="UPI15"/>
      <c r="UPJ15"/>
      <c r="UPK15"/>
      <c r="UPL15"/>
      <c r="UPM15"/>
      <c r="UPN15"/>
      <c r="UPO15"/>
      <c r="UPP15"/>
      <c r="UPQ15"/>
      <c r="UPR15"/>
      <c r="UPS15"/>
      <c r="UPT15"/>
      <c r="UPU15"/>
      <c r="UPV15"/>
      <c r="UPW15"/>
      <c r="UPX15"/>
      <c r="UPY15"/>
      <c r="UPZ15"/>
      <c r="UQA15"/>
      <c r="UQB15"/>
      <c r="UQC15"/>
      <c r="UQD15"/>
      <c r="UQE15"/>
      <c r="UQF15"/>
      <c r="UQG15"/>
      <c r="UQH15"/>
      <c r="UQI15"/>
      <c r="UQJ15"/>
      <c r="UQK15"/>
      <c r="UQL15"/>
      <c r="UQM15"/>
      <c r="UQN15"/>
      <c r="UQO15"/>
      <c r="UQP15"/>
      <c r="UQQ15"/>
      <c r="UQR15"/>
      <c r="UQS15"/>
      <c r="UQT15"/>
      <c r="UQU15"/>
      <c r="UQV15"/>
      <c r="UQW15"/>
      <c r="UQX15"/>
      <c r="UQY15"/>
      <c r="UQZ15"/>
      <c r="URA15"/>
      <c r="URB15"/>
      <c r="URC15"/>
      <c r="URD15"/>
      <c r="URE15"/>
      <c r="URF15"/>
      <c r="URG15"/>
      <c r="URH15"/>
      <c r="URI15"/>
      <c r="URJ15"/>
      <c r="URK15"/>
      <c r="URL15"/>
      <c r="URM15"/>
      <c r="URN15"/>
      <c r="URO15"/>
      <c r="URP15"/>
      <c r="URQ15"/>
      <c r="URR15"/>
      <c r="URS15"/>
      <c r="URT15"/>
      <c r="URU15"/>
      <c r="URV15"/>
      <c r="URW15"/>
      <c r="URX15"/>
      <c r="URY15"/>
      <c r="URZ15"/>
      <c r="USA15"/>
      <c r="USB15"/>
      <c r="USC15"/>
      <c r="USD15"/>
      <c r="USE15"/>
      <c r="USF15"/>
      <c r="USG15"/>
      <c r="USH15"/>
      <c r="USI15"/>
      <c r="USJ15"/>
      <c r="USK15"/>
      <c r="USL15"/>
      <c r="USM15"/>
      <c r="USN15"/>
      <c r="USO15"/>
      <c r="USP15"/>
      <c r="USQ15"/>
      <c r="USR15"/>
      <c r="USS15"/>
      <c r="UST15"/>
      <c r="USU15"/>
      <c r="USV15"/>
      <c r="USW15"/>
      <c r="USX15"/>
      <c r="USY15"/>
      <c r="USZ15"/>
      <c r="UTA15"/>
      <c r="UTB15"/>
      <c r="UTC15"/>
      <c r="UTD15"/>
      <c r="UTE15"/>
      <c r="UTF15"/>
      <c r="UTG15"/>
      <c r="UTH15"/>
      <c r="UTI15"/>
      <c r="UTJ15"/>
      <c r="UTK15"/>
      <c r="UTL15"/>
      <c r="UTM15"/>
      <c r="UTN15"/>
      <c r="UTO15"/>
      <c r="UTP15"/>
      <c r="UTQ15"/>
      <c r="UTR15"/>
      <c r="UTS15"/>
      <c r="UTT15"/>
      <c r="UTU15"/>
      <c r="UTV15"/>
      <c r="UTW15"/>
      <c r="UTX15"/>
      <c r="UTY15"/>
      <c r="UTZ15"/>
      <c r="UUA15"/>
      <c r="UUB15"/>
      <c r="UUC15"/>
      <c r="UUD15"/>
      <c r="UUE15"/>
      <c r="UUF15"/>
      <c r="UUG15"/>
      <c r="UUH15"/>
      <c r="UUI15"/>
      <c r="UUJ15"/>
      <c r="UUK15"/>
      <c r="UUL15"/>
      <c r="UUM15"/>
      <c r="UUN15"/>
      <c r="UUO15"/>
      <c r="UUP15"/>
      <c r="UUQ15"/>
      <c r="UUR15"/>
      <c r="UUS15"/>
      <c r="UUT15"/>
      <c r="UUU15"/>
      <c r="UUV15"/>
      <c r="UUW15"/>
      <c r="UUX15"/>
      <c r="UUY15"/>
      <c r="UUZ15"/>
      <c r="UVA15"/>
      <c r="UVB15"/>
      <c r="UVC15"/>
      <c r="UVD15"/>
      <c r="UVE15"/>
      <c r="UVF15"/>
      <c r="UVG15"/>
      <c r="UVH15"/>
      <c r="UVI15"/>
      <c r="UVJ15"/>
      <c r="UVK15"/>
      <c r="UVL15"/>
      <c r="UVM15"/>
      <c r="UVN15"/>
      <c r="UVO15"/>
      <c r="UVP15"/>
      <c r="UVQ15"/>
      <c r="UVR15"/>
      <c r="UVS15"/>
      <c r="UVT15"/>
      <c r="UVU15"/>
      <c r="UVV15"/>
      <c r="UVW15"/>
      <c r="UVX15"/>
      <c r="UVY15"/>
      <c r="UVZ15"/>
      <c r="UWA15"/>
      <c r="UWB15"/>
      <c r="UWC15"/>
      <c r="UWD15"/>
      <c r="UWE15"/>
      <c r="UWF15"/>
      <c r="UWG15"/>
      <c r="UWH15"/>
      <c r="UWI15"/>
      <c r="UWJ15"/>
      <c r="UWK15"/>
      <c r="UWL15"/>
      <c r="UWM15"/>
      <c r="UWN15"/>
      <c r="UWO15"/>
      <c r="UWP15"/>
      <c r="UWQ15"/>
      <c r="UWR15"/>
      <c r="UWS15"/>
      <c r="UWT15"/>
      <c r="UWU15"/>
      <c r="UWV15"/>
      <c r="UWW15"/>
      <c r="UWX15"/>
      <c r="UWY15"/>
      <c r="UWZ15"/>
      <c r="UXA15"/>
      <c r="UXB15"/>
      <c r="UXC15"/>
      <c r="UXD15"/>
      <c r="UXE15"/>
      <c r="UXF15"/>
      <c r="UXG15"/>
      <c r="UXH15"/>
      <c r="UXI15"/>
      <c r="UXJ15"/>
      <c r="UXK15"/>
      <c r="UXL15"/>
      <c r="UXM15"/>
      <c r="UXN15"/>
      <c r="UXO15"/>
      <c r="UXP15"/>
      <c r="UXQ15"/>
      <c r="UXR15"/>
      <c r="UXS15"/>
      <c r="UXT15"/>
      <c r="UXU15"/>
      <c r="UXV15"/>
      <c r="UXW15"/>
      <c r="UXX15"/>
      <c r="UXY15"/>
      <c r="UXZ15"/>
      <c r="UYA15"/>
      <c r="UYB15"/>
      <c r="UYC15"/>
      <c r="UYD15"/>
      <c r="UYE15"/>
      <c r="UYF15"/>
      <c r="UYG15"/>
      <c r="UYH15"/>
      <c r="UYI15"/>
      <c r="UYJ15"/>
      <c r="UYK15"/>
      <c r="UYL15"/>
      <c r="UYM15"/>
      <c r="UYN15"/>
      <c r="UYO15"/>
      <c r="UYP15"/>
      <c r="UYQ15"/>
      <c r="UYR15"/>
      <c r="UYS15"/>
      <c r="UYT15"/>
      <c r="UYU15"/>
      <c r="UYV15"/>
      <c r="UYW15"/>
      <c r="UYX15"/>
      <c r="UYY15"/>
      <c r="UYZ15"/>
      <c r="UZA15"/>
      <c r="UZB15"/>
      <c r="UZC15"/>
      <c r="UZD15"/>
      <c r="UZE15"/>
      <c r="UZF15"/>
      <c r="UZG15"/>
      <c r="UZH15"/>
      <c r="UZI15"/>
      <c r="UZJ15"/>
      <c r="UZK15"/>
      <c r="UZL15"/>
      <c r="UZM15"/>
      <c r="UZN15"/>
      <c r="UZO15"/>
      <c r="UZP15"/>
      <c r="UZQ15"/>
      <c r="UZR15"/>
      <c r="UZS15"/>
      <c r="UZT15"/>
      <c r="UZU15"/>
      <c r="UZV15"/>
      <c r="UZW15"/>
      <c r="UZX15"/>
      <c r="UZY15"/>
      <c r="UZZ15"/>
      <c r="VAA15"/>
      <c r="VAB15"/>
      <c r="VAC15"/>
      <c r="VAD15"/>
      <c r="VAE15"/>
      <c r="VAF15"/>
      <c r="VAG15"/>
      <c r="VAH15"/>
      <c r="VAI15"/>
      <c r="VAJ15"/>
      <c r="VAK15"/>
      <c r="VAL15"/>
      <c r="VAM15"/>
      <c r="VAN15"/>
      <c r="VAO15"/>
      <c r="VAP15"/>
      <c r="VAQ15"/>
      <c r="VAR15"/>
      <c r="VAS15"/>
      <c r="VAT15"/>
      <c r="VAU15"/>
      <c r="VAV15"/>
      <c r="VAW15"/>
      <c r="VAX15"/>
      <c r="VAY15"/>
      <c r="VAZ15"/>
      <c r="VBA15"/>
      <c r="VBB15"/>
      <c r="VBC15"/>
      <c r="VBD15"/>
      <c r="VBE15"/>
      <c r="VBF15"/>
      <c r="VBG15"/>
      <c r="VBH15"/>
      <c r="VBI15"/>
      <c r="VBJ15"/>
      <c r="VBK15"/>
      <c r="VBL15"/>
      <c r="VBM15"/>
      <c r="VBN15"/>
      <c r="VBO15"/>
      <c r="VBP15"/>
      <c r="VBQ15"/>
      <c r="VBR15"/>
      <c r="VBS15"/>
      <c r="VBT15"/>
      <c r="VBU15"/>
      <c r="VBV15"/>
      <c r="VBW15"/>
      <c r="VBX15"/>
      <c r="VBY15"/>
      <c r="VBZ15"/>
      <c r="VCA15"/>
      <c r="VCB15"/>
      <c r="VCC15"/>
      <c r="VCD15"/>
      <c r="VCE15"/>
      <c r="VCF15"/>
      <c r="VCG15"/>
      <c r="VCH15"/>
      <c r="VCI15"/>
      <c r="VCJ15"/>
      <c r="VCK15"/>
      <c r="VCL15"/>
      <c r="VCM15"/>
      <c r="VCN15"/>
      <c r="VCO15"/>
      <c r="VCP15"/>
      <c r="VCQ15"/>
      <c r="VCR15"/>
      <c r="VCS15"/>
      <c r="VCT15"/>
      <c r="VCU15"/>
      <c r="VCV15"/>
      <c r="VCW15"/>
      <c r="VCX15"/>
      <c r="VCY15"/>
      <c r="VCZ15"/>
      <c r="VDA15"/>
      <c r="VDB15"/>
      <c r="VDC15"/>
      <c r="VDD15"/>
      <c r="VDE15"/>
      <c r="VDF15"/>
      <c r="VDG15"/>
      <c r="VDH15"/>
      <c r="VDI15"/>
      <c r="VDJ15"/>
      <c r="VDK15"/>
      <c r="VDL15"/>
      <c r="VDM15"/>
      <c r="VDN15"/>
      <c r="VDO15"/>
      <c r="VDP15"/>
      <c r="VDQ15"/>
      <c r="VDR15"/>
      <c r="VDS15"/>
      <c r="VDT15"/>
      <c r="VDU15"/>
      <c r="VDV15"/>
      <c r="VDW15"/>
      <c r="VDX15"/>
      <c r="VDY15"/>
      <c r="VDZ15"/>
      <c r="VEA15"/>
      <c r="VEB15"/>
      <c r="VEC15"/>
      <c r="VED15"/>
      <c r="VEE15"/>
      <c r="VEF15"/>
      <c r="VEG15"/>
      <c r="VEH15"/>
      <c r="VEI15"/>
      <c r="VEJ15"/>
      <c r="VEK15"/>
      <c r="VEL15"/>
      <c r="VEM15"/>
      <c r="VEN15"/>
      <c r="VEO15"/>
      <c r="VEP15"/>
      <c r="VEQ15"/>
      <c r="VER15"/>
      <c r="VES15"/>
      <c r="VET15"/>
      <c r="VEU15"/>
      <c r="VEV15"/>
      <c r="VEW15"/>
      <c r="VEX15"/>
      <c r="VEY15"/>
      <c r="VEZ15"/>
      <c r="VFA15"/>
      <c r="VFB15"/>
      <c r="VFC15"/>
      <c r="VFD15"/>
      <c r="VFE15"/>
      <c r="VFF15"/>
      <c r="VFG15"/>
      <c r="VFH15"/>
      <c r="VFI15"/>
      <c r="VFJ15"/>
      <c r="VFK15"/>
      <c r="VFL15"/>
      <c r="VFM15"/>
      <c r="VFN15"/>
      <c r="VFO15"/>
      <c r="VFP15"/>
      <c r="VFQ15"/>
      <c r="VFR15"/>
      <c r="VFS15"/>
      <c r="VFT15"/>
      <c r="VFU15"/>
      <c r="VFV15"/>
      <c r="VFW15"/>
      <c r="VFX15"/>
      <c r="VFY15"/>
      <c r="VFZ15"/>
      <c r="VGA15"/>
      <c r="VGB15"/>
      <c r="VGC15"/>
      <c r="VGD15"/>
      <c r="VGE15"/>
      <c r="VGF15"/>
      <c r="VGG15"/>
      <c r="VGH15"/>
      <c r="VGI15"/>
      <c r="VGJ15"/>
      <c r="VGK15"/>
      <c r="VGL15"/>
      <c r="VGM15"/>
      <c r="VGN15"/>
      <c r="VGO15"/>
      <c r="VGP15"/>
      <c r="VGQ15"/>
      <c r="VGR15"/>
      <c r="VGS15"/>
      <c r="VGT15"/>
      <c r="VGU15"/>
      <c r="VGV15"/>
      <c r="VGW15"/>
      <c r="VGX15"/>
      <c r="VGY15"/>
      <c r="VGZ15"/>
      <c r="VHA15"/>
      <c r="VHB15"/>
      <c r="VHC15"/>
      <c r="VHD15"/>
      <c r="VHE15"/>
      <c r="VHF15"/>
      <c r="VHG15"/>
      <c r="VHH15"/>
      <c r="VHI15"/>
      <c r="VHJ15"/>
      <c r="VHK15"/>
      <c r="VHL15"/>
      <c r="VHM15"/>
      <c r="VHN15"/>
      <c r="VHO15"/>
      <c r="VHP15"/>
      <c r="VHQ15"/>
      <c r="VHR15"/>
      <c r="VHS15"/>
      <c r="VHT15"/>
      <c r="VHU15"/>
      <c r="VHV15"/>
      <c r="VHW15"/>
      <c r="VHX15"/>
      <c r="VHY15"/>
      <c r="VHZ15"/>
      <c r="VIA15"/>
      <c r="VIB15"/>
      <c r="VIC15"/>
      <c r="VID15"/>
      <c r="VIE15"/>
      <c r="VIF15"/>
      <c r="VIG15"/>
      <c r="VIH15"/>
      <c r="VII15"/>
      <c r="VIJ15"/>
      <c r="VIK15"/>
      <c r="VIL15"/>
      <c r="VIM15"/>
      <c r="VIN15"/>
      <c r="VIO15"/>
      <c r="VIP15"/>
      <c r="VIQ15"/>
      <c r="VIR15"/>
      <c r="VIS15"/>
      <c r="VIT15"/>
      <c r="VIU15"/>
      <c r="VIV15"/>
      <c r="VIW15"/>
      <c r="VIX15"/>
      <c r="VIY15"/>
      <c r="VIZ15"/>
      <c r="VJA15"/>
      <c r="VJB15"/>
      <c r="VJC15"/>
      <c r="VJD15"/>
      <c r="VJE15"/>
      <c r="VJF15"/>
      <c r="VJG15"/>
      <c r="VJH15"/>
      <c r="VJI15"/>
      <c r="VJJ15"/>
      <c r="VJK15"/>
      <c r="VJL15"/>
      <c r="VJM15"/>
      <c r="VJN15"/>
      <c r="VJO15"/>
      <c r="VJP15"/>
      <c r="VJQ15"/>
      <c r="VJR15"/>
      <c r="VJS15"/>
      <c r="VJT15"/>
      <c r="VJU15"/>
      <c r="VJV15"/>
      <c r="VJW15"/>
      <c r="VJX15"/>
      <c r="VJY15"/>
      <c r="VJZ15"/>
      <c r="VKA15"/>
      <c r="VKB15"/>
      <c r="VKC15"/>
      <c r="VKD15"/>
      <c r="VKE15"/>
      <c r="VKF15"/>
      <c r="VKG15"/>
      <c r="VKH15"/>
      <c r="VKI15"/>
      <c r="VKJ15"/>
      <c r="VKK15"/>
      <c r="VKL15"/>
      <c r="VKM15"/>
      <c r="VKN15"/>
      <c r="VKO15"/>
      <c r="VKP15"/>
      <c r="VKQ15"/>
      <c r="VKR15"/>
      <c r="VKS15"/>
      <c r="VKT15"/>
      <c r="VKU15"/>
      <c r="VKV15"/>
      <c r="VKW15"/>
      <c r="VKX15"/>
      <c r="VKY15"/>
      <c r="VKZ15"/>
      <c r="VLA15"/>
      <c r="VLB15"/>
      <c r="VLC15"/>
      <c r="VLD15"/>
      <c r="VLE15"/>
      <c r="VLF15"/>
      <c r="VLG15"/>
      <c r="VLH15"/>
      <c r="VLI15"/>
      <c r="VLJ15"/>
      <c r="VLK15"/>
      <c r="VLL15"/>
      <c r="VLM15"/>
      <c r="VLN15"/>
      <c r="VLO15"/>
      <c r="VLP15"/>
      <c r="VLQ15"/>
      <c r="VLR15"/>
      <c r="VLS15"/>
      <c r="VLT15"/>
      <c r="VLU15"/>
      <c r="VLV15"/>
      <c r="VLW15"/>
      <c r="VLX15"/>
      <c r="VLY15"/>
      <c r="VLZ15"/>
      <c r="VMA15"/>
      <c r="VMB15"/>
      <c r="VMC15"/>
      <c r="VMD15"/>
      <c r="VME15"/>
      <c r="VMF15"/>
      <c r="VMG15"/>
      <c r="VMH15"/>
      <c r="VMI15"/>
      <c r="VMJ15"/>
      <c r="VMK15"/>
      <c r="VML15"/>
      <c r="VMM15"/>
      <c r="VMN15"/>
      <c r="VMO15"/>
      <c r="VMP15"/>
      <c r="VMQ15"/>
      <c r="VMR15"/>
      <c r="VMS15"/>
      <c r="VMT15"/>
      <c r="VMU15"/>
      <c r="VMV15"/>
      <c r="VMW15"/>
      <c r="VMX15"/>
      <c r="VMY15"/>
      <c r="VMZ15"/>
      <c r="VNA15"/>
      <c r="VNB15"/>
      <c r="VNC15"/>
      <c r="VND15"/>
      <c r="VNE15"/>
      <c r="VNF15"/>
      <c r="VNG15"/>
      <c r="VNH15"/>
      <c r="VNI15"/>
      <c r="VNJ15"/>
      <c r="VNK15"/>
      <c r="VNL15"/>
      <c r="VNM15"/>
      <c r="VNN15"/>
      <c r="VNO15"/>
      <c r="VNP15"/>
      <c r="VNQ15"/>
      <c r="VNR15"/>
      <c r="VNS15"/>
      <c r="VNT15"/>
      <c r="VNU15"/>
      <c r="VNV15"/>
      <c r="VNW15"/>
      <c r="VNX15"/>
      <c r="VNY15"/>
      <c r="VNZ15"/>
      <c r="VOA15"/>
      <c r="VOB15"/>
      <c r="VOC15"/>
      <c r="VOD15"/>
      <c r="VOE15"/>
      <c r="VOF15"/>
      <c r="VOG15"/>
      <c r="VOH15"/>
      <c r="VOI15"/>
      <c r="VOJ15"/>
      <c r="VOK15"/>
      <c r="VOL15"/>
      <c r="VOM15"/>
      <c r="VON15"/>
      <c r="VOO15"/>
      <c r="VOP15"/>
      <c r="VOQ15"/>
      <c r="VOR15"/>
      <c r="VOS15"/>
      <c r="VOT15"/>
      <c r="VOU15"/>
      <c r="VOV15"/>
      <c r="VOW15"/>
      <c r="VOX15"/>
      <c r="VOY15"/>
      <c r="VOZ15"/>
      <c r="VPA15"/>
      <c r="VPB15"/>
      <c r="VPC15"/>
      <c r="VPD15"/>
      <c r="VPE15"/>
      <c r="VPF15"/>
      <c r="VPG15"/>
      <c r="VPH15"/>
      <c r="VPI15"/>
      <c r="VPJ15"/>
      <c r="VPK15"/>
      <c r="VPL15"/>
      <c r="VPM15"/>
      <c r="VPN15"/>
      <c r="VPO15"/>
      <c r="VPP15"/>
      <c r="VPQ15"/>
      <c r="VPR15"/>
      <c r="VPS15"/>
      <c r="VPT15"/>
      <c r="VPU15"/>
      <c r="VPV15"/>
      <c r="VPW15"/>
      <c r="VPX15"/>
      <c r="VPY15"/>
      <c r="VPZ15"/>
      <c r="VQA15"/>
      <c r="VQB15"/>
      <c r="VQC15"/>
      <c r="VQD15"/>
      <c r="VQE15"/>
      <c r="VQF15"/>
      <c r="VQG15"/>
      <c r="VQH15"/>
      <c r="VQI15"/>
      <c r="VQJ15"/>
      <c r="VQK15"/>
      <c r="VQL15"/>
      <c r="VQM15"/>
      <c r="VQN15"/>
      <c r="VQO15"/>
      <c r="VQP15"/>
      <c r="VQQ15"/>
      <c r="VQR15"/>
      <c r="VQS15"/>
      <c r="VQT15"/>
      <c r="VQU15"/>
      <c r="VQV15"/>
      <c r="VQW15"/>
      <c r="VQX15"/>
      <c r="VQY15"/>
      <c r="VQZ15"/>
      <c r="VRA15"/>
      <c r="VRB15"/>
      <c r="VRC15"/>
      <c r="VRD15"/>
      <c r="VRE15"/>
      <c r="VRF15"/>
      <c r="VRG15"/>
      <c r="VRH15"/>
      <c r="VRI15"/>
      <c r="VRJ15"/>
      <c r="VRK15"/>
      <c r="VRL15"/>
      <c r="VRM15"/>
      <c r="VRN15"/>
      <c r="VRO15"/>
      <c r="VRP15"/>
      <c r="VRQ15"/>
      <c r="VRR15"/>
      <c r="VRS15"/>
      <c r="VRT15"/>
      <c r="VRU15"/>
      <c r="VRV15"/>
      <c r="VRW15"/>
      <c r="VRX15"/>
      <c r="VRY15"/>
      <c r="VRZ15"/>
      <c r="VSA15"/>
      <c r="VSB15"/>
      <c r="VSC15"/>
      <c r="VSD15"/>
      <c r="VSE15"/>
      <c r="VSF15"/>
      <c r="VSG15"/>
      <c r="VSH15"/>
      <c r="VSI15"/>
      <c r="VSJ15"/>
      <c r="VSK15"/>
      <c r="VSL15"/>
      <c r="VSM15"/>
      <c r="VSN15"/>
      <c r="VSO15"/>
      <c r="VSP15"/>
      <c r="VSQ15"/>
      <c r="VSR15"/>
      <c r="VSS15"/>
      <c r="VST15"/>
      <c r="VSU15"/>
      <c r="VSV15"/>
      <c r="VSW15"/>
      <c r="VSX15"/>
      <c r="VSY15"/>
      <c r="VSZ15"/>
      <c r="VTA15"/>
      <c r="VTB15"/>
      <c r="VTC15"/>
      <c r="VTD15"/>
      <c r="VTE15"/>
      <c r="VTF15"/>
      <c r="VTG15"/>
      <c r="VTH15"/>
      <c r="VTI15"/>
      <c r="VTJ15"/>
      <c r="VTK15"/>
      <c r="VTL15"/>
      <c r="VTM15"/>
      <c r="VTN15"/>
      <c r="VTO15"/>
      <c r="VTP15"/>
      <c r="VTQ15"/>
      <c r="VTR15"/>
      <c r="VTS15"/>
      <c r="VTT15"/>
      <c r="VTU15"/>
      <c r="VTV15"/>
      <c r="VTW15"/>
      <c r="VTX15"/>
      <c r="VTY15"/>
      <c r="VTZ15"/>
      <c r="VUA15"/>
      <c r="VUB15"/>
      <c r="VUC15"/>
      <c r="VUD15"/>
      <c r="VUE15"/>
      <c r="VUF15"/>
      <c r="VUG15"/>
      <c r="VUH15"/>
      <c r="VUI15"/>
      <c r="VUJ15"/>
      <c r="VUK15"/>
      <c r="VUL15"/>
      <c r="VUM15"/>
      <c r="VUN15"/>
      <c r="VUO15"/>
      <c r="VUP15"/>
      <c r="VUQ15"/>
      <c r="VUR15"/>
      <c r="VUS15"/>
      <c r="VUT15"/>
      <c r="VUU15"/>
      <c r="VUV15"/>
      <c r="VUW15"/>
      <c r="VUX15"/>
      <c r="VUY15"/>
      <c r="VUZ15"/>
      <c r="VVA15"/>
      <c r="VVB15"/>
      <c r="VVC15"/>
      <c r="VVD15"/>
      <c r="VVE15"/>
      <c r="VVF15"/>
      <c r="VVG15"/>
      <c r="VVH15"/>
      <c r="VVI15"/>
      <c r="VVJ15"/>
      <c r="VVK15"/>
      <c r="VVL15"/>
      <c r="VVM15"/>
      <c r="VVN15"/>
      <c r="VVO15"/>
      <c r="VVP15"/>
      <c r="VVQ15"/>
      <c r="VVR15"/>
      <c r="VVS15"/>
      <c r="VVT15"/>
      <c r="VVU15"/>
      <c r="VVV15"/>
      <c r="VVW15"/>
      <c r="VVX15"/>
      <c r="VVY15"/>
      <c r="VVZ15"/>
      <c r="VWA15"/>
      <c r="VWB15"/>
      <c r="VWC15"/>
      <c r="VWD15"/>
      <c r="VWE15"/>
      <c r="VWF15"/>
      <c r="VWG15"/>
      <c r="VWH15"/>
      <c r="VWI15"/>
      <c r="VWJ15"/>
      <c r="VWK15"/>
      <c r="VWL15"/>
      <c r="VWM15"/>
      <c r="VWN15"/>
      <c r="VWO15"/>
      <c r="VWP15"/>
      <c r="VWQ15"/>
      <c r="VWR15"/>
      <c r="VWS15"/>
      <c r="VWT15"/>
      <c r="VWU15"/>
      <c r="VWV15"/>
      <c r="VWW15"/>
      <c r="VWX15"/>
      <c r="VWY15"/>
      <c r="VWZ15"/>
      <c r="VXA15"/>
      <c r="VXB15"/>
      <c r="VXC15"/>
      <c r="VXD15"/>
      <c r="VXE15"/>
      <c r="VXF15"/>
      <c r="VXG15"/>
      <c r="VXH15"/>
      <c r="VXI15"/>
      <c r="VXJ15"/>
      <c r="VXK15"/>
      <c r="VXL15"/>
      <c r="VXM15"/>
      <c r="VXN15"/>
      <c r="VXO15"/>
      <c r="VXP15"/>
      <c r="VXQ15"/>
      <c r="VXR15"/>
      <c r="VXS15"/>
      <c r="VXT15"/>
      <c r="VXU15"/>
      <c r="VXV15"/>
      <c r="VXW15"/>
      <c r="VXX15"/>
      <c r="VXY15"/>
      <c r="VXZ15"/>
      <c r="VYA15"/>
      <c r="VYB15"/>
      <c r="VYC15"/>
      <c r="VYD15"/>
      <c r="VYE15"/>
      <c r="VYF15"/>
      <c r="VYG15"/>
      <c r="VYH15"/>
      <c r="VYI15"/>
      <c r="VYJ15"/>
      <c r="VYK15"/>
      <c r="VYL15"/>
      <c r="VYM15"/>
      <c r="VYN15"/>
      <c r="VYO15"/>
      <c r="VYP15"/>
      <c r="VYQ15"/>
      <c r="VYR15"/>
      <c r="VYS15"/>
      <c r="VYT15"/>
      <c r="VYU15"/>
      <c r="VYV15"/>
      <c r="VYW15"/>
      <c r="VYX15"/>
      <c r="VYY15"/>
      <c r="VYZ15"/>
      <c r="VZA15"/>
      <c r="VZB15"/>
      <c r="VZC15"/>
      <c r="VZD15"/>
      <c r="VZE15"/>
      <c r="VZF15"/>
      <c r="VZG15"/>
      <c r="VZH15"/>
      <c r="VZI15"/>
      <c r="VZJ15"/>
      <c r="VZK15"/>
      <c r="VZL15"/>
      <c r="VZM15"/>
      <c r="VZN15"/>
      <c r="VZO15"/>
      <c r="VZP15"/>
      <c r="VZQ15"/>
      <c r="VZR15"/>
      <c r="VZS15"/>
      <c r="VZT15"/>
      <c r="VZU15"/>
      <c r="VZV15"/>
      <c r="VZW15"/>
      <c r="VZX15"/>
      <c r="VZY15"/>
      <c r="VZZ15"/>
      <c r="WAA15"/>
      <c r="WAB15"/>
      <c r="WAC15"/>
      <c r="WAD15"/>
      <c r="WAE15"/>
      <c r="WAF15"/>
      <c r="WAG15"/>
      <c r="WAH15"/>
      <c r="WAI15"/>
      <c r="WAJ15"/>
      <c r="WAK15"/>
      <c r="WAL15"/>
      <c r="WAM15"/>
      <c r="WAN15"/>
      <c r="WAO15"/>
      <c r="WAP15"/>
      <c r="WAQ15"/>
      <c r="WAR15"/>
      <c r="WAS15"/>
      <c r="WAT15"/>
      <c r="WAU15"/>
      <c r="WAV15"/>
      <c r="WAW15"/>
      <c r="WAX15"/>
      <c r="WAY15"/>
      <c r="WAZ15"/>
      <c r="WBA15"/>
      <c r="WBB15"/>
      <c r="WBC15"/>
      <c r="WBD15"/>
      <c r="WBE15"/>
      <c r="WBF15"/>
      <c r="WBG15"/>
      <c r="WBH15"/>
      <c r="WBI15"/>
      <c r="WBJ15"/>
      <c r="WBK15"/>
      <c r="WBL15"/>
      <c r="WBM15"/>
      <c r="WBN15"/>
      <c r="WBO15"/>
      <c r="WBP15"/>
      <c r="WBQ15"/>
      <c r="WBR15"/>
      <c r="WBS15"/>
      <c r="WBT15"/>
      <c r="WBU15"/>
      <c r="WBV15"/>
      <c r="WBW15"/>
      <c r="WBX15"/>
      <c r="WBY15"/>
      <c r="WBZ15"/>
      <c r="WCA15"/>
      <c r="WCB15"/>
      <c r="WCC15"/>
      <c r="WCD15"/>
      <c r="WCE15"/>
      <c r="WCF15"/>
      <c r="WCG15"/>
      <c r="WCH15"/>
      <c r="WCI15"/>
      <c r="WCJ15"/>
      <c r="WCK15"/>
      <c r="WCL15"/>
      <c r="WCM15"/>
      <c r="WCN15"/>
      <c r="WCO15"/>
      <c r="WCP15"/>
      <c r="WCQ15"/>
      <c r="WCR15"/>
      <c r="WCS15"/>
      <c r="WCT15"/>
      <c r="WCU15"/>
      <c r="WCV15"/>
      <c r="WCW15"/>
      <c r="WCX15"/>
      <c r="WCY15"/>
      <c r="WCZ15"/>
      <c r="WDA15"/>
      <c r="WDB15"/>
      <c r="WDC15"/>
      <c r="WDD15"/>
      <c r="WDE15"/>
      <c r="WDF15"/>
      <c r="WDG15"/>
      <c r="WDH15"/>
      <c r="WDI15"/>
      <c r="WDJ15"/>
      <c r="WDK15"/>
      <c r="WDL15"/>
      <c r="WDM15"/>
      <c r="WDN15"/>
      <c r="WDO15"/>
      <c r="WDP15"/>
      <c r="WDQ15"/>
      <c r="WDR15"/>
      <c r="WDS15"/>
      <c r="WDT15"/>
      <c r="WDU15"/>
      <c r="WDV15"/>
      <c r="WDW15"/>
      <c r="WDX15"/>
      <c r="WDY15"/>
      <c r="WDZ15"/>
      <c r="WEA15"/>
      <c r="WEB15"/>
      <c r="WEC15"/>
      <c r="WED15"/>
      <c r="WEE15"/>
      <c r="WEF15"/>
      <c r="WEG15"/>
      <c r="WEH15"/>
      <c r="WEI15"/>
      <c r="WEJ15"/>
      <c r="WEK15"/>
      <c r="WEL15"/>
      <c r="WEM15"/>
      <c r="WEN15"/>
      <c r="WEO15"/>
      <c r="WEP15"/>
      <c r="WEQ15"/>
      <c r="WER15"/>
      <c r="WES15"/>
      <c r="WET15"/>
      <c r="WEU15"/>
      <c r="WEV15"/>
      <c r="WEW15"/>
      <c r="WEX15"/>
      <c r="WEY15"/>
      <c r="WEZ15"/>
      <c r="WFA15"/>
      <c r="WFB15"/>
      <c r="WFC15"/>
      <c r="WFD15"/>
      <c r="WFE15"/>
      <c r="WFF15"/>
      <c r="WFG15"/>
      <c r="WFH15"/>
      <c r="WFI15"/>
      <c r="WFJ15"/>
      <c r="WFK15"/>
      <c r="WFL15"/>
      <c r="WFM15"/>
      <c r="WFN15"/>
      <c r="WFO15"/>
      <c r="WFP15"/>
      <c r="WFQ15"/>
      <c r="WFR15"/>
      <c r="WFS15"/>
      <c r="WFT15"/>
      <c r="WFU15"/>
      <c r="WFV15"/>
      <c r="WFW15"/>
      <c r="WFX15"/>
      <c r="WFY15"/>
      <c r="WFZ15"/>
      <c r="WGA15"/>
      <c r="WGB15"/>
      <c r="WGC15"/>
      <c r="WGD15"/>
      <c r="WGE15"/>
      <c r="WGF15"/>
      <c r="WGG15"/>
      <c r="WGH15"/>
      <c r="WGI15"/>
      <c r="WGJ15"/>
      <c r="WGK15"/>
      <c r="WGL15"/>
      <c r="WGM15"/>
      <c r="WGN15"/>
      <c r="WGO15"/>
      <c r="WGP15"/>
      <c r="WGQ15"/>
      <c r="WGR15"/>
      <c r="WGS15"/>
      <c r="WGT15"/>
      <c r="WGU15"/>
      <c r="WGV15"/>
      <c r="WGW15"/>
      <c r="WGX15"/>
      <c r="WGY15"/>
      <c r="WGZ15"/>
      <c r="WHA15"/>
      <c r="WHB15"/>
      <c r="WHC15"/>
      <c r="WHD15"/>
      <c r="WHE15"/>
      <c r="WHF15"/>
      <c r="WHG15"/>
      <c r="WHH15"/>
      <c r="WHI15"/>
      <c r="WHJ15"/>
      <c r="WHK15"/>
      <c r="WHL15"/>
      <c r="WHM15"/>
      <c r="WHN15"/>
      <c r="WHO15"/>
      <c r="WHP15"/>
      <c r="WHQ15"/>
      <c r="WHR15"/>
      <c r="WHS15"/>
      <c r="WHT15"/>
      <c r="WHU15"/>
      <c r="WHV15"/>
      <c r="WHW15"/>
      <c r="WHX15"/>
      <c r="WHY15"/>
      <c r="WHZ15"/>
      <c r="WIA15"/>
      <c r="WIB15"/>
      <c r="WIC15"/>
      <c r="WID15"/>
      <c r="WIE15"/>
      <c r="WIF15"/>
      <c r="WIG15"/>
      <c r="WIH15"/>
      <c r="WII15"/>
      <c r="WIJ15"/>
      <c r="WIK15"/>
      <c r="WIL15"/>
      <c r="WIM15"/>
      <c r="WIN15"/>
      <c r="WIO15"/>
      <c r="WIP15"/>
      <c r="WIQ15"/>
      <c r="WIR15"/>
      <c r="WIS15"/>
      <c r="WIT15"/>
      <c r="WIU15"/>
      <c r="WIV15"/>
      <c r="WIW15"/>
      <c r="WIX15"/>
      <c r="WIY15"/>
      <c r="WIZ15"/>
      <c r="WJA15"/>
      <c r="WJB15"/>
      <c r="WJC15"/>
      <c r="WJD15"/>
      <c r="WJE15"/>
      <c r="WJF15"/>
      <c r="WJG15"/>
      <c r="WJH15"/>
      <c r="WJI15"/>
      <c r="WJJ15"/>
      <c r="WJK15"/>
      <c r="WJL15"/>
      <c r="WJM15"/>
      <c r="WJN15"/>
      <c r="WJO15"/>
      <c r="WJP15"/>
      <c r="WJQ15"/>
      <c r="WJR15"/>
      <c r="WJS15"/>
      <c r="WJT15"/>
      <c r="WJU15"/>
      <c r="WJV15"/>
      <c r="WJW15"/>
      <c r="WJX15"/>
      <c r="WJY15"/>
      <c r="WJZ15"/>
      <c r="WKA15"/>
      <c r="WKB15"/>
      <c r="WKC15"/>
      <c r="WKD15"/>
      <c r="WKE15"/>
      <c r="WKF15"/>
      <c r="WKG15"/>
      <c r="WKH15"/>
      <c r="WKI15"/>
      <c r="WKJ15"/>
      <c r="WKK15"/>
      <c r="WKL15"/>
      <c r="WKM15"/>
      <c r="WKN15"/>
      <c r="WKO15"/>
      <c r="WKP15"/>
      <c r="WKQ15"/>
      <c r="WKR15"/>
      <c r="WKS15"/>
      <c r="WKT15"/>
      <c r="WKU15"/>
      <c r="WKV15"/>
      <c r="WKW15"/>
      <c r="WKX15"/>
      <c r="WKY15"/>
      <c r="WKZ15"/>
      <c r="WLA15"/>
      <c r="WLB15"/>
      <c r="WLC15"/>
      <c r="WLD15"/>
      <c r="WLE15"/>
      <c r="WLF15"/>
      <c r="WLG15"/>
      <c r="WLH15"/>
      <c r="WLI15"/>
      <c r="WLJ15"/>
      <c r="WLK15"/>
      <c r="WLL15"/>
      <c r="WLM15"/>
      <c r="WLN15"/>
      <c r="WLO15"/>
      <c r="WLP15"/>
      <c r="WLQ15"/>
      <c r="WLR15"/>
      <c r="WLS15"/>
      <c r="WLT15"/>
      <c r="WLU15"/>
      <c r="WLV15"/>
      <c r="WLW15"/>
      <c r="WLX15"/>
      <c r="WLY15"/>
      <c r="WLZ15"/>
      <c r="WMA15"/>
      <c r="WMB15"/>
      <c r="WMC15"/>
      <c r="WMD15"/>
      <c r="WME15"/>
      <c r="WMF15"/>
      <c r="WMG15"/>
      <c r="WMH15"/>
      <c r="WMI15"/>
      <c r="WMJ15"/>
      <c r="WMK15"/>
      <c r="WML15"/>
      <c r="WMM15"/>
      <c r="WMN15"/>
      <c r="WMO15"/>
      <c r="WMP15"/>
      <c r="WMQ15"/>
      <c r="WMR15"/>
      <c r="WMS15"/>
      <c r="WMT15"/>
      <c r="WMU15"/>
      <c r="WMV15"/>
      <c r="WMW15"/>
      <c r="WMX15"/>
      <c r="WMY15"/>
      <c r="WMZ15"/>
      <c r="WNA15"/>
      <c r="WNB15"/>
      <c r="WNC15"/>
      <c r="WND15"/>
      <c r="WNE15"/>
      <c r="WNF15"/>
      <c r="WNG15"/>
      <c r="WNH15"/>
      <c r="WNI15"/>
      <c r="WNJ15"/>
      <c r="WNK15"/>
      <c r="WNL15"/>
      <c r="WNM15"/>
      <c r="WNN15"/>
      <c r="WNO15"/>
      <c r="WNP15"/>
      <c r="WNQ15"/>
      <c r="WNR15"/>
      <c r="WNS15"/>
      <c r="WNT15"/>
      <c r="WNU15"/>
      <c r="WNV15"/>
      <c r="WNW15"/>
      <c r="WNX15"/>
      <c r="WNY15"/>
      <c r="WNZ15"/>
      <c r="WOA15"/>
      <c r="WOB15"/>
      <c r="WOC15"/>
      <c r="WOD15"/>
      <c r="WOE15"/>
      <c r="WOF15"/>
      <c r="WOG15"/>
      <c r="WOH15"/>
      <c r="WOI15"/>
      <c r="WOJ15"/>
      <c r="WOK15"/>
      <c r="WOL15"/>
      <c r="WOM15"/>
      <c r="WON15"/>
      <c r="WOO15"/>
      <c r="WOP15"/>
      <c r="WOQ15"/>
      <c r="WOR15"/>
      <c r="WOS15"/>
      <c r="WOT15"/>
      <c r="WOU15"/>
      <c r="WOV15"/>
      <c r="WOW15"/>
      <c r="WOX15"/>
      <c r="WOY15"/>
      <c r="WOZ15"/>
      <c r="WPA15"/>
      <c r="WPB15"/>
      <c r="WPC15"/>
      <c r="WPD15"/>
      <c r="WPE15"/>
      <c r="WPF15"/>
      <c r="WPG15"/>
      <c r="WPH15"/>
      <c r="WPI15"/>
      <c r="WPJ15"/>
      <c r="WPK15"/>
      <c r="WPL15"/>
      <c r="WPM15"/>
      <c r="WPN15"/>
      <c r="WPO15"/>
      <c r="WPP15"/>
      <c r="WPQ15"/>
      <c r="WPR15"/>
      <c r="WPS15"/>
      <c r="WPT15"/>
      <c r="WPU15"/>
      <c r="WPV15"/>
      <c r="WPW15"/>
      <c r="WPX15"/>
      <c r="WPY15"/>
      <c r="WPZ15"/>
      <c r="WQA15"/>
      <c r="WQB15"/>
      <c r="WQC15"/>
      <c r="WQD15"/>
      <c r="WQE15"/>
      <c r="WQF15"/>
      <c r="WQG15"/>
      <c r="WQH15"/>
      <c r="WQI15"/>
      <c r="WQJ15"/>
      <c r="WQK15"/>
      <c r="WQL15"/>
      <c r="WQM15"/>
      <c r="WQN15"/>
      <c r="WQO15"/>
      <c r="WQP15"/>
      <c r="WQQ15"/>
      <c r="WQR15"/>
      <c r="WQS15"/>
      <c r="WQT15"/>
      <c r="WQU15"/>
      <c r="WQV15"/>
      <c r="WQW15"/>
      <c r="WQX15"/>
      <c r="WQY15"/>
      <c r="WQZ15"/>
      <c r="WRA15"/>
      <c r="WRB15"/>
      <c r="WRC15"/>
      <c r="WRD15"/>
      <c r="WRE15"/>
      <c r="WRF15"/>
      <c r="WRG15"/>
      <c r="WRH15"/>
      <c r="WRI15"/>
      <c r="WRJ15"/>
      <c r="WRK15"/>
      <c r="WRL15"/>
      <c r="WRM15"/>
      <c r="WRN15"/>
      <c r="WRO15"/>
      <c r="WRP15"/>
      <c r="WRQ15"/>
      <c r="WRR15"/>
      <c r="WRS15"/>
      <c r="WRT15"/>
      <c r="WRU15"/>
      <c r="WRV15"/>
      <c r="WRW15"/>
      <c r="WRX15"/>
      <c r="WRY15"/>
      <c r="WRZ15"/>
      <c r="WSA15"/>
      <c r="WSB15"/>
      <c r="WSC15"/>
      <c r="WSD15"/>
      <c r="WSE15"/>
      <c r="WSF15"/>
      <c r="WSG15"/>
      <c r="WSH15"/>
      <c r="WSI15"/>
      <c r="WSJ15"/>
      <c r="WSK15"/>
      <c r="WSL15"/>
      <c r="WSM15"/>
      <c r="WSN15"/>
      <c r="WSO15"/>
      <c r="WSP15"/>
      <c r="WSQ15"/>
      <c r="WSR15"/>
      <c r="WSS15"/>
      <c r="WST15"/>
      <c r="WSU15"/>
      <c r="WSV15"/>
      <c r="WSW15"/>
      <c r="WSX15"/>
      <c r="WSY15"/>
      <c r="WSZ15"/>
      <c r="WTA15"/>
      <c r="WTB15"/>
      <c r="WTC15"/>
      <c r="WTD15"/>
      <c r="WTE15"/>
      <c r="WTF15"/>
      <c r="WTG15"/>
      <c r="WTH15"/>
      <c r="WTI15"/>
      <c r="WTJ15"/>
      <c r="WTK15"/>
      <c r="WTL15"/>
      <c r="WTM15"/>
      <c r="WTN15"/>
      <c r="WTO15"/>
      <c r="WTP15"/>
      <c r="WTQ15"/>
      <c r="WTR15"/>
      <c r="WTS15"/>
      <c r="WTT15"/>
      <c r="WTU15"/>
      <c r="WTV15"/>
      <c r="WTW15"/>
      <c r="WTX15"/>
      <c r="WTY15"/>
      <c r="WTZ15"/>
      <c r="WUA15"/>
      <c r="WUB15"/>
      <c r="WUC15"/>
      <c r="WUD15"/>
      <c r="WUE15"/>
      <c r="WUF15"/>
      <c r="WUG15"/>
      <c r="WUH15"/>
      <c r="WUI15"/>
      <c r="WUJ15"/>
      <c r="WUK15"/>
      <c r="WUL15"/>
      <c r="WUM15"/>
      <c r="WUN15"/>
      <c r="WUO15"/>
      <c r="WUP15"/>
      <c r="WUQ15"/>
      <c r="WUR15"/>
      <c r="WUS15"/>
      <c r="WUT15"/>
      <c r="WUU15"/>
      <c r="WUV15"/>
      <c r="WUW15"/>
      <c r="WUX15"/>
      <c r="WUY15"/>
      <c r="WUZ15"/>
      <c r="WVA15"/>
      <c r="WVB15"/>
      <c r="WVC15"/>
      <c r="WVD15"/>
      <c r="WVE15"/>
      <c r="WVF15"/>
      <c r="WVG15"/>
      <c r="WVH15"/>
      <c r="WVI15"/>
      <c r="WVJ15"/>
      <c r="WVK15"/>
      <c r="WVL15"/>
      <c r="WVM15"/>
      <c r="WVN15"/>
      <c r="WVO15"/>
      <c r="WVP15"/>
      <c r="WVQ15"/>
      <c r="WVR15"/>
      <c r="WVS15"/>
      <c r="WVT15"/>
      <c r="WVU15"/>
      <c r="WVV15"/>
      <c r="WVW15"/>
      <c r="WVX15"/>
      <c r="WVY15"/>
      <c r="WVZ15"/>
      <c r="WWA15"/>
      <c r="WWB15"/>
      <c r="WWC15"/>
      <c r="WWD15"/>
      <c r="WWE15"/>
      <c r="WWF15"/>
      <c r="WWG15"/>
      <c r="WWH15"/>
      <c r="WWI15"/>
      <c r="WWJ15"/>
      <c r="WWK15"/>
      <c r="WWL15"/>
      <c r="WWM15"/>
      <c r="WWN15"/>
      <c r="WWO15"/>
      <c r="WWP15"/>
      <c r="WWQ15"/>
      <c r="WWR15"/>
      <c r="WWS15"/>
      <c r="WWT15"/>
      <c r="WWU15"/>
      <c r="WWV15"/>
      <c r="WWW15"/>
      <c r="WWX15"/>
      <c r="WWY15"/>
      <c r="WWZ15"/>
      <c r="WXA15"/>
      <c r="WXB15"/>
      <c r="WXC15"/>
      <c r="WXD15"/>
      <c r="WXE15"/>
      <c r="WXF15"/>
      <c r="WXG15"/>
      <c r="WXH15"/>
      <c r="WXI15"/>
      <c r="WXJ15"/>
      <c r="WXK15"/>
      <c r="WXL15"/>
      <c r="WXM15"/>
      <c r="WXN15"/>
      <c r="WXO15"/>
      <c r="WXP15"/>
      <c r="WXQ15"/>
      <c r="WXR15"/>
      <c r="WXS15"/>
      <c r="WXT15"/>
      <c r="WXU15"/>
      <c r="WXV15"/>
      <c r="WXW15"/>
      <c r="WXX15"/>
      <c r="WXY15"/>
      <c r="WXZ15"/>
      <c r="WYA15"/>
      <c r="WYB15"/>
      <c r="WYC15"/>
      <c r="WYD15"/>
      <c r="WYE15"/>
      <c r="WYF15"/>
      <c r="WYG15"/>
      <c r="WYH15"/>
      <c r="WYI15"/>
      <c r="WYJ15"/>
      <c r="WYK15"/>
      <c r="WYL15"/>
      <c r="WYM15"/>
      <c r="WYN15"/>
      <c r="WYO15"/>
      <c r="WYP15"/>
      <c r="WYQ15"/>
      <c r="WYR15"/>
      <c r="WYS15"/>
      <c r="WYT15"/>
      <c r="WYU15"/>
      <c r="WYV15"/>
      <c r="WYW15"/>
      <c r="WYX15"/>
      <c r="WYY15"/>
      <c r="WYZ15"/>
      <c r="WZA15"/>
      <c r="WZB15"/>
      <c r="WZC15"/>
      <c r="WZD15"/>
      <c r="WZE15"/>
      <c r="WZF15"/>
      <c r="WZG15"/>
      <c r="WZH15"/>
      <c r="WZI15"/>
      <c r="WZJ15"/>
      <c r="WZK15"/>
      <c r="WZL15"/>
      <c r="WZM15"/>
      <c r="WZN15"/>
      <c r="WZO15"/>
      <c r="WZP15"/>
      <c r="WZQ15"/>
      <c r="WZR15"/>
      <c r="WZS15"/>
      <c r="WZT15"/>
      <c r="WZU15"/>
      <c r="WZV15"/>
      <c r="WZW15"/>
      <c r="WZX15"/>
      <c r="WZY15"/>
      <c r="WZZ15"/>
      <c r="XAA15"/>
      <c r="XAB15"/>
      <c r="XAC15"/>
      <c r="XAD15"/>
      <c r="XAE15"/>
      <c r="XAF15"/>
      <c r="XAG15"/>
      <c r="XAH15"/>
      <c r="XAI15"/>
      <c r="XAJ15"/>
      <c r="XAK15"/>
      <c r="XAL15"/>
      <c r="XAM15"/>
      <c r="XAN15"/>
      <c r="XAO15"/>
      <c r="XAP15"/>
      <c r="XAQ15"/>
      <c r="XAR15"/>
      <c r="XAS15"/>
      <c r="XAT15"/>
      <c r="XAU15"/>
      <c r="XAV15"/>
      <c r="XAW15"/>
      <c r="XAX15"/>
      <c r="XAY15"/>
      <c r="XAZ15"/>
      <c r="XBA15"/>
      <c r="XBB15"/>
      <c r="XBC15"/>
      <c r="XBD15"/>
      <c r="XBE15"/>
      <c r="XBF15"/>
      <c r="XBG15"/>
      <c r="XBH15"/>
      <c r="XBI15"/>
      <c r="XBJ15"/>
      <c r="XBK15"/>
      <c r="XBL15"/>
      <c r="XBM15"/>
      <c r="XBN15"/>
      <c r="XBO15"/>
      <c r="XBP15"/>
      <c r="XBQ15"/>
      <c r="XBR15"/>
      <c r="XBS15"/>
      <c r="XBT15"/>
      <c r="XBU15"/>
      <c r="XBV15"/>
      <c r="XBW15"/>
      <c r="XBX15"/>
      <c r="XBY15"/>
      <c r="XBZ15"/>
      <c r="XCA15"/>
      <c r="XCB15"/>
      <c r="XCC15"/>
      <c r="XCD15"/>
      <c r="XCE15"/>
      <c r="XCF15"/>
      <c r="XCG15"/>
      <c r="XCH15"/>
      <c r="XCI15"/>
      <c r="XCJ15"/>
      <c r="XCK15"/>
      <c r="XCL15"/>
      <c r="XCM15"/>
      <c r="XCN15"/>
      <c r="XCO15"/>
      <c r="XCP15"/>
      <c r="XCQ15"/>
      <c r="XCR15"/>
      <c r="XCS15"/>
      <c r="XCT15"/>
      <c r="XCU15"/>
      <c r="XCV15"/>
      <c r="XCW15"/>
      <c r="XCX15"/>
      <c r="XCY15"/>
      <c r="XCZ15"/>
      <c r="XDA15"/>
      <c r="XDB15"/>
      <c r="XDC15"/>
      <c r="XDD15"/>
      <c r="XDE15"/>
      <c r="XDF15"/>
      <c r="XDG15"/>
      <c r="XDH15"/>
      <c r="XDI15"/>
      <c r="XDJ15"/>
      <c r="XDK15"/>
      <c r="XDL15"/>
      <c r="XDM15"/>
      <c r="XDN15"/>
      <c r="XDO15"/>
      <c r="XDP15"/>
      <c r="XDQ15"/>
      <c r="XDR15"/>
      <c r="XDS15"/>
      <c r="XDT15"/>
      <c r="XDU15"/>
      <c r="XDV15"/>
      <c r="XDW15"/>
      <c r="XDX15"/>
      <c r="XDY15"/>
      <c r="XDZ15"/>
      <c r="XEA15"/>
      <c r="XEB15"/>
      <c r="XEC15"/>
      <c r="XED15"/>
      <c r="XEE15"/>
      <c r="XEF15"/>
      <c r="XEG15"/>
      <c r="XEH15"/>
      <c r="XEI15"/>
      <c r="XEJ15"/>
    </row>
    <row r="16" spans="1:16364" hidden="1" x14ac:dyDescent="0.3">
      <c r="B16" s="160" t="s">
        <v>325</v>
      </c>
      <c r="C16" s="161"/>
      <c r="D16" s="161" t="b">
        <f>D14=[1]결산전표입력후BSP!E4</f>
        <v>0</v>
      </c>
      <c r="E16" s="161" t="b">
        <f>E14=[1]결산전표입력후BSP!F4</f>
        <v>0</v>
      </c>
      <c r="F16" s="161" t="b">
        <f>F14=[1]결산전표입력후BSP!G4</f>
        <v>0</v>
      </c>
      <c r="G16" s="161" t="b">
        <f>G14=[1]결산전표입력후BSP!H4</f>
        <v>0</v>
      </c>
      <c r="H16" s="161" t="b">
        <f>H14=[1]결산전표입력후BSP!I4</f>
        <v>0</v>
      </c>
      <c r="I16" s="161" t="b">
        <f>I14=[1]결산전표입력후BSP!J4</f>
        <v>0</v>
      </c>
      <c r="J16" s="161" t="b">
        <f>J14=[1]결산전표입력후BSP!K4</f>
        <v>0</v>
      </c>
      <c r="K16" s="161" t="b">
        <f>K14=[1]결산전표입력후BSP!L4</f>
        <v>0</v>
      </c>
      <c r="L16" s="161" t="b">
        <f>L14=[1]결산전표입력후BSP!M4</f>
        <v>0</v>
      </c>
      <c r="M16" s="161"/>
      <c r="N16" s="161"/>
      <c r="O16" s="162"/>
      <c r="P16" s="162"/>
      <c r="Q16" s="16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2"/>
      <c r="AF16" s="162"/>
      <c r="AG16" s="162"/>
      <c r="AH16" s="162"/>
      <c r="AI16" s="162"/>
      <c r="AJ16" s="162"/>
      <c r="AK16" s="162"/>
      <c r="AL16" s="162"/>
      <c r="AM16" s="162"/>
    </row>
    <row r="17" spans="1:39" ht="17.25" hidden="1" thickBot="1" x14ac:dyDescent="0.35">
      <c r="B17" s="163" t="s">
        <v>326</v>
      </c>
      <c r="C17" s="164"/>
      <c r="D17" s="164" t="b">
        <f>D13=[1]결산전표입력후BSP!E3</f>
        <v>1</v>
      </c>
      <c r="E17" s="164" t="b">
        <f>E13=[1]결산전표입력후BSP!F3</f>
        <v>1</v>
      </c>
      <c r="F17" s="164" t="b">
        <f>F13=[1]결산전표입력후BSP!G3</f>
        <v>1</v>
      </c>
      <c r="G17" s="164" t="b">
        <f>G13=[1]결산전표입력후BSP!H3</f>
        <v>1</v>
      </c>
      <c r="H17" s="164" t="b">
        <f>H13=[1]결산전표입력후BSP!I3</f>
        <v>1</v>
      </c>
      <c r="I17" s="164" t="b">
        <f>I13=[1]결산전표입력후BSP!J3</f>
        <v>1</v>
      </c>
      <c r="J17" s="164" t="b">
        <f>J13=[1]결산전표입력후BSP!K3</f>
        <v>1</v>
      </c>
      <c r="K17" s="164" t="b">
        <f>K13=[1]결산전표입력후BSP!L3</f>
        <v>1</v>
      </c>
      <c r="L17" s="164" t="b">
        <f>L13=[1]결산전표입력후BSP!M3</f>
        <v>1</v>
      </c>
      <c r="M17" s="164"/>
      <c r="N17" s="164"/>
      <c r="O17" s="165"/>
      <c r="P17" s="165"/>
      <c r="Q17" s="165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  <c r="AD17" s="165"/>
      <c r="AE17" s="165"/>
      <c r="AF17" s="165"/>
      <c r="AG17" s="165"/>
      <c r="AH17" s="165"/>
      <c r="AI17" s="165"/>
      <c r="AJ17" s="165"/>
      <c r="AK17" s="165"/>
      <c r="AL17" s="165"/>
      <c r="AM17" s="165"/>
    </row>
    <row r="20" spans="1:39" ht="17.25" thickBot="1" x14ac:dyDescent="0.35">
      <c r="B20" s="154" t="s">
        <v>327</v>
      </c>
    </row>
    <row r="21" spans="1:39" ht="17.25" thickBot="1" x14ac:dyDescent="0.35">
      <c r="B21" s="244"/>
      <c r="C21" s="245">
        <v>45291</v>
      </c>
      <c r="D21" s="245">
        <v>45322</v>
      </c>
      <c r="E21" s="245">
        <v>45351</v>
      </c>
      <c r="F21" s="245">
        <v>45382</v>
      </c>
      <c r="G21" s="245">
        <v>45412</v>
      </c>
      <c r="H21" s="245">
        <v>45443</v>
      </c>
      <c r="I21" s="245">
        <v>45473</v>
      </c>
      <c r="J21" s="245">
        <v>45504</v>
      </c>
      <c r="K21" s="245">
        <v>45535</v>
      </c>
      <c r="L21" s="245">
        <v>45565</v>
      </c>
      <c r="M21" s="245">
        <v>45596</v>
      </c>
      <c r="N21" s="245">
        <v>45626</v>
      </c>
      <c r="O21" s="246">
        <v>45657</v>
      </c>
      <c r="P21" s="353">
        <f>EOMONTH(O21,1)</f>
        <v>45688</v>
      </c>
      <c r="Q21" s="245">
        <f t="shared" ref="Q21:AA21" si="21">EOMONTH(P21,1)</f>
        <v>45716</v>
      </c>
      <c r="R21" s="245">
        <f t="shared" si="21"/>
        <v>45747</v>
      </c>
      <c r="S21" s="245">
        <f t="shared" si="21"/>
        <v>45777</v>
      </c>
      <c r="T21" s="245">
        <f t="shared" si="21"/>
        <v>45808</v>
      </c>
      <c r="U21" s="245">
        <f t="shared" si="21"/>
        <v>45838</v>
      </c>
      <c r="V21" s="245">
        <f t="shared" si="21"/>
        <v>45869</v>
      </c>
      <c r="W21" s="245">
        <f t="shared" si="21"/>
        <v>45900</v>
      </c>
      <c r="X21" s="245">
        <f t="shared" si="21"/>
        <v>45930</v>
      </c>
      <c r="Y21" s="245">
        <f t="shared" si="21"/>
        <v>45961</v>
      </c>
      <c r="Z21" s="245">
        <f t="shared" si="21"/>
        <v>45991</v>
      </c>
      <c r="AA21" s="246">
        <f t="shared" si="21"/>
        <v>46022</v>
      </c>
      <c r="AB21" s="353">
        <f>EOMONTH(AA21,1)</f>
        <v>46053</v>
      </c>
      <c r="AC21" s="245">
        <f t="shared" ref="AC21" si="22">EOMONTH(AB21,1)</f>
        <v>46081</v>
      </c>
      <c r="AD21" s="245">
        <f t="shared" ref="AD21" si="23">EOMONTH(AC21,1)</f>
        <v>46112</v>
      </c>
      <c r="AE21" s="245">
        <f t="shared" ref="AE21" si="24">EOMONTH(AD21,1)</f>
        <v>46142</v>
      </c>
      <c r="AF21" s="245">
        <f t="shared" ref="AF21" si="25">EOMONTH(AE21,1)</f>
        <v>46173</v>
      </c>
      <c r="AG21" s="245">
        <f t="shared" ref="AG21" si="26">EOMONTH(AF21,1)</f>
        <v>46203</v>
      </c>
      <c r="AH21" s="245">
        <f t="shared" ref="AH21" si="27">EOMONTH(AG21,1)</f>
        <v>46234</v>
      </c>
      <c r="AI21" s="245">
        <f t="shared" ref="AI21" si="28">EOMONTH(AH21,1)</f>
        <v>46265</v>
      </c>
      <c r="AJ21" s="245">
        <f t="shared" ref="AJ21" si="29">EOMONTH(AI21,1)</f>
        <v>46295</v>
      </c>
      <c r="AK21" s="245">
        <f t="shared" ref="AK21" si="30">EOMONTH(AJ21,1)</f>
        <v>46326</v>
      </c>
      <c r="AL21" s="245">
        <f t="shared" ref="AL21" si="31">EOMONTH(AK21,1)</f>
        <v>46356</v>
      </c>
      <c r="AM21" s="246">
        <f t="shared" ref="AM21" si="32">EOMONTH(AL21,1)</f>
        <v>46387</v>
      </c>
    </row>
    <row r="22" spans="1:39" x14ac:dyDescent="0.3">
      <c r="B22" s="242" t="s">
        <v>328</v>
      </c>
      <c r="C22" s="243">
        <v>32502348</v>
      </c>
      <c r="D22" s="243">
        <f t="shared" ref="D22:N22" si="33">C28+C29</f>
        <v>31078598</v>
      </c>
      <c r="E22" s="251">
        <f t="shared" si="33"/>
        <v>29599848</v>
      </c>
      <c r="F22" s="251">
        <f t="shared" si="33"/>
        <v>28121098</v>
      </c>
      <c r="G22" s="251">
        <f t="shared" si="33"/>
        <v>26642348</v>
      </c>
      <c r="H22" s="251">
        <f t="shared" si="33"/>
        <v>25163598</v>
      </c>
      <c r="I22" s="251">
        <f t="shared" si="33"/>
        <v>23684848</v>
      </c>
      <c r="J22" s="251">
        <f t="shared" si="33"/>
        <v>22206098</v>
      </c>
      <c r="K22" s="251">
        <f t="shared" si="33"/>
        <v>20727348</v>
      </c>
      <c r="L22" s="251">
        <f t="shared" si="33"/>
        <v>19248598</v>
      </c>
      <c r="M22" s="251">
        <f t="shared" si="33"/>
        <v>17769848</v>
      </c>
      <c r="N22" s="251">
        <f t="shared" si="33"/>
        <v>16293066</v>
      </c>
      <c r="O22" s="292">
        <v>14819632</v>
      </c>
      <c r="P22" s="354">
        <v>83922120</v>
      </c>
      <c r="Q22" s="354">
        <v>81367784</v>
      </c>
      <c r="R22" s="354">
        <v>78814446</v>
      </c>
      <c r="S22" s="354">
        <v>76914626</v>
      </c>
      <c r="T22" s="349">
        <v>75014806</v>
      </c>
      <c r="U22" s="349">
        <v>73115966</v>
      </c>
      <c r="V22" s="349">
        <v>71235281</v>
      </c>
      <c r="W22" s="349">
        <v>69364250</v>
      </c>
      <c r="X22" s="349">
        <v>67499915</v>
      </c>
      <c r="Y22" s="349">
        <v>65635580</v>
      </c>
      <c r="Z22" s="349">
        <v>63771245</v>
      </c>
      <c r="AA22" s="292">
        <v>61906910</v>
      </c>
      <c r="AB22" s="354">
        <f t="shared" ref="AB22:AE22" si="34">AA28+AA29</f>
        <v>60042575</v>
      </c>
      <c r="AC22" s="354">
        <f t="shared" si="34"/>
        <v>58178240</v>
      </c>
      <c r="AD22" s="354">
        <f t="shared" si="34"/>
        <v>56313905</v>
      </c>
      <c r="AE22" s="354">
        <f t="shared" si="34"/>
        <v>54449570</v>
      </c>
      <c r="AF22" s="349"/>
      <c r="AG22" s="349"/>
      <c r="AH22" s="349"/>
      <c r="AI22" s="349"/>
      <c r="AJ22" s="349"/>
      <c r="AK22" s="349"/>
      <c r="AL22" s="349"/>
      <c r="AM22" s="292"/>
    </row>
    <row r="23" spans="1:39" x14ac:dyDescent="0.3">
      <c r="B23" s="155" t="s">
        <v>329</v>
      </c>
      <c r="C23" s="212"/>
      <c r="D23" s="212">
        <v>0</v>
      </c>
      <c r="E23" s="215">
        <v>0</v>
      </c>
      <c r="F23" s="215">
        <v>0</v>
      </c>
      <c r="G23" s="215">
        <v>0</v>
      </c>
      <c r="H23" s="215">
        <v>0</v>
      </c>
      <c r="I23" s="215">
        <v>0</v>
      </c>
      <c r="J23" s="215">
        <v>0</v>
      </c>
      <c r="K23" s="215">
        <v>0</v>
      </c>
      <c r="L23" s="215">
        <v>0</v>
      </c>
      <c r="M23" s="215">
        <v>0</v>
      </c>
      <c r="N23" s="215">
        <v>0</v>
      </c>
      <c r="O23" s="293">
        <v>77440000</v>
      </c>
      <c r="P23" s="355">
        <v>0</v>
      </c>
      <c r="Q23" s="355">
        <v>0</v>
      </c>
      <c r="R23" s="355">
        <v>0</v>
      </c>
      <c r="S23" s="355">
        <v>0</v>
      </c>
      <c r="T23" s="350">
        <v>0</v>
      </c>
      <c r="U23" s="350"/>
      <c r="V23" s="350"/>
      <c r="W23" s="350"/>
      <c r="X23" s="350"/>
      <c r="Y23" s="350"/>
      <c r="Z23" s="350"/>
      <c r="AA23" s="293"/>
      <c r="AB23" s="355"/>
      <c r="AC23" s="355"/>
      <c r="AD23" s="355"/>
      <c r="AE23" s="355"/>
      <c r="AF23" s="350"/>
      <c r="AG23" s="350"/>
      <c r="AH23" s="350"/>
      <c r="AI23" s="350"/>
      <c r="AJ23" s="350"/>
      <c r="AK23" s="350"/>
      <c r="AL23" s="350"/>
      <c r="AM23" s="293"/>
    </row>
    <row r="24" spans="1:39" x14ac:dyDescent="0.3">
      <c r="B24" s="213" t="s">
        <v>269</v>
      </c>
      <c r="C24" s="214"/>
      <c r="D24" s="214">
        <v>0</v>
      </c>
      <c r="E24" s="215">
        <v>0</v>
      </c>
      <c r="F24" s="215">
        <v>0</v>
      </c>
      <c r="G24" s="215">
        <v>0</v>
      </c>
      <c r="H24" s="215">
        <v>0</v>
      </c>
      <c r="I24" s="215">
        <v>0</v>
      </c>
      <c r="J24" s="215">
        <v>0</v>
      </c>
      <c r="K24" s="215">
        <v>0</v>
      </c>
      <c r="L24" s="215">
        <v>0</v>
      </c>
      <c r="M24" s="215">
        <v>0</v>
      </c>
      <c r="N24" s="215">
        <v>0</v>
      </c>
      <c r="O24" s="293">
        <v>22916692</v>
      </c>
      <c r="P24" s="355">
        <v>0</v>
      </c>
      <c r="Q24" s="355">
        <v>0</v>
      </c>
      <c r="R24" s="355">
        <v>0</v>
      </c>
      <c r="S24" s="355">
        <v>0</v>
      </c>
      <c r="T24" s="350">
        <v>0</v>
      </c>
      <c r="U24" s="350"/>
      <c r="V24" s="350"/>
      <c r="W24" s="350"/>
      <c r="X24" s="350"/>
      <c r="Y24" s="350"/>
      <c r="Z24" s="350"/>
      <c r="AA24" s="293"/>
      <c r="AB24" s="355"/>
      <c r="AC24" s="355"/>
      <c r="AD24" s="355"/>
      <c r="AE24" s="355"/>
      <c r="AF24" s="350"/>
      <c r="AG24" s="350"/>
      <c r="AH24" s="350"/>
      <c r="AI24" s="350"/>
      <c r="AJ24" s="350"/>
      <c r="AK24" s="350"/>
      <c r="AL24" s="350"/>
      <c r="AM24" s="293"/>
    </row>
    <row r="25" spans="1:39" s="153" customFormat="1" x14ac:dyDescent="0.3">
      <c r="A25" s="384"/>
      <c r="B25" s="213" t="s">
        <v>330</v>
      </c>
      <c r="C25" s="214"/>
      <c r="D25" s="214">
        <v>0</v>
      </c>
      <c r="E25" s="215">
        <v>0</v>
      </c>
      <c r="F25" s="215">
        <v>0</v>
      </c>
      <c r="G25" s="215">
        <v>0</v>
      </c>
      <c r="H25" s="215">
        <v>0</v>
      </c>
      <c r="I25" s="215">
        <v>0</v>
      </c>
      <c r="J25" s="215">
        <v>0</v>
      </c>
      <c r="K25" s="215">
        <v>0</v>
      </c>
      <c r="L25" s="215">
        <v>0</v>
      </c>
      <c r="M25" s="215">
        <v>0</v>
      </c>
      <c r="N25" s="215">
        <v>0</v>
      </c>
      <c r="O25" s="293">
        <v>0</v>
      </c>
      <c r="P25" s="355">
        <v>0</v>
      </c>
      <c r="Q25" s="355">
        <v>0</v>
      </c>
      <c r="R25" s="355">
        <v>0</v>
      </c>
      <c r="S25" s="355">
        <v>0</v>
      </c>
      <c r="T25" s="350">
        <v>0</v>
      </c>
      <c r="U25" s="350"/>
      <c r="V25" s="350"/>
      <c r="W25" s="350"/>
      <c r="X25" s="350"/>
      <c r="Y25" s="350"/>
      <c r="Z25" s="350"/>
      <c r="AA25" s="293"/>
      <c r="AB25" s="355"/>
      <c r="AC25" s="355"/>
      <c r="AD25" s="355"/>
      <c r="AE25" s="355"/>
      <c r="AF25" s="350"/>
      <c r="AG25" s="350"/>
      <c r="AH25" s="350"/>
      <c r="AI25" s="350"/>
      <c r="AJ25" s="350"/>
      <c r="AK25" s="350"/>
      <c r="AL25" s="350"/>
      <c r="AM25" s="293"/>
    </row>
    <row r="26" spans="1:39" x14ac:dyDescent="0.3">
      <c r="B26" s="213" t="s">
        <v>331</v>
      </c>
      <c r="C26" s="214">
        <v>-1423750</v>
      </c>
      <c r="D26" s="214">
        <v>-1478750</v>
      </c>
      <c r="E26" s="215">
        <v>-1478750</v>
      </c>
      <c r="F26" s="215">
        <v>-1478750</v>
      </c>
      <c r="G26" s="215">
        <v>-1478750</v>
      </c>
      <c r="H26" s="215">
        <v>-1478750</v>
      </c>
      <c r="I26" s="215">
        <v>-1478750</v>
      </c>
      <c r="J26" s="215">
        <v>-1478750</v>
      </c>
      <c r="K26" s="215">
        <v>-1478750</v>
      </c>
      <c r="L26" s="215">
        <v>-1478750</v>
      </c>
      <c r="M26" s="215">
        <v>-1476782</v>
      </c>
      <c r="N26" s="215">
        <v>-1473434</v>
      </c>
      <c r="O26" s="293">
        <v>-3085767</v>
      </c>
      <c r="P26" s="355">
        <v>-2554336</v>
      </c>
      <c r="Q26" s="355">
        <v>-2553338</v>
      </c>
      <c r="R26" s="355">
        <v>-1899820</v>
      </c>
      <c r="S26" s="355">
        <v>-1899820</v>
      </c>
      <c r="T26" s="350">
        <v>-1898840</v>
      </c>
      <c r="U26" s="350">
        <v>-1880685</v>
      </c>
      <c r="V26" s="350">
        <v>-1871031</v>
      </c>
      <c r="W26" s="350">
        <v>-1864335</v>
      </c>
      <c r="X26" s="350">
        <v>-1864335</v>
      </c>
      <c r="Y26" s="350">
        <v>-1864335</v>
      </c>
      <c r="Z26" s="350">
        <v>-1864335</v>
      </c>
      <c r="AA26" s="293">
        <v>-1864335</v>
      </c>
      <c r="AB26" s="355">
        <f>-비품!U176</f>
        <v>-1864335</v>
      </c>
      <c r="AC26" s="355">
        <f>-비품!V176</f>
        <v>-1864335</v>
      </c>
      <c r="AD26" s="355">
        <f>-비품!W176</f>
        <v>-1864335</v>
      </c>
      <c r="AE26" s="355">
        <f>-비품!X176</f>
        <v>-1864335</v>
      </c>
      <c r="AF26" s="350"/>
      <c r="AG26" s="350"/>
      <c r="AH26" s="350"/>
      <c r="AI26" s="350"/>
      <c r="AJ26" s="350"/>
      <c r="AK26" s="350"/>
      <c r="AL26" s="350"/>
      <c r="AM26" s="293"/>
    </row>
    <row r="27" spans="1:39" x14ac:dyDescent="0.3">
      <c r="B27" s="155" t="s">
        <v>321</v>
      </c>
      <c r="C27" s="212">
        <v>31078598</v>
      </c>
      <c r="D27" s="212">
        <v>29599848</v>
      </c>
      <c r="E27" s="215">
        <v>28121098</v>
      </c>
      <c r="F27" s="215">
        <v>26642348</v>
      </c>
      <c r="G27" s="215">
        <v>25163598</v>
      </c>
      <c r="H27" s="215">
        <v>23684848</v>
      </c>
      <c r="I27" s="215">
        <v>22206098</v>
      </c>
      <c r="J27" s="215">
        <v>20727348</v>
      </c>
      <c r="K27" s="215">
        <v>19248598</v>
      </c>
      <c r="L27" s="215">
        <v>17769848</v>
      </c>
      <c r="M27" s="215">
        <v>16293066</v>
      </c>
      <c r="N27" s="215">
        <v>14819632</v>
      </c>
      <c r="O27" s="293">
        <v>83922120</v>
      </c>
      <c r="P27" s="355">
        <v>81367784</v>
      </c>
      <c r="Q27" s="355">
        <v>78814446</v>
      </c>
      <c r="R27" s="355">
        <v>76914626</v>
      </c>
      <c r="S27" s="355">
        <v>75014806</v>
      </c>
      <c r="T27" s="350">
        <v>73115966</v>
      </c>
      <c r="U27" s="350">
        <v>71235281</v>
      </c>
      <c r="V27" s="350">
        <v>69364250</v>
      </c>
      <c r="W27" s="350">
        <v>67499915</v>
      </c>
      <c r="X27" s="350">
        <v>65635580</v>
      </c>
      <c r="Y27" s="350">
        <v>63771245</v>
      </c>
      <c r="Z27" s="350">
        <v>61906910</v>
      </c>
      <c r="AA27" s="293">
        <v>60042575</v>
      </c>
      <c r="AB27" s="355">
        <f t="shared" ref="AB27:AC27" si="35">AB28+AB29</f>
        <v>58178240</v>
      </c>
      <c r="AC27" s="355">
        <f t="shared" si="35"/>
        <v>56313905</v>
      </c>
      <c r="AD27" s="355">
        <f t="shared" ref="AD27:AE27" si="36">AD28+AD29</f>
        <v>54449570</v>
      </c>
      <c r="AE27" s="355">
        <f t="shared" si="36"/>
        <v>52585235</v>
      </c>
      <c r="AF27" s="350"/>
      <c r="AG27" s="350"/>
      <c r="AH27" s="350"/>
      <c r="AI27" s="350"/>
      <c r="AJ27" s="350"/>
      <c r="AK27" s="350"/>
      <c r="AL27" s="350"/>
      <c r="AM27" s="293"/>
    </row>
    <row r="28" spans="1:39" x14ac:dyDescent="0.3">
      <c r="B28" s="155" t="s">
        <v>322</v>
      </c>
      <c r="C28" s="212">
        <v>1221025064</v>
      </c>
      <c r="D28" s="212">
        <v>1221025064</v>
      </c>
      <c r="E28" s="215">
        <v>1221025064</v>
      </c>
      <c r="F28" s="215">
        <v>1221025064</v>
      </c>
      <c r="G28" s="215">
        <v>1221025064</v>
      </c>
      <c r="H28" s="215">
        <v>1221025064</v>
      </c>
      <c r="I28" s="215">
        <v>1221025064</v>
      </c>
      <c r="J28" s="215">
        <v>1221025064</v>
      </c>
      <c r="K28" s="215">
        <v>1221025064</v>
      </c>
      <c r="L28" s="215">
        <v>1221025064</v>
      </c>
      <c r="M28" s="215">
        <v>1221025064</v>
      </c>
      <c r="N28" s="215">
        <v>1221025064</v>
      </c>
      <c r="O28" s="293">
        <v>1275548372</v>
      </c>
      <c r="P28" s="355">
        <v>1275548372</v>
      </c>
      <c r="Q28" s="355">
        <v>1275548372</v>
      </c>
      <c r="R28" s="355">
        <v>1275548372</v>
      </c>
      <c r="S28" s="355">
        <v>1275548372</v>
      </c>
      <c r="T28" s="350">
        <v>1275548372</v>
      </c>
      <c r="U28" s="350">
        <v>1275548372</v>
      </c>
      <c r="V28" s="350">
        <v>1275548372</v>
      </c>
      <c r="W28" s="350">
        <v>1275548372</v>
      </c>
      <c r="X28" s="350">
        <v>1275548372</v>
      </c>
      <c r="Y28" s="350">
        <v>1275548372</v>
      </c>
      <c r="Z28" s="350">
        <v>1275548372</v>
      </c>
      <c r="AA28" s="293">
        <v>1275548372</v>
      </c>
      <c r="AB28" s="355">
        <f t="shared" ref="AB28:AE28" si="37">AA28+AB23-AB24-AB25</f>
        <v>1275548372</v>
      </c>
      <c r="AC28" s="355">
        <f t="shared" si="37"/>
        <v>1275548372</v>
      </c>
      <c r="AD28" s="355">
        <f t="shared" si="37"/>
        <v>1275548372</v>
      </c>
      <c r="AE28" s="355">
        <f t="shared" si="37"/>
        <v>1275548372</v>
      </c>
      <c r="AF28" s="350"/>
      <c r="AG28" s="350"/>
      <c r="AH28" s="350"/>
      <c r="AI28" s="350"/>
      <c r="AJ28" s="350"/>
      <c r="AK28" s="350"/>
      <c r="AL28" s="350"/>
      <c r="AM28" s="293"/>
    </row>
    <row r="29" spans="1:39" ht="17.25" thickBot="1" x14ac:dyDescent="0.35">
      <c r="B29" s="247" t="s">
        <v>323</v>
      </c>
      <c r="C29" s="248">
        <v>-1189946466</v>
      </c>
      <c r="D29" s="248">
        <v>-1191425216</v>
      </c>
      <c r="E29" s="256">
        <v>-1192903966</v>
      </c>
      <c r="F29" s="256">
        <v>-1194382716</v>
      </c>
      <c r="G29" s="256">
        <v>-1195861466</v>
      </c>
      <c r="H29" s="256">
        <v>-1197340216</v>
      </c>
      <c r="I29" s="256">
        <v>-1198818966</v>
      </c>
      <c r="J29" s="256">
        <v>-1200297716</v>
      </c>
      <c r="K29" s="256">
        <v>-1201776466</v>
      </c>
      <c r="L29" s="256">
        <v>-1203255216</v>
      </c>
      <c r="M29" s="256">
        <v>-1204731998</v>
      </c>
      <c r="N29" s="256">
        <v>-1206205432</v>
      </c>
      <c r="O29" s="295">
        <v>-1191626252</v>
      </c>
      <c r="P29" s="360">
        <v>-1194180588</v>
      </c>
      <c r="Q29" s="360">
        <v>-1196733926</v>
      </c>
      <c r="R29" s="360">
        <v>-1198633746</v>
      </c>
      <c r="S29" s="360">
        <v>-1200533566</v>
      </c>
      <c r="T29" s="351">
        <v>-1202432406</v>
      </c>
      <c r="U29" s="351">
        <v>-1204313091</v>
      </c>
      <c r="V29" s="351">
        <v>-1206184122</v>
      </c>
      <c r="W29" s="351">
        <v>-1208048457</v>
      </c>
      <c r="X29" s="351">
        <v>-1209912792</v>
      </c>
      <c r="Y29" s="351">
        <v>-1211777127</v>
      </c>
      <c r="Z29" s="351">
        <v>-1213641462</v>
      </c>
      <c r="AA29" s="295">
        <v>-1215505797</v>
      </c>
      <c r="AB29" s="360">
        <f>AA29+AB26</f>
        <v>-1217370132</v>
      </c>
      <c r="AC29" s="360">
        <f>AB29+AC26</f>
        <v>-1219234467</v>
      </c>
      <c r="AD29" s="360">
        <f>AC29+AD26</f>
        <v>-1221098802</v>
      </c>
      <c r="AE29" s="360">
        <f>AD29+AE26</f>
        <v>-1222963137</v>
      </c>
      <c r="AF29" s="351"/>
      <c r="AG29" s="351"/>
      <c r="AH29" s="351"/>
      <c r="AI29" s="351"/>
      <c r="AJ29" s="351"/>
      <c r="AK29" s="351"/>
      <c r="AL29" s="351"/>
      <c r="AM29" s="295"/>
    </row>
    <row r="30" spans="1:39" x14ac:dyDescent="0.3">
      <c r="B30" s="249" t="s">
        <v>324</v>
      </c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0"/>
      <c r="N30" s="250"/>
      <c r="O30" s="282"/>
      <c r="P30" s="361" t="b">
        <f>P26=-[1]결산전표입력후BSP!E25</f>
        <v>1</v>
      </c>
      <c r="Q30" s="250" t="b">
        <f>Q26=-[1]결산전표입력후BSP!F25</f>
        <v>1</v>
      </c>
      <c r="R30" s="250" t="b">
        <f>R26=-[1]결산전표입력후BSP!G25</f>
        <v>1</v>
      </c>
      <c r="S30" s="250" t="b">
        <f>S26=-[1]결산전표입력후BSP!H25</f>
        <v>1</v>
      </c>
      <c r="T30" s="250" t="b">
        <f>T26=-[1]결산전표입력후BSP!I25</f>
        <v>1</v>
      </c>
      <c r="U30" s="250" t="b">
        <f>U26=-[1]결산전표입력후BSP!J25</f>
        <v>1</v>
      </c>
      <c r="V30" s="250" t="b">
        <f>V26=-[1]결산전표입력후BSP!K25</f>
        <v>1</v>
      </c>
      <c r="W30" s="250" t="b">
        <f>W26=-[1]결산전표입력후BSP!L25</f>
        <v>1</v>
      </c>
      <c r="X30" s="250" t="b">
        <f>X26=-[1]결산전표입력후BSP!M25</f>
        <v>1</v>
      </c>
      <c r="Y30" s="250" t="b">
        <f>Y26=-[1]결산전표입력후BSP!N25</f>
        <v>1</v>
      </c>
      <c r="Z30" s="250" t="b">
        <f>Z26=-[1]결산전표입력후BSP!O25</f>
        <v>1</v>
      </c>
      <c r="AA30" s="282" t="b">
        <f>AA26=-[1]결산전표입력후BSP!P25</f>
        <v>1</v>
      </c>
      <c r="AB30" s="361" t="b">
        <f>AB26=-결산전표입력후BSP!E25</f>
        <v>1</v>
      </c>
      <c r="AC30" s="250" t="b">
        <f>AC26=-결산전표입력후BSP!F25</f>
        <v>1</v>
      </c>
      <c r="AD30" s="250" t="b">
        <f>AD26=-결산전표입력후BSP!G25</f>
        <v>1</v>
      </c>
      <c r="AE30" s="250" t="b">
        <f>AE26=-결산전표입력후BSP!H25</f>
        <v>0</v>
      </c>
      <c r="AF30" s="250" t="b">
        <f>AF26=-결산전표입력후BSP!I25</f>
        <v>1</v>
      </c>
      <c r="AG30" s="250" t="b">
        <f>AG26=-결산전표입력후BSP!J25</f>
        <v>1</v>
      </c>
      <c r="AH30" s="250" t="b">
        <f>AH26=-결산전표입력후BSP!K25</f>
        <v>1</v>
      </c>
      <c r="AI30" s="250" t="b">
        <f>AI26=-결산전표입력후BSP!L25</f>
        <v>1</v>
      </c>
      <c r="AJ30" s="250" t="b">
        <f>AJ26=-결산전표입력후BSP!M25</f>
        <v>1</v>
      </c>
      <c r="AK30" s="250" t="b">
        <f>AK26=-결산전표입력후BSP!N25</f>
        <v>1</v>
      </c>
      <c r="AL30" s="250" t="b">
        <f>AL26=-결산전표입력후BSP!O25</f>
        <v>1</v>
      </c>
      <c r="AM30" s="282" t="b">
        <f>AM26=-결산전표입력후BSP!P25</f>
        <v>1</v>
      </c>
    </row>
    <row r="31" spans="1:39" x14ac:dyDescent="0.3">
      <c r="B31" s="160" t="s">
        <v>325</v>
      </c>
      <c r="C31" s="161"/>
      <c r="D31" s="161"/>
      <c r="E31" s="161"/>
      <c r="F31" s="161"/>
      <c r="G31" s="161"/>
      <c r="H31" s="161"/>
      <c r="I31" s="161"/>
      <c r="J31" s="161"/>
      <c r="K31" s="161"/>
      <c r="L31" s="161"/>
      <c r="M31" s="161"/>
      <c r="N31" s="161"/>
      <c r="O31" s="162"/>
      <c r="P31" s="358" t="b">
        <f>P29=[1]결산전표입력후BSP!E6</f>
        <v>1</v>
      </c>
      <c r="Q31" s="161" t="b">
        <f>Q29=[1]결산전표입력후BSP!F6</f>
        <v>1</v>
      </c>
      <c r="R31" s="161" t="b">
        <f>R29=[1]결산전표입력후BSP!G6</f>
        <v>1</v>
      </c>
      <c r="S31" s="161" t="b">
        <f>S29=[1]결산전표입력후BSP!H6</f>
        <v>1</v>
      </c>
      <c r="T31" s="161" t="b">
        <f>T29=[1]결산전표입력후BSP!I6</f>
        <v>1</v>
      </c>
      <c r="U31" s="161" t="b">
        <f>U29=[1]결산전표입력후BSP!J6</f>
        <v>1</v>
      </c>
      <c r="V31" s="161" t="b">
        <f>V29=[1]결산전표입력후BSP!K6</f>
        <v>1</v>
      </c>
      <c r="W31" s="161" t="b">
        <f>W29=[1]결산전표입력후BSP!L6</f>
        <v>1</v>
      </c>
      <c r="X31" s="161" t="b">
        <f>X29=[1]결산전표입력후BSP!M6</f>
        <v>1</v>
      </c>
      <c r="Y31" s="161" t="b">
        <f>Y29=[1]결산전표입력후BSP!N6</f>
        <v>1</v>
      </c>
      <c r="Z31" s="161" t="b">
        <f>Z29=[1]결산전표입력후BSP!O6</f>
        <v>1</v>
      </c>
      <c r="AA31" s="162" t="b">
        <f>AA29=[1]결산전표입력후BSP!P6</f>
        <v>1</v>
      </c>
      <c r="AB31" s="358" t="b">
        <f>AB29=결산전표입력후BSP!E6</f>
        <v>1</v>
      </c>
      <c r="AC31" s="161" t="b">
        <f>AC29=결산전표입력후BSP!F6</f>
        <v>1</v>
      </c>
      <c r="AD31" s="161" t="b">
        <f>AD29=결산전표입력후BSP!G6</f>
        <v>1</v>
      </c>
      <c r="AE31" s="161" t="b">
        <f>AE29=결산전표입력후BSP!H6</f>
        <v>0</v>
      </c>
      <c r="AF31" s="161" t="b">
        <f>AF29=결산전표입력후BSP!I6</f>
        <v>1</v>
      </c>
      <c r="AG31" s="161" t="b">
        <f>AG29=결산전표입력후BSP!J6</f>
        <v>1</v>
      </c>
      <c r="AH31" s="161" t="b">
        <f>AH29=결산전표입력후BSP!K6</f>
        <v>1</v>
      </c>
      <c r="AI31" s="161" t="b">
        <f>AI29=결산전표입력후BSP!L6</f>
        <v>1</v>
      </c>
      <c r="AJ31" s="161" t="b">
        <f>AJ29=결산전표입력후BSP!M6</f>
        <v>1</v>
      </c>
      <c r="AK31" s="161" t="b">
        <f>AK29=결산전표입력후BSP!N6</f>
        <v>1</v>
      </c>
      <c r="AL31" s="161" t="b">
        <f>AL29=결산전표입력후BSP!O6</f>
        <v>1</v>
      </c>
      <c r="AM31" s="162" t="b">
        <f>AM29=결산전표입력후BSP!P6</f>
        <v>1</v>
      </c>
    </row>
    <row r="32" spans="1:39" ht="17.25" thickBot="1" x14ac:dyDescent="0.35">
      <c r="B32" s="163" t="s">
        <v>326</v>
      </c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165"/>
      <c r="P32" s="359" t="b">
        <f>P28=[1]결산전표입력후BSP!E5</f>
        <v>1</v>
      </c>
      <c r="Q32" s="164" t="b">
        <f>Q28=[1]결산전표입력후BSP!F5</f>
        <v>1</v>
      </c>
      <c r="R32" s="164" t="b">
        <f>R28=[1]결산전표입력후BSP!G5</f>
        <v>1</v>
      </c>
      <c r="S32" s="164" t="b">
        <f>S28=[1]결산전표입력후BSP!H5</f>
        <v>1</v>
      </c>
      <c r="T32" s="164" t="b">
        <f>T28=[1]결산전표입력후BSP!I5</f>
        <v>1</v>
      </c>
      <c r="U32" s="164" t="b">
        <f>U28=[1]결산전표입력후BSP!J5</f>
        <v>1</v>
      </c>
      <c r="V32" s="164" t="b">
        <f>V28=[1]결산전표입력후BSP!K5</f>
        <v>1</v>
      </c>
      <c r="W32" s="164" t="b">
        <f>W28=[1]결산전표입력후BSP!L5</f>
        <v>1</v>
      </c>
      <c r="X32" s="164" t="b">
        <f>X28=[1]결산전표입력후BSP!M5</f>
        <v>1</v>
      </c>
      <c r="Y32" s="164" t="b">
        <f>Y28=[1]결산전표입력후BSP!N5</f>
        <v>1</v>
      </c>
      <c r="Z32" s="164" t="b">
        <f>Z28=[1]결산전표입력후BSP!O5</f>
        <v>1</v>
      </c>
      <c r="AA32" s="165" t="b">
        <f>AA28=[1]결산전표입력후BSP!P5</f>
        <v>1</v>
      </c>
      <c r="AB32" s="359" t="b">
        <f>AB28=결산전표입력후BSP!E5</f>
        <v>1</v>
      </c>
      <c r="AC32" s="164" t="b">
        <f>AC28=결산전표입력후BSP!F5</f>
        <v>1</v>
      </c>
      <c r="AD32" s="164" t="b">
        <f>AD28=결산전표입력후BSP!G5</f>
        <v>1</v>
      </c>
      <c r="AE32" s="164" t="b">
        <f>AE28=결산전표입력후BSP!H5</f>
        <v>0</v>
      </c>
      <c r="AF32" s="164" t="b">
        <f>AF28=결산전표입력후BSP!I5</f>
        <v>1</v>
      </c>
      <c r="AG32" s="164" t="b">
        <f>AG28=결산전표입력후BSP!J5</f>
        <v>1</v>
      </c>
      <c r="AH32" s="164" t="b">
        <f>AH28=결산전표입력후BSP!K5</f>
        <v>1</v>
      </c>
      <c r="AI32" s="164" t="b">
        <f>AI28=결산전표입력후BSP!L5</f>
        <v>1</v>
      </c>
      <c r="AJ32" s="164" t="b">
        <f>AJ28=결산전표입력후BSP!M5</f>
        <v>1</v>
      </c>
      <c r="AK32" s="164" t="b">
        <f>AK28=결산전표입력후BSP!N5</f>
        <v>1</v>
      </c>
      <c r="AL32" s="164" t="b">
        <f>AL28=결산전표입력후BSP!O5</f>
        <v>1</v>
      </c>
      <c r="AM32" s="165" t="b">
        <f>AM28=결산전표입력후BSP!P5</f>
        <v>1</v>
      </c>
    </row>
    <row r="33" spans="1:16364" x14ac:dyDescent="0.3">
      <c r="AN33" s="98"/>
      <c r="AO33" s="98"/>
      <c r="AP33" s="98"/>
      <c r="AQ33" s="98"/>
      <c r="AR33" s="98"/>
      <c r="AS33" s="98"/>
      <c r="AT33" s="98"/>
      <c r="AU33" s="98"/>
      <c r="AV33" s="98"/>
      <c r="AW33" s="98"/>
      <c r="AX33" s="98"/>
      <c r="AY33" s="98"/>
      <c r="AZ33" s="98"/>
      <c r="BA33" s="98"/>
      <c r="BB33" s="98"/>
      <c r="BC33" s="98"/>
      <c r="BD33" s="98"/>
      <c r="BE33" s="98"/>
      <c r="BF33" s="98"/>
      <c r="BG33" s="98"/>
      <c r="BH33" s="98"/>
      <c r="BI33" s="98"/>
      <c r="BJ33" s="98"/>
      <c r="BK33" s="98"/>
      <c r="BL33" s="98"/>
      <c r="BM33" s="98"/>
      <c r="BN33" s="98"/>
      <c r="BO33" s="98"/>
      <c r="BP33" s="98"/>
      <c r="BQ33" s="98"/>
      <c r="BR33" s="98"/>
      <c r="BS33" s="98"/>
      <c r="BT33" s="98"/>
      <c r="BU33" s="98"/>
      <c r="BV33" s="98"/>
      <c r="BW33" s="98"/>
      <c r="BX33" s="98"/>
      <c r="BY33" s="98"/>
      <c r="BZ33" s="98"/>
      <c r="CA33" s="98"/>
      <c r="CB33" s="98"/>
      <c r="CC33" s="98"/>
      <c r="CD33" s="98"/>
      <c r="CE33" s="98"/>
      <c r="CF33" s="98"/>
      <c r="CG33" s="98"/>
      <c r="CH33" s="98"/>
      <c r="CI33" s="98"/>
      <c r="CJ33" s="98"/>
      <c r="CK33" s="98"/>
      <c r="CL33" s="98"/>
      <c r="CM33" s="98"/>
      <c r="CN33" s="98"/>
      <c r="CO33" s="98"/>
      <c r="CP33" s="98"/>
      <c r="CQ33" s="98"/>
      <c r="CR33" s="98"/>
      <c r="CS33" s="98"/>
      <c r="CT33" s="98"/>
      <c r="CU33" s="98"/>
      <c r="CV33" s="98"/>
      <c r="CW33" s="98"/>
      <c r="CX33" s="98"/>
      <c r="CY33" s="98"/>
      <c r="CZ33" s="98"/>
      <c r="DA33" s="98"/>
      <c r="DB33" s="98"/>
      <c r="DC33" s="98"/>
      <c r="DD33" s="98"/>
      <c r="DE33" s="98"/>
      <c r="DF33" s="98"/>
      <c r="DG33" s="98"/>
      <c r="DH33" s="98"/>
      <c r="DI33" s="98"/>
      <c r="DJ33" s="98"/>
      <c r="DK33" s="98"/>
      <c r="DL33" s="98"/>
      <c r="DM33" s="98"/>
      <c r="DN33" s="98"/>
      <c r="DO33" s="98"/>
      <c r="DP33" s="98"/>
      <c r="DQ33" s="98"/>
      <c r="DR33" s="98"/>
      <c r="DS33" s="98"/>
      <c r="DT33" s="98"/>
      <c r="DU33" s="98"/>
      <c r="DV33" s="98"/>
      <c r="DW33" s="98"/>
      <c r="DX33" s="98"/>
      <c r="DY33" s="98"/>
      <c r="DZ33" s="98"/>
      <c r="EA33" s="98"/>
      <c r="EB33" s="98"/>
      <c r="EC33" s="98"/>
      <c r="ED33" s="98"/>
      <c r="EE33" s="98"/>
      <c r="EF33" s="98"/>
      <c r="EG33" s="98"/>
      <c r="EH33" s="98"/>
      <c r="EI33" s="98"/>
      <c r="EJ33" s="98"/>
      <c r="EK33" s="98"/>
      <c r="EL33" s="98"/>
      <c r="EM33" s="98"/>
      <c r="EN33" s="98"/>
      <c r="EO33" s="98"/>
      <c r="EP33" s="98"/>
      <c r="EQ33" s="98"/>
      <c r="ER33" s="98"/>
      <c r="ES33" s="98"/>
      <c r="ET33" s="98"/>
      <c r="EU33" s="98"/>
      <c r="EV33" s="98"/>
      <c r="EW33" s="98"/>
      <c r="EX33" s="98"/>
      <c r="EY33" s="98"/>
      <c r="EZ33" s="98"/>
      <c r="FA33" s="98"/>
      <c r="FB33" s="98"/>
      <c r="FC33" s="98"/>
      <c r="FD33" s="98"/>
      <c r="FE33" s="98"/>
      <c r="FF33" s="98"/>
      <c r="FG33" s="98"/>
      <c r="FH33" s="98"/>
      <c r="FI33" s="98"/>
      <c r="FJ33" s="98"/>
      <c r="FK33" s="98"/>
      <c r="FL33" s="98"/>
      <c r="FM33" s="98"/>
      <c r="FN33" s="98"/>
      <c r="FO33" s="98"/>
      <c r="FP33" s="98"/>
      <c r="FQ33" s="98"/>
      <c r="FR33" s="98"/>
      <c r="FS33" s="98"/>
      <c r="FT33" s="98"/>
      <c r="FU33" s="98"/>
      <c r="FV33" s="98"/>
      <c r="FW33" s="98"/>
      <c r="FX33" s="98"/>
      <c r="FY33" s="98"/>
      <c r="FZ33" s="98"/>
      <c r="GA33" s="98"/>
      <c r="GB33" s="98"/>
      <c r="GC33" s="98"/>
      <c r="GD33" s="98"/>
      <c r="GE33" s="98"/>
      <c r="GF33" s="98"/>
      <c r="GG33" s="98"/>
      <c r="GH33" s="98"/>
      <c r="GI33" s="98"/>
      <c r="GJ33" s="98"/>
      <c r="GK33" s="98"/>
      <c r="GL33" s="98"/>
      <c r="GM33" s="98"/>
      <c r="GN33" s="98"/>
      <c r="GO33" s="98"/>
      <c r="GP33" s="98"/>
      <c r="GQ33" s="98"/>
      <c r="GR33" s="98"/>
      <c r="GS33" s="98"/>
      <c r="GT33" s="98"/>
      <c r="GU33" s="98"/>
      <c r="GV33" s="98"/>
      <c r="GW33" s="98"/>
      <c r="GX33" s="98"/>
      <c r="GY33" s="98"/>
      <c r="GZ33" s="98"/>
      <c r="HA33" s="98"/>
      <c r="HB33" s="98"/>
      <c r="HC33" s="98"/>
      <c r="HD33" s="98"/>
      <c r="HE33" s="98"/>
      <c r="HF33" s="98"/>
      <c r="HG33" s="98"/>
      <c r="HH33" s="98"/>
      <c r="HI33" s="98"/>
      <c r="HJ33" s="98"/>
      <c r="HK33" s="98"/>
      <c r="HL33" s="98"/>
      <c r="HM33" s="98"/>
      <c r="HN33" s="98"/>
      <c r="HO33" s="98"/>
      <c r="HP33" s="98"/>
      <c r="HQ33" s="98"/>
      <c r="HR33" s="98"/>
      <c r="HS33" s="98"/>
      <c r="HT33" s="98"/>
      <c r="HU33" s="98"/>
      <c r="HV33" s="98"/>
      <c r="HW33" s="98"/>
      <c r="HX33" s="98"/>
      <c r="HY33" s="98"/>
      <c r="HZ33" s="98"/>
      <c r="IA33" s="98"/>
      <c r="IB33" s="98"/>
      <c r="IC33" s="98"/>
      <c r="ID33" s="98"/>
      <c r="IE33" s="98"/>
      <c r="IF33" s="98"/>
      <c r="IG33" s="98"/>
      <c r="IH33" s="98"/>
      <c r="II33" s="98"/>
      <c r="IJ33" s="98"/>
      <c r="IK33" s="98"/>
      <c r="IL33" s="98"/>
      <c r="IM33" s="98"/>
      <c r="IN33" s="98"/>
      <c r="IO33" s="98"/>
      <c r="IP33" s="98"/>
      <c r="IQ33" s="98"/>
      <c r="IR33" s="98"/>
      <c r="IS33" s="98"/>
      <c r="IT33" s="98"/>
      <c r="IU33" s="98"/>
      <c r="IV33" s="98"/>
      <c r="IW33" s="98"/>
      <c r="IX33" s="98"/>
      <c r="IY33" s="98"/>
      <c r="IZ33" s="98"/>
      <c r="JA33" s="98"/>
      <c r="JB33" s="98"/>
      <c r="JC33" s="98"/>
      <c r="JD33" s="98"/>
      <c r="JE33" s="98"/>
      <c r="JF33" s="98"/>
      <c r="JG33" s="98"/>
      <c r="JH33" s="98"/>
      <c r="JI33" s="98"/>
      <c r="JJ33" s="98"/>
      <c r="JK33" s="98"/>
      <c r="JL33" s="98"/>
      <c r="JM33" s="98"/>
      <c r="JN33" s="98"/>
      <c r="JO33" s="98"/>
      <c r="JP33" s="98"/>
      <c r="JQ33" s="98"/>
      <c r="JR33" s="98"/>
      <c r="JS33" s="98"/>
      <c r="JT33" s="98"/>
      <c r="JU33" s="98"/>
      <c r="JV33" s="98"/>
      <c r="JW33" s="98"/>
      <c r="JX33" s="98"/>
      <c r="JY33" s="98"/>
      <c r="JZ33" s="98"/>
      <c r="KA33" s="98"/>
      <c r="KB33" s="98"/>
      <c r="KC33" s="98"/>
      <c r="KD33" s="98"/>
      <c r="KE33" s="98"/>
      <c r="KF33" s="98"/>
      <c r="KG33" s="98"/>
      <c r="KH33" s="98"/>
      <c r="KI33" s="98"/>
      <c r="KJ33" s="98"/>
      <c r="KK33" s="98"/>
      <c r="KL33" s="98"/>
      <c r="KM33" s="98"/>
      <c r="KN33" s="98"/>
      <c r="KO33" s="98"/>
      <c r="KP33" s="98"/>
      <c r="KQ33" s="98"/>
      <c r="KR33" s="98"/>
      <c r="KS33" s="98"/>
      <c r="KT33" s="98"/>
      <c r="KU33" s="98"/>
      <c r="KV33" s="98"/>
      <c r="KW33" s="98"/>
      <c r="KX33" s="98"/>
      <c r="KY33" s="98"/>
      <c r="KZ33" s="98"/>
      <c r="LA33" s="98"/>
      <c r="LB33" s="98"/>
      <c r="LC33" s="98"/>
      <c r="LD33" s="98"/>
      <c r="LE33" s="98"/>
      <c r="LF33" s="98"/>
      <c r="LG33" s="98"/>
      <c r="LH33" s="98"/>
      <c r="LI33" s="98"/>
      <c r="LJ33" s="98"/>
      <c r="LK33" s="98"/>
      <c r="LL33" s="98"/>
      <c r="LM33" s="98"/>
      <c r="LN33" s="98"/>
      <c r="LO33" s="98"/>
      <c r="LP33" s="98"/>
      <c r="LQ33" s="98"/>
      <c r="LR33" s="98"/>
      <c r="LS33" s="98"/>
      <c r="LT33" s="98"/>
      <c r="LU33" s="98"/>
      <c r="LV33" s="98"/>
      <c r="LW33" s="98"/>
      <c r="LX33" s="98"/>
      <c r="LY33" s="98"/>
      <c r="LZ33" s="98"/>
      <c r="MA33" s="98"/>
      <c r="MB33" s="98"/>
      <c r="MC33" s="98"/>
      <c r="MD33" s="98"/>
      <c r="ME33" s="98"/>
      <c r="MF33" s="98"/>
      <c r="MG33" s="98"/>
      <c r="MH33" s="98"/>
      <c r="MI33" s="98"/>
      <c r="MJ33" s="98"/>
      <c r="MK33" s="98"/>
      <c r="ML33" s="98"/>
      <c r="MM33" s="98"/>
      <c r="MN33" s="98"/>
      <c r="MO33" s="98"/>
      <c r="MP33" s="98"/>
      <c r="MQ33" s="98"/>
      <c r="MR33" s="98"/>
      <c r="MS33" s="98"/>
      <c r="MT33" s="98"/>
      <c r="MU33" s="98"/>
      <c r="MV33" s="98"/>
      <c r="MW33" s="98"/>
      <c r="MX33" s="98"/>
      <c r="MY33" s="98"/>
      <c r="MZ33" s="98"/>
      <c r="NA33" s="98"/>
      <c r="NB33" s="98"/>
      <c r="NC33" s="98"/>
      <c r="ND33" s="98"/>
      <c r="NE33" s="98"/>
      <c r="NF33" s="98"/>
      <c r="NG33" s="98"/>
      <c r="NH33" s="98"/>
      <c r="NI33" s="98"/>
      <c r="NJ33" s="98"/>
      <c r="NK33" s="98"/>
      <c r="NL33" s="98"/>
      <c r="NM33" s="98"/>
      <c r="NN33" s="98"/>
      <c r="NO33" s="98"/>
      <c r="NP33" s="98"/>
      <c r="NQ33" s="98"/>
      <c r="NR33" s="98"/>
      <c r="NS33" s="98"/>
      <c r="NT33" s="98"/>
      <c r="NU33" s="98"/>
      <c r="NV33" s="98"/>
      <c r="NW33" s="98"/>
      <c r="NX33" s="98"/>
      <c r="NY33" s="98"/>
      <c r="NZ33" s="98"/>
      <c r="OA33" s="98"/>
      <c r="OB33" s="98"/>
      <c r="OC33" s="98"/>
      <c r="OD33" s="98"/>
      <c r="OE33" s="98"/>
      <c r="OF33" s="98"/>
      <c r="OG33" s="98"/>
      <c r="OH33" s="98"/>
      <c r="OI33" s="98"/>
      <c r="OJ33" s="98"/>
      <c r="OK33" s="98"/>
      <c r="OL33" s="98"/>
      <c r="OM33" s="98"/>
      <c r="ON33" s="98"/>
      <c r="OO33" s="98"/>
      <c r="OP33" s="98"/>
      <c r="OQ33" s="98"/>
      <c r="OR33" s="98"/>
      <c r="OS33" s="98"/>
      <c r="OT33" s="98"/>
      <c r="OU33" s="98"/>
      <c r="OV33" s="98"/>
      <c r="OW33" s="98"/>
      <c r="OX33" s="98"/>
      <c r="OY33" s="98"/>
      <c r="OZ33" s="98"/>
      <c r="PA33" s="98"/>
      <c r="PB33" s="98"/>
      <c r="PC33" s="98"/>
      <c r="PD33" s="98"/>
      <c r="PE33" s="98"/>
      <c r="PF33" s="98"/>
      <c r="PG33" s="98"/>
      <c r="PH33" s="98"/>
      <c r="PI33" s="98"/>
      <c r="PJ33" s="98"/>
      <c r="PK33" s="98"/>
      <c r="PL33" s="98"/>
      <c r="PM33" s="98"/>
      <c r="PN33" s="98"/>
      <c r="PO33" s="98"/>
      <c r="PP33" s="98"/>
      <c r="PQ33" s="98"/>
      <c r="PR33" s="98"/>
      <c r="PS33" s="98"/>
      <c r="PT33" s="98"/>
      <c r="PU33" s="98"/>
      <c r="PV33" s="98"/>
      <c r="PW33" s="98"/>
      <c r="PX33" s="98"/>
      <c r="PY33" s="98"/>
      <c r="PZ33" s="98"/>
      <c r="QA33" s="98"/>
      <c r="QB33" s="98"/>
      <c r="QC33" s="98"/>
      <c r="QD33" s="98"/>
      <c r="QE33" s="98"/>
      <c r="QF33" s="98"/>
      <c r="QG33" s="98"/>
      <c r="QH33" s="98"/>
      <c r="QI33" s="98"/>
      <c r="QJ33" s="98"/>
      <c r="QK33" s="98"/>
      <c r="QL33" s="98"/>
      <c r="QM33" s="98"/>
      <c r="QN33" s="98"/>
      <c r="QO33" s="98"/>
      <c r="QP33" s="98"/>
      <c r="QQ33" s="98"/>
      <c r="QR33" s="98"/>
      <c r="QS33" s="98"/>
      <c r="QT33" s="98"/>
      <c r="QU33" s="98"/>
      <c r="QV33" s="98"/>
      <c r="QW33" s="98"/>
      <c r="QX33" s="98"/>
      <c r="QY33" s="98"/>
      <c r="QZ33" s="98"/>
      <c r="RA33" s="98"/>
      <c r="RB33" s="98"/>
      <c r="RC33" s="98"/>
      <c r="RD33" s="98"/>
      <c r="RE33" s="98"/>
      <c r="RF33" s="98"/>
      <c r="RG33" s="98"/>
      <c r="RH33" s="98"/>
      <c r="RI33" s="98"/>
      <c r="RJ33" s="98"/>
      <c r="RK33" s="98"/>
      <c r="RL33" s="98"/>
      <c r="RM33" s="98"/>
      <c r="RN33" s="98"/>
      <c r="RO33" s="98"/>
      <c r="RP33" s="98"/>
      <c r="RQ33" s="98"/>
      <c r="RR33" s="98"/>
      <c r="RS33" s="98"/>
      <c r="RT33" s="98"/>
      <c r="RU33" s="98"/>
      <c r="RV33" s="98"/>
      <c r="RW33" s="98"/>
      <c r="RX33" s="98"/>
      <c r="RY33" s="98"/>
      <c r="RZ33" s="98"/>
      <c r="SA33" s="98"/>
      <c r="SB33" s="98"/>
      <c r="SC33" s="98"/>
      <c r="SD33" s="98"/>
      <c r="SE33" s="98"/>
      <c r="SF33" s="98"/>
      <c r="SG33" s="98"/>
      <c r="SH33" s="98"/>
      <c r="SI33" s="98"/>
      <c r="SJ33" s="98"/>
      <c r="SK33" s="98"/>
      <c r="SL33" s="98"/>
      <c r="SM33" s="98"/>
      <c r="SN33" s="98"/>
      <c r="SO33" s="98"/>
      <c r="SP33" s="98"/>
      <c r="SQ33" s="98"/>
      <c r="SR33" s="98"/>
      <c r="SS33" s="98"/>
      <c r="ST33" s="98"/>
      <c r="SU33" s="98"/>
      <c r="SV33" s="98"/>
      <c r="SW33" s="98"/>
      <c r="SX33" s="98"/>
      <c r="SY33" s="98"/>
      <c r="SZ33" s="98"/>
      <c r="TA33" s="98"/>
      <c r="TB33" s="98"/>
      <c r="TC33" s="98"/>
      <c r="TD33" s="98"/>
      <c r="TE33" s="98"/>
      <c r="TF33" s="98"/>
      <c r="TG33" s="98"/>
      <c r="TH33" s="98"/>
      <c r="TI33" s="98"/>
      <c r="TJ33" s="98"/>
      <c r="TK33" s="98"/>
      <c r="TL33" s="98"/>
      <c r="TM33" s="98"/>
      <c r="TN33" s="98"/>
      <c r="TO33" s="98"/>
      <c r="TP33" s="98"/>
      <c r="TQ33" s="98"/>
      <c r="TR33" s="98"/>
      <c r="TS33" s="98"/>
      <c r="TT33" s="98"/>
      <c r="TU33" s="98"/>
      <c r="TV33" s="98"/>
      <c r="TW33" s="98"/>
      <c r="TX33" s="98"/>
      <c r="TY33" s="98"/>
      <c r="TZ33" s="98"/>
      <c r="UA33" s="98"/>
      <c r="UB33" s="98"/>
      <c r="UC33" s="98"/>
      <c r="UD33" s="98"/>
      <c r="UE33" s="98"/>
      <c r="UF33" s="98"/>
      <c r="UG33" s="98"/>
      <c r="UH33" s="98"/>
      <c r="UI33" s="98"/>
      <c r="UJ33" s="98"/>
      <c r="UK33" s="98"/>
      <c r="UL33" s="98"/>
      <c r="UM33" s="98"/>
      <c r="UN33" s="98"/>
      <c r="UO33" s="98"/>
      <c r="UP33" s="98"/>
      <c r="UQ33" s="98"/>
      <c r="UR33" s="98"/>
      <c r="US33" s="98"/>
      <c r="UT33" s="98"/>
      <c r="UU33" s="98"/>
      <c r="UV33" s="98"/>
      <c r="UW33" s="98"/>
      <c r="UX33" s="98"/>
      <c r="UY33" s="98"/>
      <c r="UZ33" s="98"/>
      <c r="VA33" s="98"/>
      <c r="VB33" s="98"/>
      <c r="VC33" s="98"/>
      <c r="VD33" s="98"/>
      <c r="VE33" s="98"/>
      <c r="VF33" s="98"/>
      <c r="VG33" s="98"/>
      <c r="VH33" s="98"/>
      <c r="VI33" s="98"/>
      <c r="VJ33" s="98"/>
      <c r="VK33" s="98"/>
      <c r="VL33" s="98"/>
      <c r="VM33" s="98"/>
      <c r="VN33" s="98"/>
      <c r="VO33" s="98"/>
      <c r="VP33" s="98"/>
      <c r="VQ33" s="98"/>
      <c r="VR33" s="98"/>
      <c r="VS33" s="98"/>
      <c r="VT33" s="98"/>
      <c r="VU33" s="98"/>
      <c r="VV33" s="98"/>
      <c r="VW33" s="98"/>
      <c r="VX33" s="98"/>
      <c r="VY33" s="98"/>
      <c r="VZ33" s="98"/>
      <c r="WA33" s="98"/>
      <c r="WB33" s="98"/>
      <c r="WC33" s="98"/>
      <c r="WD33" s="98"/>
      <c r="WE33" s="98"/>
      <c r="WF33" s="98"/>
      <c r="WG33" s="98"/>
      <c r="WH33" s="98"/>
      <c r="WI33" s="98"/>
      <c r="WJ33" s="98"/>
      <c r="WK33" s="98"/>
      <c r="WL33" s="98"/>
      <c r="WM33" s="98"/>
      <c r="WN33" s="98"/>
      <c r="WO33" s="98"/>
      <c r="WP33" s="98"/>
      <c r="WQ33" s="98"/>
      <c r="WR33" s="98"/>
      <c r="WS33" s="98"/>
      <c r="WT33" s="98"/>
      <c r="WU33" s="98"/>
      <c r="WV33" s="98"/>
      <c r="WW33" s="98"/>
      <c r="WX33" s="98"/>
      <c r="WY33" s="98"/>
      <c r="WZ33" s="98"/>
      <c r="XA33" s="98"/>
      <c r="XB33" s="98"/>
      <c r="XC33" s="98"/>
      <c r="XD33" s="98"/>
      <c r="XE33" s="98"/>
      <c r="XF33" s="98"/>
      <c r="XG33" s="98"/>
      <c r="XH33" s="98"/>
      <c r="XI33" s="98"/>
      <c r="XJ33" s="98"/>
      <c r="XK33" s="98"/>
      <c r="XL33" s="98"/>
      <c r="XM33" s="98"/>
      <c r="XN33" s="98"/>
      <c r="XO33" s="98"/>
      <c r="XP33" s="98"/>
      <c r="XQ33" s="98"/>
      <c r="XR33" s="98"/>
      <c r="XS33" s="98"/>
      <c r="XT33" s="98"/>
      <c r="XU33" s="98"/>
      <c r="XV33" s="98"/>
      <c r="XW33" s="98"/>
      <c r="XX33" s="98"/>
      <c r="XY33" s="98"/>
      <c r="XZ33" s="98"/>
      <c r="YA33" s="98"/>
      <c r="YB33" s="98"/>
      <c r="YC33" s="98"/>
      <c r="YD33" s="98"/>
      <c r="YE33" s="98"/>
      <c r="YF33" s="98"/>
      <c r="YG33" s="98"/>
      <c r="YH33" s="98"/>
      <c r="YI33" s="98"/>
      <c r="YJ33" s="98"/>
      <c r="YK33" s="98"/>
      <c r="YL33" s="98"/>
      <c r="YM33" s="98"/>
      <c r="YN33" s="98"/>
      <c r="YO33" s="98"/>
      <c r="YP33" s="98"/>
      <c r="YQ33" s="98"/>
      <c r="YR33" s="98"/>
      <c r="YS33" s="98"/>
      <c r="YT33" s="98"/>
      <c r="YU33" s="98"/>
      <c r="YV33" s="98"/>
      <c r="YW33" s="98"/>
      <c r="YX33" s="98"/>
      <c r="YY33" s="98"/>
      <c r="YZ33" s="98"/>
      <c r="ZA33" s="98"/>
      <c r="ZB33" s="98"/>
      <c r="ZC33" s="98"/>
      <c r="ZD33" s="98"/>
      <c r="ZE33" s="98"/>
      <c r="ZF33" s="98"/>
      <c r="ZG33" s="98"/>
      <c r="ZH33" s="98"/>
      <c r="ZI33" s="98"/>
      <c r="ZJ33" s="98"/>
      <c r="ZK33" s="98"/>
      <c r="ZL33" s="98"/>
      <c r="ZM33" s="98"/>
      <c r="ZN33" s="98"/>
      <c r="ZO33" s="98"/>
      <c r="ZP33" s="98"/>
      <c r="ZQ33" s="98"/>
      <c r="ZR33" s="98"/>
      <c r="ZS33" s="98"/>
      <c r="ZT33" s="98"/>
      <c r="ZU33" s="98"/>
      <c r="ZV33" s="98"/>
      <c r="ZW33" s="98"/>
      <c r="ZX33" s="98"/>
      <c r="ZY33" s="98"/>
      <c r="ZZ33" s="98"/>
      <c r="AAA33" s="98"/>
      <c r="AAB33" s="98"/>
      <c r="AAC33" s="98"/>
      <c r="AAD33" s="98"/>
      <c r="AAE33" s="98"/>
      <c r="AAF33" s="98"/>
      <c r="AAG33" s="98"/>
      <c r="AAH33" s="98"/>
      <c r="AAI33" s="98"/>
      <c r="AAJ33" s="98"/>
      <c r="AAK33" s="98"/>
      <c r="AAL33" s="98"/>
      <c r="AAM33" s="98"/>
      <c r="AAN33" s="98"/>
      <c r="AAO33" s="98"/>
      <c r="AAP33" s="98"/>
      <c r="AAQ33" s="98"/>
      <c r="AAR33" s="98"/>
      <c r="AAS33" s="98"/>
      <c r="AAT33" s="98"/>
      <c r="AAU33" s="98"/>
      <c r="AAV33" s="98"/>
      <c r="AAW33" s="98"/>
      <c r="AAX33" s="98"/>
      <c r="AAY33" s="98"/>
      <c r="AAZ33" s="98"/>
      <c r="ABA33" s="98"/>
      <c r="ABB33" s="98"/>
      <c r="ABC33" s="98"/>
      <c r="ABD33" s="98"/>
      <c r="ABE33" s="98"/>
      <c r="ABF33" s="98"/>
      <c r="ABG33" s="98"/>
      <c r="ABH33" s="98"/>
      <c r="ABI33" s="98"/>
      <c r="ABJ33" s="98"/>
      <c r="ABK33" s="98"/>
      <c r="ABL33" s="98"/>
      <c r="ABM33" s="98"/>
      <c r="ABN33" s="98"/>
      <c r="ABO33" s="98"/>
      <c r="ABP33" s="98"/>
      <c r="ABQ33" s="98"/>
      <c r="ABR33" s="98"/>
      <c r="ABS33" s="98"/>
      <c r="ABT33" s="98"/>
      <c r="ABU33" s="98"/>
      <c r="ABV33" s="98"/>
      <c r="ABW33" s="98"/>
      <c r="ABX33" s="98"/>
      <c r="ABY33" s="98"/>
      <c r="ABZ33" s="98"/>
      <c r="ACA33" s="98"/>
      <c r="ACB33" s="98"/>
      <c r="ACC33" s="98"/>
      <c r="ACD33" s="98"/>
      <c r="ACE33" s="98"/>
      <c r="ACF33" s="98"/>
      <c r="ACG33" s="98"/>
      <c r="ACH33" s="98"/>
      <c r="ACI33" s="98"/>
      <c r="ACJ33" s="98"/>
      <c r="ACK33" s="98"/>
      <c r="ACL33" s="98"/>
      <c r="ACM33" s="98"/>
      <c r="ACN33" s="98"/>
      <c r="ACO33" s="98"/>
      <c r="ACP33" s="98"/>
      <c r="ACQ33" s="98"/>
      <c r="ACR33" s="98"/>
      <c r="ACS33" s="98"/>
      <c r="ACT33" s="98"/>
      <c r="ACU33" s="98"/>
      <c r="ACV33" s="98"/>
      <c r="ACW33" s="98"/>
      <c r="ACX33" s="98"/>
      <c r="ACY33" s="98"/>
      <c r="ACZ33" s="98"/>
      <c r="ADA33" s="98"/>
      <c r="ADB33" s="98"/>
      <c r="ADC33" s="98"/>
      <c r="ADD33" s="98"/>
      <c r="ADE33" s="98"/>
      <c r="ADF33" s="98"/>
      <c r="ADG33" s="98"/>
      <c r="ADH33" s="98"/>
      <c r="ADI33" s="98"/>
      <c r="ADJ33" s="98"/>
      <c r="ADK33" s="98"/>
      <c r="ADL33" s="98"/>
      <c r="ADM33" s="98"/>
      <c r="ADN33" s="98"/>
      <c r="ADO33" s="98"/>
      <c r="ADP33" s="98"/>
      <c r="ADQ33" s="98"/>
      <c r="ADR33" s="98"/>
      <c r="ADS33" s="98"/>
      <c r="ADT33" s="98"/>
      <c r="ADU33" s="98"/>
      <c r="ADV33" s="98"/>
      <c r="ADW33" s="98"/>
      <c r="ADX33" s="98"/>
      <c r="ADY33" s="98"/>
      <c r="ADZ33" s="98"/>
      <c r="AEA33" s="98"/>
      <c r="AEB33" s="98"/>
      <c r="AEC33" s="98"/>
      <c r="AED33" s="98"/>
      <c r="AEE33" s="98"/>
      <c r="AEF33" s="98"/>
      <c r="AEG33" s="98"/>
      <c r="AEH33" s="98"/>
      <c r="AEI33" s="98"/>
      <c r="AEJ33" s="98"/>
      <c r="AEK33" s="98"/>
      <c r="AEL33" s="98"/>
      <c r="AEM33" s="98"/>
      <c r="AEN33" s="98"/>
      <c r="AEO33" s="98"/>
      <c r="AEP33" s="98"/>
      <c r="AEQ33" s="98"/>
      <c r="AER33" s="98"/>
      <c r="AES33" s="98"/>
      <c r="AET33" s="98"/>
      <c r="AEU33" s="98"/>
      <c r="AEV33" s="98"/>
      <c r="AEW33" s="98"/>
      <c r="AEX33" s="98"/>
      <c r="AEY33" s="98"/>
      <c r="AEZ33" s="98"/>
      <c r="AFA33" s="98"/>
      <c r="AFB33" s="98"/>
      <c r="AFC33" s="98"/>
      <c r="AFD33" s="98"/>
      <c r="AFE33" s="98"/>
      <c r="AFF33" s="98"/>
      <c r="AFG33" s="98"/>
      <c r="AFH33" s="98"/>
      <c r="AFI33" s="98"/>
      <c r="AFJ33" s="98"/>
      <c r="AFK33" s="98"/>
      <c r="AFL33" s="98"/>
      <c r="AFM33" s="98"/>
      <c r="AFN33" s="98"/>
      <c r="AFO33" s="98"/>
      <c r="AFP33" s="98"/>
      <c r="AFQ33" s="98"/>
      <c r="AFR33" s="98"/>
      <c r="AFS33" s="98"/>
      <c r="AFT33" s="98"/>
      <c r="AFU33" s="98"/>
      <c r="AFV33" s="98"/>
      <c r="AFW33" s="98"/>
      <c r="AFX33" s="98"/>
      <c r="AFY33" s="98"/>
      <c r="AFZ33" s="98"/>
      <c r="AGA33" s="98"/>
      <c r="AGB33" s="98"/>
      <c r="AGC33" s="98"/>
      <c r="AGD33" s="98"/>
      <c r="AGE33" s="98"/>
      <c r="AGF33" s="98"/>
      <c r="AGG33" s="98"/>
      <c r="AGH33" s="98"/>
      <c r="AGI33" s="98"/>
      <c r="AGJ33" s="98"/>
      <c r="AGK33" s="98"/>
      <c r="AGL33" s="98"/>
      <c r="AGM33" s="98"/>
      <c r="AGN33" s="98"/>
      <c r="AGO33" s="98"/>
      <c r="AGP33" s="98"/>
      <c r="AGQ33" s="98"/>
      <c r="AGR33" s="98"/>
      <c r="AGS33" s="98"/>
      <c r="AGT33" s="98"/>
      <c r="AGU33" s="98"/>
      <c r="AGV33" s="98"/>
      <c r="AGW33" s="98"/>
      <c r="AGX33" s="98"/>
      <c r="AGY33" s="98"/>
      <c r="AGZ33" s="98"/>
      <c r="AHA33" s="98"/>
      <c r="AHB33" s="98"/>
      <c r="AHC33" s="98"/>
      <c r="AHD33" s="98"/>
      <c r="AHE33" s="98"/>
      <c r="AHF33" s="98"/>
      <c r="AHG33" s="98"/>
      <c r="AHH33" s="98"/>
      <c r="AHI33" s="98"/>
      <c r="AHJ33" s="98"/>
      <c r="AHK33" s="98"/>
      <c r="AHL33" s="98"/>
      <c r="AHM33" s="98"/>
      <c r="AHN33" s="98"/>
      <c r="AHO33" s="98"/>
      <c r="AHP33" s="98"/>
      <c r="AHQ33" s="98"/>
      <c r="AHR33" s="98"/>
      <c r="AHS33" s="98"/>
      <c r="AHT33" s="98"/>
      <c r="AHU33" s="98"/>
      <c r="AHV33" s="98"/>
      <c r="AHW33" s="98"/>
      <c r="AHX33" s="98"/>
      <c r="AHY33" s="98"/>
      <c r="AHZ33" s="98"/>
      <c r="AIA33" s="98"/>
      <c r="AIB33" s="98"/>
      <c r="AIC33" s="98"/>
      <c r="AID33" s="98"/>
      <c r="AIE33" s="98"/>
      <c r="AIF33" s="98"/>
      <c r="AIG33" s="98"/>
      <c r="AIH33" s="98"/>
      <c r="AII33" s="98"/>
      <c r="AIJ33" s="98"/>
      <c r="AIK33" s="98"/>
      <c r="AIL33" s="98"/>
      <c r="AIM33" s="98"/>
      <c r="AIN33" s="98"/>
      <c r="AIO33" s="98"/>
      <c r="AIP33" s="98"/>
      <c r="AIQ33" s="98"/>
      <c r="AIR33" s="98"/>
      <c r="AIS33" s="98"/>
      <c r="AIT33" s="98"/>
      <c r="AIU33" s="98"/>
      <c r="AIV33" s="98"/>
      <c r="AIW33" s="98"/>
      <c r="AIX33" s="98"/>
      <c r="AIY33" s="98"/>
      <c r="AIZ33" s="98"/>
      <c r="AJA33" s="98"/>
      <c r="AJB33" s="98"/>
      <c r="AJC33" s="98"/>
      <c r="AJD33" s="98"/>
      <c r="AJE33" s="98"/>
      <c r="AJF33" s="98"/>
      <c r="AJG33" s="98"/>
      <c r="AJH33" s="98"/>
      <c r="AJI33" s="98"/>
      <c r="AJJ33" s="98"/>
      <c r="AJK33" s="98"/>
      <c r="AJL33" s="98"/>
      <c r="AJM33" s="98"/>
      <c r="AJN33" s="98"/>
      <c r="AJO33" s="98"/>
      <c r="AJP33" s="98"/>
      <c r="AJQ33" s="98"/>
      <c r="AJR33" s="98"/>
      <c r="AJS33" s="98"/>
      <c r="AJT33" s="98"/>
      <c r="AJU33" s="98"/>
      <c r="AJV33" s="98"/>
      <c r="AJW33" s="98"/>
      <c r="AJX33" s="98"/>
      <c r="AJY33" s="98"/>
      <c r="AJZ33" s="98"/>
      <c r="AKA33" s="98"/>
      <c r="AKB33" s="98"/>
      <c r="AKC33" s="98"/>
      <c r="AKD33" s="98"/>
      <c r="AKE33" s="98"/>
      <c r="AKF33" s="98"/>
      <c r="AKG33" s="98"/>
      <c r="AKH33" s="98"/>
      <c r="AKI33" s="98"/>
      <c r="AKJ33" s="98"/>
      <c r="AKK33" s="98"/>
      <c r="AKL33" s="98"/>
      <c r="AKM33" s="98"/>
      <c r="AKN33" s="98"/>
      <c r="AKO33" s="98"/>
      <c r="AKP33" s="98"/>
      <c r="AKQ33" s="98"/>
      <c r="AKR33" s="98"/>
      <c r="AKS33" s="98"/>
      <c r="AKT33" s="98"/>
      <c r="AKU33" s="98"/>
      <c r="AKV33" s="98"/>
      <c r="AKW33" s="98"/>
      <c r="AKX33" s="98"/>
      <c r="AKY33" s="98"/>
      <c r="AKZ33" s="98"/>
      <c r="ALA33" s="98"/>
      <c r="ALB33" s="98"/>
      <c r="ALC33" s="98"/>
      <c r="ALD33" s="98"/>
      <c r="ALE33" s="98"/>
      <c r="ALF33" s="98"/>
      <c r="ALG33" s="98"/>
      <c r="ALH33" s="98"/>
      <c r="ALI33" s="98"/>
      <c r="ALJ33" s="98"/>
      <c r="ALK33" s="98"/>
      <c r="ALL33" s="98"/>
      <c r="ALM33" s="98"/>
      <c r="ALN33" s="98"/>
      <c r="ALO33" s="98"/>
      <c r="ALP33" s="98"/>
      <c r="ALQ33" s="98"/>
      <c r="ALR33" s="98"/>
      <c r="ALS33" s="98"/>
      <c r="ALT33" s="98"/>
      <c r="ALU33" s="98"/>
      <c r="ALV33" s="98"/>
      <c r="ALW33" s="98"/>
      <c r="ALX33" s="98"/>
      <c r="ALY33" s="98"/>
      <c r="ALZ33" s="98"/>
      <c r="AMA33" s="98"/>
      <c r="AMB33" s="98"/>
      <c r="AMC33" s="98"/>
      <c r="AMD33" s="98"/>
      <c r="AME33" s="98"/>
      <c r="AMF33" s="98"/>
      <c r="AMG33" s="98"/>
      <c r="AMH33" s="98"/>
      <c r="AMI33" s="98"/>
      <c r="AMJ33" s="98"/>
      <c r="AMK33" s="98"/>
      <c r="AML33" s="98"/>
      <c r="AMM33" s="98"/>
      <c r="AMN33" s="98"/>
      <c r="AMO33" s="98"/>
      <c r="AMP33" s="98"/>
      <c r="AMQ33" s="98"/>
      <c r="AMR33" s="98"/>
      <c r="AMS33" s="98"/>
      <c r="AMT33" s="98"/>
      <c r="AMU33" s="98"/>
      <c r="AMV33" s="98"/>
      <c r="AMW33" s="98"/>
      <c r="AMX33" s="98"/>
      <c r="AMY33" s="98"/>
      <c r="AMZ33" s="98"/>
      <c r="ANA33" s="98"/>
      <c r="ANB33" s="98"/>
      <c r="ANC33" s="98"/>
      <c r="AND33" s="98"/>
      <c r="ANE33" s="98"/>
      <c r="ANF33" s="98"/>
      <c r="ANG33" s="98"/>
      <c r="ANH33" s="98"/>
      <c r="ANI33" s="98"/>
      <c r="ANJ33" s="98"/>
      <c r="ANK33" s="98"/>
      <c r="ANL33" s="98"/>
      <c r="ANM33" s="98"/>
      <c r="ANN33" s="98"/>
      <c r="ANO33" s="98"/>
      <c r="ANP33" s="98"/>
      <c r="ANQ33" s="98"/>
      <c r="ANR33" s="98"/>
      <c r="ANS33" s="98"/>
      <c r="ANT33" s="98"/>
      <c r="ANU33" s="98"/>
      <c r="ANV33" s="98"/>
      <c r="ANW33" s="98"/>
      <c r="ANX33" s="98"/>
      <c r="ANY33" s="98"/>
      <c r="ANZ33" s="98"/>
      <c r="AOA33" s="98"/>
      <c r="AOB33" s="98"/>
      <c r="AOC33" s="98"/>
      <c r="AOD33" s="98"/>
      <c r="AOE33" s="98"/>
      <c r="AOF33" s="98"/>
      <c r="AOG33" s="98"/>
      <c r="AOH33" s="98"/>
      <c r="AOI33" s="98"/>
      <c r="AOJ33" s="98"/>
      <c r="AOK33" s="98"/>
      <c r="AOL33" s="98"/>
      <c r="AOM33" s="98"/>
      <c r="AON33" s="98"/>
      <c r="AOO33" s="98"/>
      <c r="AOP33" s="98"/>
      <c r="AOQ33" s="98"/>
      <c r="AOR33" s="98"/>
      <c r="AOS33" s="98"/>
      <c r="AOT33" s="98"/>
      <c r="AOU33" s="98"/>
      <c r="AOV33" s="98"/>
      <c r="AOW33" s="98"/>
      <c r="AOX33" s="98"/>
      <c r="AOY33" s="98"/>
      <c r="AOZ33" s="98"/>
      <c r="APA33" s="98"/>
      <c r="APB33" s="98"/>
      <c r="APC33" s="98"/>
      <c r="APD33" s="98"/>
      <c r="APE33" s="98"/>
      <c r="APF33" s="98"/>
      <c r="APG33" s="98"/>
      <c r="APH33" s="98"/>
      <c r="API33" s="98"/>
      <c r="APJ33" s="98"/>
      <c r="APK33" s="98"/>
      <c r="APL33" s="98"/>
      <c r="APM33" s="98"/>
      <c r="APN33" s="98"/>
      <c r="APO33" s="98"/>
      <c r="APP33" s="98"/>
      <c r="APQ33" s="98"/>
      <c r="APR33" s="98"/>
      <c r="APS33" s="98"/>
      <c r="APT33" s="98"/>
      <c r="APU33" s="98"/>
      <c r="APV33" s="98"/>
      <c r="APW33" s="98"/>
      <c r="APX33" s="98"/>
      <c r="APY33" s="98"/>
      <c r="APZ33" s="98"/>
      <c r="AQA33" s="98"/>
      <c r="AQB33" s="98"/>
      <c r="AQC33" s="98"/>
      <c r="AQD33" s="98"/>
      <c r="AQE33" s="98"/>
      <c r="AQF33" s="98"/>
      <c r="AQG33" s="98"/>
      <c r="AQH33" s="98"/>
      <c r="AQI33" s="98"/>
      <c r="AQJ33" s="98"/>
      <c r="AQK33" s="98"/>
      <c r="AQL33" s="98"/>
      <c r="AQM33" s="98"/>
      <c r="AQN33" s="98"/>
      <c r="AQO33" s="98"/>
      <c r="AQP33" s="98"/>
      <c r="AQQ33" s="98"/>
      <c r="AQR33" s="98"/>
      <c r="AQS33" s="98"/>
      <c r="AQT33" s="98"/>
      <c r="AQU33" s="98"/>
      <c r="AQV33" s="98"/>
      <c r="AQW33" s="98"/>
      <c r="AQX33" s="98"/>
      <c r="AQY33" s="98"/>
      <c r="AQZ33" s="98"/>
      <c r="ARA33" s="98"/>
      <c r="ARB33" s="98"/>
      <c r="ARC33" s="98"/>
      <c r="ARD33" s="98"/>
      <c r="ARE33" s="98"/>
      <c r="ARF33" s="98"/>
      <c r="ARG33" s="98"/>
      <c r="ARH33" s="98"/>
      <c r="ARI33" s="98"/>
      <c r="ARJ33" s="98"/>
      <c r="ARK33" s="98"/>
      <c r="ARL33" s="98"/>
      <c r="ARM33" s="98"/>
      <c r="ARN33" s="98"/>
      <c r="ARO33" s="98"/>
      <c r="ARP33" s="98"/>
      <c r="ARQ33" s="98"/>
      <c r="ARR33" s="98"/>
      <c r="ARS33" s="98"/>
      <c r="ART33" s="98"/>
      <c r="ARU33" s="98"/>
      <c r="ARV33" s="98"/>
      <c r="ARW33" s="98"/>
      <c r="ARX33" s="98"/>
      <c r="ARY33" s="98"/>
      <c r="ARZ33" s="98"/>
      <c r="ASA33" s="98"/>
      <c r="ASB33" s="98"/>
      <c r="ASC33" s="98"/>
      <c r="ASD33" s="98"/>
      <c r="ASE33" s="98"/>
      <c r="ASF33" s="98"/>
      <c r="ASG33" s="98"/>
      <c r="ASH33" s="98"/>
      <c r="ASI33" s="98"/>
      <c r="ASJ33" s="98"/>
      <c r="ASK33" s="98"/>
      <c r="ASL33" s="98"/>
      <c r="ASM33" s="98"/>
      <c r="ASN33" s="98"/>
      <c r="ASO33" s="98"/>
      <c r="ASP33" s="98"/>
      <c r="ASQ33" s="98"/>
      <c r="ASR33" s="98"/>
      <c r="ASS33" s="98"/>
      <c r="AST33" s="98"/>
      <c r="ASU33" s="98"/>
      <c r="ASV33" s="98"/>
      <c r="ASW33" s="98"/>
      <c r="ASX33" s="98"/>
      <c r="ASY33" s="98"/>
      <c r="ASZ33" s="98"/>
      <c r="ATA33" s="98"/>
      <c r="ATB33" s="98"/>
      <c r="ATC33" s="98"/>
      <c r="ATD33" s="98"/>
      <c r="ATE33" s="98"/>
      <c r="ATF33" s="98"/>
      <c r="ATG33" s="98"/>
      <c r="ATH33" s="98"/>
      <c r="ATI33" s="98"/>
      <c r="ATJ33" s="98"/>
      <c r="ATK33" s="98"/>
      <c r="ATL33" s="98"/>
      <c r="ATM33" s="98"/>
      <c r="ATN33" s="98"/>
      <c r="ATO33" s="98"/>
      <c r="ATP33" s="98"/>
      <c r="ATQ33" s="98"/>
      <c r="ATR33" s="98"/>
      <c r="ATS33" s="98"/>
      <c r="ATT33" s="98"/>
      <c r="ATU33" s="98"/>
      <c r="ATV33" s="98"/>
      <c r="ATW33" s="98"/>
      <c r="ATX33" s="98"/>
      <c r="ATY33" s="98"/>
      <c r="ATZ33" s="98"/>
      <c r="AUA33" s="98"/>
      <c r="AUB33" s="98"/>
      <c r="AUC33" s="98"/>
      <c r="AUD33" s="98"/>
      <c r="AUE33" s="98"/>
      <c r="AUF33" s="98"/>
      <c r="AUG33" s="98"/>
      <c r="AUH33" s="98"/>
      <c r="AUI33" s="98"/>
      <c r="AUJ33" s="98"/>
      <c r="AUK33" s="98"/>
      <c r="AUL33" s="98"/>
      <c r="AUM33" s="98"/>
      <c r="AUN33" s="98"/>
      <c r="AUO33" s="98"/>
      <c r="AUP33" s="98"/>
      <c r="AUQ33" s="98"/>
      <c r="AUR33" s="98"/>
      <c r="AUS33" s="98"/>
      <c r="AUT33" s="98"/>
      <c r="AUU33" s="98"/>
      <c r="AUV33" s="98"/>
      <c r="AUW33" s="98"/>
      <c r="AUX33" s="98"/>
      <c r="AUY33" s="98"/>
      <c r="AUZ33" s="98"/>
      <c r="AVA33" s="98"/>
      <c r="AVB33" s="98"/>
      <c r="AVC33" s="98"/>
      <c r="AVD33" s="98"/>
      <c r="AVE33" s="98"/>
      <c r="AVF33" s="98"/>
      <c r="AVG33" s="98"/>
      <c r="AVH33" s="98"/>
      <c r="AVI33" s="98"/>
      <c r="AVJ33" s="98"/>
      <c r="AVK33" s="98"/>
      <c r="AVL33" s="98"/>
      <c r="AVM33" s="98"/>
      <c r="AVN33" s="98"/>
      <c r="AVO33" s="98"/>
      <c r="AVP33" s="98"/>
      <c r="AVQ33" s="98"/>
      <c r="AVR33" s="98"/>
      <c r="AVS33" s="98"/>
      <c r="AVT33" s="98"/>
      <c r="AVU33" s="98"/>
      <c r="AVV33" s="98"/>
      <c r="AVW33" s="98"/>
      <c r="AVX33" s="98"/>
      <c r="AVY33" s="98"/>
      <c r="AVZ33" s="98"/>
      <c r="AWA33" s="98"/>
      <c r="AWB33" s="98"/>
      <c r="AWC33" s="98"/>
      <c r="AWD33" s="98"/>
      <c r="AWE33" s="98"/>
      <c r="AWF33" s="98"/>
      <c r="AWG33" s="98"/>
      <c r="AWH33" s="98"/>
      <c r="AWI33" s="98"/>
      <c r="AWJ33" s="98"/>
      <c r="AWK33" s="98"/>
      <c r="AWL33" s="98"/>
      <c r="AWM33" s="98"/>
      <c r="AWN33" s="98"/>
      <c r="AWO33" s="98"/>
      <c r="AWP33" s="98"/>
      <c r="AWQ33" s="98"/>
      <c r="AWR33" s="98"/>
      <c r="AWS33" s="98"/>
      <c r="AWT33" s="98"/>
      <c r="AWU33" s="98"/>
      <c r="AWV33" s="98"/>
      <c r="AWW33" s="98"/>
      <c r="AWX33" s="98"/>
      <c r="AWY33" s="98"/>
      <c r="AWZ33" s="98"/>
      <c r="AXA33" s="98"/>
      <c r="AXB33" s="98"/>
      <c r="AXC33" s="98"/>
      <c r="AXD33" s="98"/>
      <c r="AXE33" s="98"/>
      <c r="AXF33" s="98"/>
      <c r="AXG33" s="98"/>
      <c r="AXH33" s="98"/>
      <c r="AXI33" s="98"/>
      <c r="AXJ33" s="98"/>
      <c r="AXK33" s="98"/>
      <c r="AXL33" s="98"/>
      <c r="AXM33" s="98"/>
      <c r="AXN33" s="98"/>
      <c r="AXO33" s="98"/>
      <c r="AXP33" s="98"/>
      <c r="AXQ33" s="98"/>
      <c r="AXR33" s="98"/>
      <c r="AXS33" s="98"/>
      <c r="AXT33" s="98"/>
      <c r="AXU33" s="98"/>
      <c r="AXV33" s="98"/>
      <c r="AXW33" s="98"/>
      <c r="AXX33" s="98"/>
      <c r="AXY33" s="98"/>
      <c r="AXZ33" s="98"/>
      <c r="AYA33" s="98"/>
      <c r="AYB33" s="98"/>
      <c r="AYC33" s="98"/>
      <c r="AYD33" s="98"/>
      <c r="AYE33" s="98"/>
      <c r="AYF33" s="98"/>
      <c r="AYG33" s="98"/>
      <c r="AYH33" s="98"/>
      <c r="AYI33" s="98"/>
      <c r="AYJ33" s="98"/>
      <c r="AYK33" s="98"/>
      <c r="AYL33" s="98"/>
      <c r="AYM33" s="98"/>
      <c r="AYN33" s="98"/>
      <c r="AYO33" s="98"/>
      <c r="AYP33" s="98"/>
      <c r="AYQ33" s="98"/>
      <c r="AYR33" s="98"/>
      <c r="AYS33" s="98"/>
      <c r="AYT33" s="98"/>
      <c r="AYU33" s="98"/>
      <c r="AYV33" s="98"/>
      <c r="AYW33" s="98"/>
      <c r="AYX33" s="98"/>
      <c r="AYY33" s="98"/>
      <c r="AYZ33" s="98"/>
      <c r="AZA33" s="98"/>
      <c r="AZB33" s="98"/>
      <c r="AZC33" s="98"/>
      <c r="AZD33" s="98"/>
      <c r="AZE33" s="98"/>
      <c r="AZF33" s="98"/>
      <c r="AZG33" s="98"/>
      <c r="AZH33" s="98"/>
      <c r="AZI33" s="98"/>
      <c r="AZJ33" s="98"/>
      <c r="AZK33" s="98"/>
      <c r="AZL33" s="98"/>
      <c r="AZM33" s="98"/>
      <c r="AZN33" s="98"/>
      <c r="AZO33" s="98"/>
      <c r="AZP33" s="98"/>
      <c r="AZQ33" s="98"/>
      <c r="AZR33" s="98"/>
      <c r="AZS33" s="98"/>
      <c r="AZT33" s="98"/>
      <c r="AZU33" s="98"/>
      <c r="AZV33" s="98"/>
      <c r="AZW33" s="98"/>
      <c r="AZX33" s="98"/>
      <c r="AZY33" s="98"/>
      <c r="AZZ33" s="98"/>
      <c r="BAA33" s="98"/>
      <c r="BAB33" s="98"/>
      <c r="BAC33" s="98"/>
      <c r="BAD33" s="98"/>
      <c r="BAE33" s="98"/>
      <c r="BAF33" s="98"/>
      <c r="BAG33" s="98"/>
      <c r="BAH33" s="98"/>
      <c r="BAI33" s="98"/>
      <c r="BAJ33" s="98"/>
      <c r="BAK33" s="98"/>
      <c r="BAL33" s="98"/>
      <c r="BAM33" s="98"/>
      <c r="BAN33" s="98"/>
      <c r="BAO33" s="98"/>
      <c r="BAP33" s="98"/>
      <c r="BAQ33" s="98"/>
      <c r="BAR33" s="98"/>
      <c r="BAS33" s="98"/>
      <c r="BAT33" s="98"/>
      <c r="BAU33" s="98"/>
      <c r="BAV33" s="98"/>
      <c r="BAW33" s="98"/>
      <c r="BAX33" s="98"/>
      <c r="BAY33" s="98"/>
      <c r="BAZ33" s="98"/>
      <c r="BBA33" s="98"/>
      <c r="BBB33" s="98"/>
      <c r="BBC33" s="98"/>
      <c r="BBD33" s="98"/>
      <c r="BBE33" s="98"/>
      <c r="BBF33" s="98"/>
      <c r="BBG33" s="98"/>
      <c r="BBH33" s="98"/>
      <c r="BBI33" s="98"/>
      <c r="BBJ33" s="98"/>
      <c r="BBK33" s="98"/>
      <c r="BBL33" s="98"/>
      <c r="BBM33" s="98"/>
      <c r="BBN33" s="98"/>
      <c r="BBO33" s="98"/>
      <c r="BBP33" s="98"/>
      <c r="BBQ33" s="98"/>
      <c r="BBR33" s="98"/>
      <c r="BBS33" s="98"/>
      <c r="BBT33" s="98"/>
      <c r="BBU33" s="98"/>
      <c r="BBV33" s="98"/>
      <c r="BBW33" s="98"/>
      <c r="BBX33" s="98"/>
      <c r="BBY33" s="98"/>
      <c r="BBZ33" s="98"/>
      <c r="BCA33" s="98"/>
      <c r="BCB33" s="98"/>
      <c r="BCC33" s="98"/>
      <c r="BCD33" s="98"/>
      <c r="BCE33" s="98"/>
      <c r="BCF33" s="98"/>
      <c r="BCG33" s="98"/>
      <c r="BCH33" s="98"/>
      <c r="BCI33" s="98"/>
      <c r="BCJ33" s="98"/>
      <c r="BCK33" s="98"/>
      <c r="BCL33" s="98"/>
      <c r="BCM33" s="98"/>
      <c r="BCN33" s="98"/>
      <c r="BCO33" s="98"/>
      <c r="BCP33" s="98"/>
      <c r="BCQ33" s="98"/>
      <c r="BCR33" s="98"/>
      <c r="BCS33" s="98"/>
      <c r="BCT33" s="98"/>
      <c r="BCU33" s="98"/>
      <c r="BCV33" s="98"/>
      <c r="BCW33" s="98"/>
      <c r="BCX33" s="98"/>
      <c r="BCY33" s="98"/>
      <c r="BCZ33" s="98"/>
      <c r="BDA33" s="98"/>
      <c r="BDB33" s="98"/>
      <c r="BDC33" s="98"/>
      <c r="BDD33" s="98"/>
      <c r="BDE33" s="98"/>
      <c r="BDF33" s="98"/>
      <c r="BDG33" s="98"/>
      <c r="BDH33" s="98"/>
      <c r="BDI33" s="98"/>
      <c r="BDJ33" s="98"/>
      <c r="BDK33" s="98"/>
      <c r="BDL33" s="98"/>
      <c r="BDM33" s="98"/>
      <c r="BDN33" s="98"/>
      <c r="BDO33" s="98"/>
      <c r="BDP33" s="98"/>
      <c r="BDQ33" s="98"/>
      <c r="BDR33" s="98"/>
      <c r="BDS33" s="98"/>
      <c r="BDT33" s="98"/>
      <c r="BDU33" s="98"/>
      <c r="BDV33" s="98"/>
      <c r="BDW33" s="98"/>
      <c r="BDX33" s="98"/>
      <c r="BDY33" s="98"/>
      <c r="BDZ33" s="98"/>
      <c r="BEA33" s="98"/>
      <c r="BEB33" s="98"/>
      <c r="BEC33" s="98"/>
      <c r="BED33" s="98"/>
      <c r="BEE33" s="98"/>
      <c r="BEF33" s="98"/>
      <c r="BEG33" s="98"/>
      <c r="BEH33" s="98"/>
      <c r="BEI33" s="98"/>
      <c r="BEJ33" s="98"/>
      <c r="BEK33" s="98"/>
      <c r="BEL33" s="98"/>
      <c r="BEM33" s="98"/>
      <c r="BEN33" s="98"/>
      <c r="BEO33" s="98"/>
      <c r="BEP33" s="98"/>
      <c r="BEQ33" s="98"/>
      <c r="BER33" s="98"/>
      <c r="BES33" s="98"/>
      <c r="BET33" s="98"/>
      <c r="BEU33" s="98"/>
      <c r="BEV33" s="98"/>
      <c r="BEW33" s="98"/>
      <c r="BEX33" s="98"/>
      <c r="BEY33" s="98"/>
      <c r="BEZ33" s="98"/>
      <c r="BFA33" s="98"/>
      <c r="BFB33" s="98"/>
      <c r="BFC33" s="98"/>
      <c r="BFD33" s="98"/>
      <c r="BFE33" s="98"/>
      <c r="BFF33" s="98"/>
      <c r="BFG33" s="98"/>
      <c r="BFH33" s="98"/>
      <c r="BFI33" s="98"/>
      <c r="BFJ33" s="98"/>
      <c r="BFK33" s="98"/>
      <c r="BFL33" s="98"/>
      <c r="BFM33" s="98"/>
      <c r="BFN33" s="98"/>
      <c r="BFO33" s="98"/>
      <c r="BFP33" s="98"/>
      <c r="BFQ33" s="98"/>
      <c r="BFR33" s="98"/>
      <c r="BFS33" s="98"/>
      <c r="BFT33" s="98"/>
      <c r="BFU33" s="98"/>
      <c r="BFV33" s="98"/>
      <c r="BFW33" s="98"/>
      <c r="BFX33" s="98"/>
      <c r="BFY33" s="98"/>
      <c r="BFZ33" s="98"/>
      <c r="BGA33" s="98"/>
      <c r="BGB33" s="98"/>
      <c r="BGC33" s="98"/>
      <c r="BGD33" s="98"/>
      <c r="BGE33" s="98"/>
      <c r="BGF33" s="98"/>
      <c r="BGG33" s="98"/>
      <c r="BGH33" s="98"/>
      <c r="BGI33" s="98"/>
      <c r="BGJ33" s="98"/>
      <c r="BGK33" s="98"/>
      <c r="BGL33" s="98"/>
      <c r="BGM33" s="98"/>
      <c r="BGN33" s="98"/>
      <c r="BGO33" s="98"/>
      <c r="BGP33" s="98"/>
      <c r="BGQ33" s="98"/>
      <c r="BGR33" s="98"/>
      <c r="BGS33" s="98"/>
      <c r="BGT33" s="98"/>
      <c r="BGU33" s="98"/>
      <c r="BGV33" s="98"/>
      <c r="BGW33" s="98"/>
      <c r="BGX33" s="98"/>
      <c r="BGY33" s="98"/>
      <c r="BGZ33" s="98"/>
      <c r="BHA33" s="98"/>
      <c r="BHB33" s="98"/>
      <c r="BHC33" s="98"/>
      <c r="BHD33" s="98"/>
      <c r="BHE33" s="98"/>
      <c r="BHF33" s="98"/>
      <c r="BHG33" s="98"/>
      <c r="BHH33" s="98"/>
      <c r="BHI33" s="98"/>
      <c r="BHJ33" s="98"/>
      <c r="BHK33" s="98"/>
      <c r="BHL33" s="98"/>
      <c r="BHM33" s="98"/>
      <c r="BHN33" s="98"/>
      <c r="BHO33" s="98"/>
      <c r="BHP33" s="98"/>
      <c r="BHQ33" s="98"/>
      <c r="BHR33" s="98"/>
      <c r="BHS33" s="98"/>
      <c r="BHT33" s="98"/>
      <c r="BHU33" s="98"/>
      <c r="BHV33" s="98"/>
      <c r="BHW33" s="98"/>
      <c r="BHX33" s="98"/>
      <c r="BHY33" s="98"/>
      <c r="BHZ33" s="98"/>
      <c r="BIA33" s="98"/>
      <c r="BIB33" s="98"/>
      <c r="BIC33" s="98"/>
      <c r="BID33" s="98"/>
      <c r="BIE33" s="98"/>
      <c r="BIF33" s="98"/>
      <c r="BIG33" s="98"/>
      <c r="BIH33" s="98"/>
      <c r="BII33" s="98"/>
      <c r="BIJ33" s="98"/>
      <c r="BIK33" s="98"/>
      <c r="BIL33" s="98"/>
      <c r="BIM33" s="98"/>
      <c r="BIN33" s="98"/>
      <c r="BIO33" s="98"/>
      <c r="BIP33" s="98"/>
      <c r="BIQ33" s="98"/>
      <c r="BIR33" s="98"/>
      <c r="BIS33" s="98"/>
      <c r="BIT33" s="98"/>
      <c r="BIU33" s="98"/>
      <c r="BIV33" s="98"/>
      <c r="BIW33" s="98"/>
      <c r="BIX33" s="98"/>
      <c r="BIY33" s="98"/>
      <c r="BIZ33" s="98"/>
      <c r="BJA33" s="98"/>
      <c r="BJB33" s="98"/>
      <c r="BJC33" s="98"/>
      <c r="BJD33" s="98"/>
      <c r="BJE33" s="98"/>
      <c r="BJF33" s="98"/>
      <c r="BJG33" s="98"/>
      <c r="BJH33" s="98"/>
      <c r="BJI33" s="98"/>
      <c r="BJJ33" s="98"/>
      <c r="BJK33" s="98"/>
      <c r="BJL33" s="98"/>
      <c r="BJM33" s="98"/>
      <c r="BJN33" s="98"/>
      <c r="BJO33" s="98"/>
      <c r="BJP33" s="98"/>
      <c r="BJQ33" s="98"/>
      <c r="BJR33" s="98"/>
      <c r="BJS33" s="98"/>
      <c r="BJT33" s="98"/>
      <c r="BJU33" s="98"/>
      <c r="BJV33" s="98"/>
      <c r="BJW33" s="98"/>
      <c r="BJX33" s="98"/>
      <c r="BJY33" s="98"/>
      <c r="BJZ33" s="98"/>
      <c r="BKA33" s="98"/>
      <c r="BKB33" s="98"/>
      <c r="BKC33" s="98"/>
      <c r="BKD33" s="98"/>
      <c r="BKE33" s="98"/>
      <c r="BKF33" s="98"/>
      <c r="BKG33" s="98"/>
      <c r="BKH33" s="98"/>
      <c r="BKI33" s="98"/>
      <c r="BKJ33" s="98"/>
      <c r="BKK33" s="98"/>
      <c r="BKL33" s="98"/>
      <c r="BKM33" s="98"/>
      <c r="BKN33" s="98"/>
      <c r="BKO33" s="98"/>
      <c r="BKP33" s="98"/>
      <c r="BKQ33" s="98"/>
      <c r="BKR33" s="98"/>
      <c r="BKS33" s="98"/>
      <c r="BKT33" s="98"/>
      <c r="BKU33" s="98"/>
      <c r="BKV33" s="98"/>
      <c r="BKW33" s="98"/>
      <c r="BKX33" s="98"/>
      <c r="BKY33" s="98"/>
      <c r="BKZ33" s="98"/>
      <c r="BLA33" s="98"/>
      <c r="BLB33" s="98"/>
      <c r="BLC33" s="98"/>
      <c r="BLD33" s="98"/>
      <c r="BLE33" s="98"/>
      <c r="BLF33" s="98"/>
      <c r="BLG33" s="98"/>
      <c r="BLH33" s="98"/>
      <c r="BLI33" s="98"/>
      <c r="BLJ33" s="98"/>
      <c r="BLK33" s="98"/>
      <c r="BLL33" s="98"/>
      <c r="BLM33" s="98"/>
      <c r="BLN33" s="98"/>
      <c r="BLO33" s="98"/>
      <c r="BLP33" s="98"/>
      <c r="BLQ33" s="98"/>
      <c r="BLR33" s="98"/>
      <c r="BLS33" s="98"/>
      <c r="BLT33" s="98"/>
      <c r="BLU33" s="98"/>
      <c r="BLV33" s="98"/>
      <c r="BLW33" s="98"/>
      <c r="BLX33" s="98"/>
      <c r="BLY33" s="98"/>
      <c r="BLZ33" s="98"/>
      <c r="BMA33" s="98"/>
      <c r="BMB33" s="98"/>
      <c r="BMC33" s="98"/>
      <c r="BMD33" s="98"/>
      <c r="BME33" s="98"/>
      <c r="BMF33" s="98"/>
      <c r="BMG33" s="98"/>
      <c r="BMH33" s="98"/>
      <c r="BMI33" s="98"/>
      <c r="BMJ33" s="98"/>
      <c r="BMK33" s="98"/>
      <c r="BML33" s="98"/>
      <c r="BMM33" s="98"/>
      <c r="BMN33" s="98"/>
      <c r="BMO33" s="98"/>
      <c r="BMP33" s="98"/>
      <c r="BMQ33" s="98"/>
      <c r="BMR33" s="98"/>
      <c r="BMS33" s="98"/>
      <c r="BMT33" s="98"/>
      <c r="BMU33" s="98"/>
      <c r="BMV33" s="98"/>
      <c r="BMW33" s="98"/>
      <c r="BMX33" s="98"/>
      <c r="BMY33" s="98"/>
      <c r="BMZ33" s="98"/>
      <c r="BNA33" s="98"/>
      <c r="BNB33" s="98"/>
      <c r="BNC33" s="98"/>
      <c r="BND33" s="98"/>
      <c r="BNE33" s="98"/>
      <c r="BNF33" s="98"/>
      <c r="BNG33" s="98"/>
      <c r="BNH33" s="98"/>
      <c r="BNI33" s="98"/>
      <c r="BNJ33" s="98"/>
      <c r="BNK33" s="98"/>
      <c r="BNL33" s="98"/>
      <c r="BNM33" s="98"/>
      <c r="BNN33" s="98"/>
      <c r="BNO33" s="98"/>
      <c r="BNP33" s="98"/>
      <c r="BNQ33" s="98"/>
      <c r="BNR33" s="98"/>
      <c r="BNS33" s="98"/>
      <c r="BNT33" s="98"/>
      <c r="BNU33" s="98"/>
      <c r="BNV33" s="98"/>
      <c r="BNW33" s="98"/>
      <c r="BNX33" s="98"/>
      <c r="BNY33" s="98"/>
      <c r="BNZ33" s="98"/>
      <c r="BOA33" s="98"/>
      <c r="BOB33" s="98"/>
      <c r="BOC33" s="98"/>
      <c r="BOD33" s="98"/>
      <c r="BOE33" s="98"/>
      <c r="BOF33" s="98"/>
      <c r="BOG33" s="98"/>
      <c r="BOH33" s="98"/>
      <c r="BOI33" s="98"/>
      <c r="BOJ33" s="98"/>
      <c r="BOK33" s="98"/>
      <c r="BOL33" s="98"/>
      <c r="BOM33" s="98"/>
      <c r="BON33" s="98"/>
      <c r="BOO33" s="98"/>
      <c r="BOP33" s="98"/>
      <c r="BOQ33" s="98"/>
      <c r="BOR33" s="98"/>
      <c r="BOS33" s="98"/>
      <c r="BOT33" s="98"/>
      <c r="BOU33" s="98"/>
      <c r="BOV33" s="98"/>
      <c r="BOW33" s="98"/>
      <c r="BOX33" s="98"/>
      <c r="BOY33" s="98"/>
      <c r="BOZ33" s="98"/>
      <c r="BPA33" s="98"/>
      <c r="BPB33" s="98"/>
      <c r="BPC33" s="98"/>
      <c r="BPD33" s="98"/>
      <c r="BPE33" s="98"/>
      <c r="BPF33" s="98"/>
      <c r="BPG33" s="98"/>
      <c r="BPH33" s="98"/>
      <c r="BPI33" s="98"/>
      <c r="BPJ33" s="98"/>
      <c r="BPK33" s="98"/>
      <c r="BPL33" s="98"/>
      <c r="BPM33" s="98"/>
      <c r="BPN33" s="98"/>
      <c r="BPO33" s="98"/>
      <c r="BPP33" s="98"/>
      <c r="BPQ33" s="98"/>
      <c r="BPR33" s="98"/>
      <c r="BPS33" s="98"/>
      <c r="BPT33" s="98"/>
      <c r="BPU33" s="98"/>
      <c r="BPV33" s="98"/>
      <c r="BPW33" s="98"/>
      <c r="BPX33" s="98"/>
      <c r="BPY33" s="98"/>
      <c r="BPZ33" s="98"/>
      <c r="BQA33" s="98"/>
      <c r="BQB33" s="98"/>
      <c r="BQC33" s="98"/>
      <c r="BQD33" s="98"/>
      <c r="BQE33" s="98"/>
      <c r="BQF33" s="98"/>
      <c r="BQG33" s="98"/>
      <c r="BQH33" s="98"/>
      <c r="BQI33" s="98"/>
      <c r="BQJ33" s="98"/>
      <c r="BQK33" s="98"/>
      <c r="BQL33" s="98"/>
      <c r="BQM33" s="98"/>
      <c r="BQN33" s="98"/>
      <c r="BQO33" s="98"/>
      <c r="BQP33" s="98"/>
      <c r="BQQ33" s="98"/>
      <c r="BQR33" s="98"/>
      <c r="BQS33" s="98"/>
      <c r="BQT33" s="98"/>
      <c r="BQU33" s="98"/>
      <c r="BQV33" s="98"/>
      <c r="BQW33" s="98"/>
      <c r="BQX33" s="98"/>
      <c r="BQY33" s="98"/>
      <c r="BQZ33" s="98"/>
      <c r="BRA33" s="98"/>
      <c r="BRB33" s="98"/>
      <c r="BRC33" s="98"/>
      <c r="BRD33" s="98"/>
      <c r="BRE33" s="98"/>
      <c r="BRF33" s="98"/>
      <c r="BRG33" s="98"/>
      <c r="BRH33" s="98"/>
      <c r="BRI33" s="98"/>
      <c r="BRJ33" s="98"/>
      <c r="BRK33" s="98"/>
      <c r="BRL33" s="98"/>
      <c r="BRM33" s="98"/>
      <c r="BRN33" s="98"/>
      <c r="BRO33" s="98"/>
      <c r="BRP33" s="98"/>
      <c r="BRQ33" s="98"/>
      <c r="BRR33" s="98"/>
      <c r="BRS33" s="98"/>
      <c r="BRT33" s="98"/>
      <c r="BRU33" s="98"/>
      <c r="BRV33" s="98"/>
      <c r="BRW33" s="98"/>
      <c r="BRX33" s="98"/>
      <c r="BRY33" s="98"/>
      <c r="BRZ33" s="98"/>
      <c r="BSA33" s="98"/>
      <c r="BSB33" s="98"/>
      <c r="BSC33" s="98"/>
      <c r="BSD33" s="98"/>
      <c r="BSE33" s="98"/>
      <c r="BSF33" s="98"/>
      <c r="BSG33" s="98"/>
      <c r="BSH33" s="98"/>
      <c r="BSI33" s="98"/>
      <c r="BSJ33" s="98"/>
      <c r="BSK33" s="98"/>
      <c r="BSL33" s="98"/>
      <c r="BSM33" s="98"/>
      <c r="BSN33" s="98"/>
      <c r="BSO33" s="98"/>
      <c r="BSP33" s="98"/>
      <c r="BSQ33" s="98"/>
      <c r="BSR33" s="98"/>
      <c r="BSS33" s="98"/>
      <c r="BST33" s="98"/>
      <c r="BSU33" s="98"/>
      <c r="BSV33" s="98"/>
      <c r="BSW33" s="98"/>
      <c r="BSX33" s="98"/>
      <c r="BSY33" s="98"/>
      <c r="BSZ33" s="98"/>
      <c r="BTA33" s="98"/>
      <c r="BTB33" s="98"/>
      <c r="BTC33" s="98"/>
      <c r="BTD33" s="98"/>
      <c r="BTE33" s="98"/>
      <c r="BTF33" s="98"/>
      <c r="BTG33" s="98"/>
      <c r="BTH33" s="98"/>
      <c r="BTI33" s="98"/>
      <c r="BTJ33" s="98"/>
      <c r="BTK33" s="98"/>
      <c r="BTL33" s="98"/>
      <c r="BTM33" s="98"/>
      <c r="BTN33" s="98"/>
      <c r="BTO33" s="98"/>
      <c r="BTP33" s="98"/>
      <c r="BTQ33" s="98"/>
      <c r="BTR33" s="98"/>
      <c r="BTS33" s="98"/>
      <c r="BTT33" s="98"/>
      <c r="BTU33" s="98"/>
      <c r="BTV33" s="98"/>
      <c r="BTW33" s="98"/>
      <c r="BTX33" s="98"/>
      <c r="BTY33" s="98"/>
      <c r="BTZ33" s="98"/>
      <c r="BUA33" s="98"/>
      <c r="BUB33" s="98"/>
      <c r="BUC33" s="98"/>
      <c r="BUD33" s="98"/>
      <c r="BUE33" s="98"/>
      <c r="BUF33" s="98"/>
      <c r="BUG33" s="98"/>
      <c r="BUH33" s="98"/>
      <c r="BUI33" s="98"/>
      <c r="BUJ33" s="98"/>
      <c r="BUK33" s="98"/>
      <c r="BUL33" s="98"/>
      <c r="BUM33" s="98"/>
      <c r="BUN33" s="98"/>
      <c r="BUO33" s="98"/>
      <c r="BUP33" s="98"/>
      <c r="BUQ33" s="98"/>
      <c r="BUR33" s="98"/>
      <c r="BUS33" s="98"/>
      <c r="BUT33" s="98"/>
      <c r="BUU33" s="98"/>
      <c r="BUV33" s="98"/>
      <c r="BUW33" s="98"/>
      <c r="BUX33" s="98"/>
      <c r="BUY33" s="98"/>
      <c r="BUZ33" s="98"/>
      <c r="BVA33" s="98"/>
      <c r="BVB33" s="98"/>
      <c r="BVC33" s="98"/>
      <c r="BVD33" s="98"/>
      <c r="BVE33" s="98"/>
      <c r="BVF33" s="98"/>
      <c r="BVG33" s="98"/>
      <c r="BVH33" s="98"/>
      <c r="BVI33" s="98"/>
      <c r="BVJ33" s="98"/>
      <c r="BVK33" s="98"/>
      <c r="BVL33" s="98"/>
      <c r="BVM33" s="98"/>
      <c r="BVN33" s="98"/>
      <c r="BVO33" s="98"/>
      <c r="BVP33" s="98"/>
      <c r="BVQ33" s="98"/>
      <c r="BVR33" s="98"/>
      <c r="BVS33" s="98"/>
      <c r="BVT33" s="98"/>
      <c r="BVU33" s="98"/>
      <c r="BVV33" s="98"/>
      <c r="BVW33" s="98"/>
      <c r="BVX33" s="98"/>
      <c r="BVY33" s="98"/>
      <c r="BVZ33" s="98"/>
      <c r="BWA33" s="98"/>
      <c r="BWB33" s="98"/>
      <c r="BWC33" s="98"/>
      <c r="BWD33" s="98"/>
      <c r="BWE33" s="98"/>
      <c r="BWF33" s="98"/>
      <c r="BWG33" s="98"/>
      <c r="BWH33" s="98"/>
      <c r="BWI33" s="98"/>
      <c r="BWJ33" s="98"/>
      <c r="BWK33" s="98"/>
      <c r="BWL33" s="98"/>
      <c r="BWM33" s="98"/>
      <c r="BWN33" s="98"/>
      <c r="BWO33" s="98"/>
      <c r="BWP33" s="98"/>
      <c r="BWQ33" s="98"/>
      <c r="BWR33" s="98"/>
      <c r="BWS33" s="98"/>
      <c r="BWT33" s="98"/>
      <c r="BWU33" s="98"/>
      <c r="BWV33" s="98"/>
      <c r="BWW33" s="98"/>
      <c r="BWX33" s="98"/>
      <c r="BWY33" s="98"/>
      <c r="BWZ33" s="98"/>
      <c r="BXA33" s="98"/>
      <c r="BXB33" s="98"/>
      <c r="BXC33" s="98"/>
      <c r="BXD33" s="98"/>
      <c r="BXE33" s="98"/>
      <c r="BXF33" s="98"/>
      <c r="BXG33" s="98"/>
      <c r="BXH33" s="98"/>
      <c r="BXI33" s="98"/>
      <c r="BXJ33" s="98"/>
      <c r="BXK33" s="98"/>
      <c r="BXL33" s="98"/>
      <c r="BXM33" s="98"/>
      <c r="BXN33" s="98"/>
      <c r="BXO33" s="98"/>
      <c r="BXP33" s="98"/>
      <c r="BXQ33" s="98"/>
      <c r="BXR33" s="98"/>
      <c r="BXS33" s="98"/>
      <c r="BXT33" s="98"/>
      <c r="BXU33" s="98"/>
      <c r="BXV33" s="98"/>
      <c r="BXW33" s="98"/>
      <c r="BXX33" s="98"/>
      <c r="BXY33" s="98"/>
      <c r="BXZ33" s="98"/>
      <c r="BYA33" s="98"/>
      <c r="BYB33" s="98"/>
      <c r="BYC33" s="98"/>
      <c r="BYD33" s="98"/>
      <c r="BYE33" s="98"/>
      <c r="BYF33" s="98"/>
      <c r="BYG33" s="98"/>
      <c r="BYH33" s="98"/>
      <c r="BYI33" s="98"/>
      <c r="BYJ33" s="98"/>
      <c r="BYK33" s="98"/>
      <c r="BYL33" s="98"/>
      <c r="BYM33" s="98"/>
      <c r="BYN33" s="98"/>
      <c r="BYO33" s="98"/>
      <c r="BYP33" s="98"/>
      <c r="BYQ33" s="98"/>
      <c r="BYR33" s="98"/>
      <c r="BYS33" s="98"/>
      <c r="BYT33" s="98"/>
      <c r="BYU33" s="98"/>
      <c r="BYV33" s="98"/>
      <c r="BYW33" s="98"/>
      <c r="BYX33" s="98"/>
      <c r="BYY33" s="98"/>
      <c r="BYZ33" s="98"/>
      <c r="BZA33" s="98"/>
      <c r="BZB33" s="98"/>
      <c r="BZC33" s="98"/>
      <c r="BZD33" s="98"/>
      <c r="BZE33" s="98"/>
      <c r="BZF33" s="98"/>
      <c r="BZG33" s="98"/>
      <c r="BZH33" s="98"/>
      <c r="BZI33" s="98"/>
      <c r="BZJ33" s="98"/>
      <c r="BZK33" s="98"/>
      <c r="BZL33" s="98"/>
      <c r="BZM33" s="98"/>
      <c r="BZN33" s="98"/>
      <c r="BZO33" s="98"/>
      <c r="BZP33" s="98"/>
      <c r="BZQ33" s="98"/>
      <c r="BZR33" s="98"/>
      <c r="BZS33" s="98"/>
      <c r="BZT33" s="98"/>
      <c r="BZU33" s="98"/>
      <c r="BZV33" s="98"/>
      <c r="BZW33" s="98"/>
      <c r="BZX33" s="98"/>
      <c r="BZY33" s="98"/>
      <c r="BZZ33" s="98"/>
      <c r="CAA33" s="98"/>
      <c r="CAB33" s="98"/>
      <c r="CAC33" s="98"/>
      <c r="CAD33" s="98"/>
      <c r="CAE33" s="98"/>
      <c r="CAF33" s="98"/>
      <c r="CAG33" s="98"/>
      <c r="CAH33" s="98"/>
      <c r="CAI33" s="98"/>
      <c r="CAJ33" s="98"/>
      <c r="CAK33" s="98"/>
      <c r="CAL33" s="98"/>
      <c r="CAM33" s="98"/>
      <c r="CAN33" s="98"/>
      <c r="CAO33" s="98"/>
      <c r="CAP33" s="98"/>
      <c r="CAQ33" s="98"/>
      <c r="CAR33" s="98"/>
      <c r="CAS33" s="98"/>
      <c r="CAT33" s="98"/>
      <c r="CAU33" s="98"/>
      <c r="CAV33" s="98"/>
      <c r="CAW33" s="98"/>
      <c r="CAX33" s="98"/>
      <c r="CAY33" s="98"/>
      <c r="CAZ33" s="98"/>
      <c r="CBA33" s="98"/>
      <c r="CBB33" s="98"/>
      <c r="CBC33" s="98"/>
      <c r="CBD33" s="98"/>
      <c r="CBE33" s="98"/>
      <c r="CBF33" s="98"/>
      <c r="CBG33" s="98"/>
      <c r="CBH33" s="98"/>
      <c r="CBI33" s="98"/>
      <c r="CBJ33" s="98"/>
      <c r="CBK33" s="98"/>
      <c r="CBL33" s="98"/>
      <c r="CBM33" s="98"/>
      <c r="CBN33" s="98"/>
      <c r="CBO33" s="98"/>
      <c r="CBP33" s="98"/>
      <c r="CBQ33" s="98"/>
      <c r="CBR33" s="98"/>
      <c r="CBS33" s="98"/>
      <c r="CBT33" s="98"/>
      <c r="CBU33" s="98"/>
      <c r="CBV33" s="98"/>
      <c r="CBW33" s="98"/>
      <c r="CBX33" s="98"/>
      <c r="CBY33" s="98"/>
      <c r="CBZ33" s="98"/>
      <c r="CCA33" s="98"/>
      <c r="CCB33" s="98"/>
      <c r="CCC33" s="98"/>
      <c r="CCD33" s="98"/>
      <c r="CCE33" s="98"/>
      <c r="CCF33" s="98"/>
      <c r="CCG33" s="98"/>
      <c r="CCH33" s="98"/>
      <c r="CCI33" s="98"/>
      <c r="CCJ33" s="98"/>
      <c r="CCK33" s="98"/>
      <c r="CCL33" s="98"/>
      <c r="CCM33" s="98"/>
      <c r="CCN33" s="98"/>
      <c r="CCO33" s="98"/>
      <c r="CCP33" s="98"/>
      <c r="CCQ33" s="98"/>
      <c r="CCR33" s="98"/>
      <c r="CCS33" s="98"/>
      <c r="CCT33" s="98"/>
      <c r="CCU33" s="98"/>
      <c r="CCV33" s="98"/>
      <c r="CCW33" s="98"/>
      <c r="CCX33" s="98"/>
      <c r="CCY33" s="98"/>
      <c r="CCZ33" s="98"/>
      <c r="CDA33" s="98"/>
      <c r="CDB33" s="98"/>
      <c r="CDC33" s="98"/>
      <c r="CDD33" s="98"/>
      <c r="CDE33" s="98"/>
      <c r="CDF33" s="98"/>
      <c r="CDG33" s="98"/>
      <c r="CDH33" s="98"/>
      <c r="CDI33" s="98"/>
      <c r="CDJ33" s="98"/>
      <c r="CDK33" s="98"/>
      <c r="CDL33" s="98"/>
      <c r="CDM33" s="98"/>
      <c r="CDN33" s="98"/>
      <c r="CDO33" s="98"/>
      <c r="CDP33" s="98"/>
      <c r="CDQ33" s="98"/>
      <c r="CDR33" s="98"/>
      <c r="CDS33" s="98"/>
      <c r="CDT33" s="98"/>
      <c r="CDU33" s="98"/>
      <c r="CDV33" s="98"/>
      <c r="CDW33" s="98"/>
      <c r="CDX33" s="98"/>
      <c r="CDY33" s="98"/>
      <c r="CDZ33" s="98"/>
      <c r="CEA33" s="98"/>
      <c r="CEB33" s="98"/>
      <c r="CEC33" s="98"/>
      <c r="CED33" s="98"/>
      <c r="CEE33" s="98"/>
      <c r="CEF33" s="98"/>
      <c r="CEG33" s="98"/>
      <c r="CEH33" s="98"/>
      <c r="CEI33" s="98"/>
      <c r="CEJ33" s="98"/>
      <c r="CEK33" s="98"/>
      <c r="CEL33" s="98"/>
      <c r="CEM33" s="98"/>
      <c r="CEN33" s="98"/>
      <c r="CEO33" s="98"/>
      <c r="CEP33" s="98"/>
      <c r="CEQ33" s="98"/>
      <c r="CER33" s="98"/>
      <c r="CES33" s="98"/>
      <c r="CET33" s="98"/>
      <c r="CEU33" s="98"/>
      <c r="CEV33" s="98"/>
      <c r="CEW33" s="98"/>
      <c r="CEX33" s="98"/>
      <c r="CEY33" s="98"/>
      <c r="CEZ33" s="98"/>
      <c r="CFA33" s="98"/>
      <c r="CFB33" s="98"/>
      <c r="CFC33" s="98"/>
      <c r="CFD33" s="98"/>
      <c r="CFE33" s="98"/>
      <c r="CFF33" s="98"/>
      <c r="CFG33" s="98"/>
      <c r="CFH33" s="98"/>
      <c r="CFI33" s="98"/>
      <c r="CFJ33" s="98"/>
      <c r="CFK33" s="98"/>
      <c r="CFL33" s="98"/>
      <c r="CFM33" s="98"/>
      <c r="CFN33" s="98"/>
      <c r="CFO33" s="98"/>
      <c r="CFP33" s="98"/>
      <c r="CFQ33" s="98"/>
      <c r="CFR33" s="98"/>
      <c r="CFS33" s="98"/>
      <c r="CFT33" s="98"/>
      <c r="CFU33" s="98"/>
      <c r="CFV33" s="98"/>
      <c r="CFW33" s="98"/>
      <c r="CFX33" s="98"/>
      <c r="CFY33" s="98"/>
      <c r="CFZ33" s="98"/>
      <c r="CGA33" s="98"/>
      <c r="CGB33" s="98"/>
      <c r="CGC33" s="98"/>
      <c r="CGD33" s="98"/>
      <c r="CGE33" s="98"/>
      <c r="CGF33" s="98"/>
      <c r="CGG33" s="98"/>
      <c r="CGH33" s="98"/>
      <c r="CGI33" s="98"/>
      <c r="CGJ33" s="98"/>
      <c r="CGK33" s="98"/>
      <c r="CGL33" s="98"/>
      <c r="CGM33" s="98"/>
      <c r="CGN33" s="98"/>
      <c r="CGO33" s="98"/>
      <c r="CGP33" s="98"/>
      <c r="CGQ33" s="98"/>
      <c r="CGR33" s="98"/>
      <c r="CGS33" s="98"/>
      <c r="CGT33" s="98"/>
      <c r="CGU33" s="98"/>
      <c r="CGV33" s="98"/>
      <c r="CGW33" s="98"/>
      <c r="CGX33" s="98"/>
      <c r="CGY33" s="98"/>
      <c r="CGZ33" s="98"/>
      <c r="CHA33" s="98"/>
      <c r="CHB33" s="98"/>
      <c r="CHC33" s="98"/>
      <c r="CHD33" s="98"/>
      <c r="CHE33" s="98"/>
      <c r="CHF33" s="98"/>
      <c r="CHG33" s="98"/>
      <c r="CHH33" s="98"/>
      <c r="CHI33" s="98"/>
      <c r="CHJ33" s="98"/>
      <c r="CHK33" s="98"/>
      <c r="CHL33" s="98"/>
      <c r="CHM33" s="98"/>
      <c r="CHN33" s="98"/>
      <c r="CHO33" s="98"/>
      <c r="CHP33" s="98"/>
      <c r="CHQ33" s="98"/>
      <c r="CHR33" s="98"/>
      <c r="CHS33" s="98"/>
      <c r="CHT33" s="98"/>
      <c r="CHU33" s="98"/>
      <c r="CHV33" s="98"/>
      <c r="CHW33" s="98"/>
      <c r="CHX33" s="98"/>
      <c r="CHY33" s="98"/>
      <c r="CHZ33" s="98"/>
      <c r="CIA33" s="98"/>
      <c r="CIB33" s="98"/>
      <c r="CIC33" s="98"/>
      <c r="CID33" s="98"/>
      <c r="CIE33" s="98"/>
      <c r="CIF33" s="98"/>
      <c r="CIG33" s="98"/>
      <c r="CIH33" s="98"/>
      <c r="CII33" s="98"/>
      <c r="CIJ33" s="98"/>
      <c r="CIK33" s="98"/>
      <c r="CIL33" s="98"/>
      <c r="CIM33" s="98"/>
      <c r="CIN33" s="98"/>
      <c r="CIO33" s="98"/>
      <c r="CIP33" s="98"/>
      <c r="CIQ33" s="98"/>
      <c r="CIR33" s="98"/>
      <c r="CIS33" s="98"/>
      <c r="CIT33" s="98"/>
      <c r="CIU33" s="98"/>
      <c r="CIV33" s="98"/>
      <c r="CIW33" s="98"/>
      <c r="CIX33" s="98"/>
      <c r="CIY33" s="98"/>
      <c r="CIZ33" s="98"/>
      <c r="CJA33" s="98"/>
      <c r="CJB33" s="98"/>
      <c r="CJC33" s="98"/>
      <c r="CJD33" s="98"/>
      <c r="CJE33" s="98"/>
      <c r="CJF33" s="98"/>
      <c r="CJG33" s="98"/>
      <c r="CJH33" s="98"/>
      <c r="CJI33" s="98"/>
      <c r="CJJ33" s="98"/>
      <c r="CJK33" s="98"/>
      <c r="CJL33" s="98"/>
      <c r="CJM33" s="98"/>
      <c r="CJN33" s="98"/>
      <c r="CJO33" s="98"/>
      <c r="CJP33" s="98"/>
      <c r="CJQ33" s="98"/>
      <c r="CJR33" s="98"/>
      <c r="CJS33" s="98"/>
      <c r="CJT33" s="98"/>
      <c r="CJU33" s="98"/>
      <c r="CJV33" s="98"/>
      <c r="CJW33" s="98"/>
      <c r="CJX33" s="98"/>
      <c r="CJY33" s="98"/>
      <c r="CJZ33" s="98"/>
      <c r="CKA33" s="98"/>
      <c r="CKB33" s="98"/>
      <c r="CKC33" s="98"/>
      <c r="CKD33" s="98"/>
      <c r="CKE33" s="98"/>
      <c r="CKF33" s="98"/>
      <c r="CKG33" s="98"/>
      <c r="CKH33" s="98"/>
      <c r="CKI33" s="98"/>
      <c r="CKJ33" s="98"/>
      <c r="CKK33" s="98"/>
      <c r="CKL33" s="98"/>
      <c r="CKM33" s="98"/>
      <c r="CKN33" s="98"/>
      <c r="CKO33" s="98"/>
      <c r="CKP33" s="98"/>
      <c r="CKQ33" s="98"/>
      <c r="CKR33" s="98"/>
      <c r="CKS33" s="98"/>
      <c r="CKT33" s="98"/>
      <c r="CKU33" s="98"/>
      <c r="CKV33" s="98"/>
      <c r="CKW33" s="98"/>
      <c r="CKX33" s="98"/>
      <c r="CKY33" s="98"/>
      <c r="CKZ33" s="98"/>
      <c r="CLA33" s="98"/>
      <c r="CLB33" s="98"/>
      <c r="CLC33" s="98"/>
      <c r="CLD33" s="98"/>
      <c r="CLE33" s="98"/>
      <c r="CLF33" s="98"/>
      <c r="CLG33" s="98"/>
      <c r="CLH33" s="98"/>
      <c r="CLI33" s="98"/>
      <c r="CLJ33" s="98"/>
      <c r="CLK33" s="98"/>
      <c r="CLL33" s="98"/>
      <c r="CLM33" s="98"/>
      <c r="CLN33" s="98"/>
      <c r="CLO33" s="98"/>
      <c r="CLP33" s="98"/>
      <c r="CLQ33" s="98"/>
      <c r="CLR33" s="98"/>
      <c r="CLS33" s="98"/>
      <c r="CLT33" s="98"/>
      <c r="CLU33" s="98"/>
      <c r="CLV33" s="98"/>
      <c r="CLW33" s="98"/>
      <c r="CLX33" s="98"/>
      <c r="CLY33" s="98"/>
      <c r="CLZ33" s="98"/>
      <c r="CMA33" s="98"/>
      <c r="CMB33" s="98"/>
      <c r="CMC33" s="98"/>
      <c r="CMD33" s="98"/>
      <c r="CME33" s="98"/>
      <c r="CMF33" s="98"/>
      <c r="CMG33" s="98"/>
      <c r="CMH33" s="98"/>
      <c r="CMI33" s="98"/>
      <c r="CMJ33" s="98"/>
      <c r="CMK33" s="98"/>
      <c r="CML33" s="98"/>
      <c r="CMM33" s="98"/>
      <c r="CMN33" s="98"/>
      <c r="CMO33" s="98"/>
      <c r="CMP33" s="98"/>
      <c r="CMQ33" s="98"/>
      <c r="CMR33" s="98"/>
      <c r="CMS33" s="98"/>
      <c r="CMT33" s="98"/>
      <c r="CMU33" s="98"/>
      <c r="CMV33" s="98"/>
      <c r="CMW33" s="98"/>
      <c r="CMX33" s="98"/>
      <c r="CMY33" s="98"/>
      <c r="CMZ33" s="98"/>
      <c r="CNA33" s="98"/>
      <c r="CNB33" s="98"/>
      <c r="CNC33" s="98"/>
      <c r="CND33" s="98"/>
      <c r="CNE33" s="98"/>
      <c r="CNF33" s="98"/>
      <c r="CNG33" s="98"/>
      <c r="CNH33" s="98"/>
      <c r="CNI33" s="98"/>
      <c r="CNJ33" s="98"/>
      <c r="CNK33" s="98"/>
      <c r="CNL33" s="98"/>
      <c r="CNM33" s="98"/>
      <c r="CNN33" s="98"/>
      <c r="CNO33" s="98"/>
      <c r="CNP33" s="98"/>
      <c r="CNQ33" s="98"/>
      <c r="CNR33" s="98"/>
      <c r="CNS33" s="98"/>
      <c r="CNT33" s="98"/>
      <c r="CNU33" s="98"/>
      <c r="CNV33" s="98"/>
      <c r="CNW33" s="98"/>
      <c r="CNX33" s="98"/>
      <c r="CNY33" s="98"/>
      <c r="CNZ33" s="98"/>
      <c r="COA33" s="98"/>
      <c r="COB33" s="98"/>
      <c r="COC33" s="98"/>
      <c r="COD33" s="98"/>
      <c r="COE33" s="98"/>
      <c r="COF33" s="98"/>
      <c r="COG33" s="98"/>
      <c r="COH33" s="98"/>
      <c r="COI33" s="98"/>
      <c r="COJ33" s="98"/>
      <c r="COK33" s="98"/>
      <c r="COL33" s="98"/>
      <c r="COM33" s="98"/>
      <c r="CON33" s="98"/>
      <c r="COO33" s="98"/>
      <c r="COP33" s="98"/>
      <c r="COQ33" s="98"/>
      <c r="COR33" s="98"/>
      <c r="COS33" s="98"/>
      <c r="COT33" s="98"/>
      <c r="COU33" s="98"/>
      <c r="COV33" s="98"/>
      <c r="COW33" s="98"/>
      <c r="COX33" s="98"/>
      <c r="COY33" s="98"/>
      <c r="COZ33" s="98"/>
      <c r="CPA33" s="98"/>
      <c r="CPB33" s="98"/>
      <c r="CPC33" s="98"/>
      <c r="CPD33" s="98"/>
      <c r="CPE33" s="98"/>
      <c r="CPF33" s="98"/>
      <c r="CPG33" s="98"/>
      <c r="CPH33" s="98"/>
      <c r="CPI33" s="98"/>
      <c r="CPJ33" s="98"/>
      <c r="CPK33" s="98"/>
      <c r="CPL33" s="98"/>
      <c r="CPM33" s="98"/>
      <c r="CPN33" s="98"/>
      <c r="CPO33" s="98"/>
      <c r="CPP33" s="98"/>
      <c r="CPQ33" s="98"/>
      <c r="CPR33" s="98"/>
      <c r="CPS33" s="98"/>
      <c r="CPT33" s="98"/>
      <c r="CPU33" s="98"/>
      <c r="CPV33" s="98"/>
      <c r="CPW33" s="98"/>
      <c r="CPX33" s="98"/>
      <c r="CPY33" s="98"/>
      <c r="CPZ33" s="98"/>
      <c r="CQA33" s="98"/>
      <c r="CQB33" s="98"/>
      <c r="CQC33" s="98"/>
      <c r="CQD33" s="98"/>
      <c r="CQE33" s="98"/>
      <c r="CQF33" s="98"/>
      <c r="CQG33" s="98"/>
      <c r="CQH33" s="98"/>
      <c r="CQI33" s="98"/>
      <c r="CQJ33" s="98"/>
      <c r="CQK33" s="98"/>
      <c r="CQL33" s="98"/>
      <c r="CQM33" s="98"/>
      <c r="CQN33" s="98"/>
      <c r="CQO33" s="98"/>
      <c r="CQP33" s="98"/>
      <c r="CQQ33" s="98"/>
      <c r="CQR33" s="98"/>
      <c r="CQS33" s="98"/>
      <c r="CQT33" s="98"/>
      <c r="CQU33" s="98"/>
      <c r="CQV33" s="98"/>
      <c r="CQW33" s="98"/>
      <c r="CQX33" s="98"/>
      <c r="CQY33" s="98"/>
      <c r="CQZ33" s="98"/>
      <c r="CRA33" s="98"/>
      <c r="CRB33" s="98"/>
      <c r="CRC33" s="98"/>
      <c r="CRD33" s="98"/>
      <c r="CRE33" s="98"/>
      <c r="CRF33" s="98"/>
      <c r="CRG33" s="98"/>
      <c r="CRH33" s="98"/>
      <c r="CRI33" s="98"/>
      <c r="CRJ33" s="98"/>
      <c r="CRK33" s="98"/>
      <c r="CRL33" s="98"/>
      <c r="CRM33" s="98"/>
      <c r="CRN33" s="98"/>
      <c r="CRO33" s="98"/>
      <c r="CRP33" s="98"/>
      <c r="CRQ33" s="98"/>
      <c r="CRR33" s="98"/>
      <c r="CRS33" s="98"/>
      <c r="CRT33" s="98"/>
      <c r="CRU33" s="98"/>
      <c r="CRV33" s="98"/>
      <c r="CRW33" s="98"/>
      <c r="CRX33" s="98"/>
      <c r="CRY33" s="98"/>
      <c r="CRZ33" s="98"/>
      <c r="CSA33" s="98"/>
      <c r="CSB33" s="98"/>
      <c r="CSC33" s="98"/>
      <c r="CSD33" s="98"/>
      <c r="CSE33" s="98"/>
      <c r="CSF33" s="98"/>
      <c r="CSG33" s="98"/>
      <c r="CSH33" s="98"/>
      <c r="CSI33" s="98"/>
      <c r="CSJ33" s="98"/>
      <c r="CSK33" s="98"/>
      <c r="CSL33" s="98"/>
      <c r="CSM33" s="98"/>
      <c r="CSN33" s="98"/>
      <c r="CSO33" s="98"/>
      <c r="CSP33" s="98"/>
      <c r="CSQ33" s="98"/>
      <c r="CSR33" s="98"/>
      <c r="CSS33" s="98"/>
      <c r="CST33" s="98"/>
      <c r="CSU33" s="98"/>
      <c r="CSV33" s="98"/>
      <c r="CSW33" s="98"/>
      <c r="CSX33" s="98"/>
      <c r="CSY33" s="98"/>
      <c r="CSZ33" s="98"/>
      <c r="CTA33" s="98"/>
      <c r="CTB33" s="98"/>
      <c r="CTC33" s="98"/>
      <c r="CTD33" s="98"/>
      <c r="CTE33" s="98"/>
      <c r="CTF33" s="98"/>
      <c r="CTG33" s="98"/>
      <c r="CTH33" s="98"/>
      <c r="CTI33" s="98"/>
      <c r="CTJ33" s="98"/>
      <c r="CTK33" s="98"/>
      <c r="CTL33" s="98"/>
      <c r="CTM33" s="98"/>
      <c r="CTN33" s="98"/>
      <c r="CTO33" s="98"/>
      <c r="CTP33" s="98"/>
      <c r="CTQ33" s="98"/>
      <c r="CTR33" s="98"/>
      <c r="CTS33" s="98"/>
      <c r="CTT33" s="98"/>
      <c r="CTU33" s="98"/>
      <c r="CTV33" s="98"/>
      <c r="CTW33" s="98"/>
      <c r="CTX33" s="98"/>
      <c r="CTY33" s="98"/>
      <c r="CTZ33" s="98"/>
      <c r="CUA33" s="98"/>
      <c r="CUB33" s="98"/>
      <c r="CUC33" s="98"/>
      <c r="CUD33" s="98"/>
      <c r="CUE33" s="98"/>
      <c r="CUF33" s="98"/>
      <c r="CUG33" s="98"/>
      <c r="CUH33" s="98"/>
      <c r="CUI33" s="98"/>
      <c r="CUJ33" s="98"/>
      <c r="CUK33" s="98"/>
      <c r="CUL33" s="98"/>
      <c r="CUM33" s="98"/>
      <c r="CUN33" s="98"/>
      <c r="CUO33" s="98"/>
      <c r="CUP33" s="98"/>
      <c r="CUQ33" s="98"/>
      <c r="CUR33" s="98"/>
      <c r="CUS33" s="98"/>
      <c r="CUT33" s="98"/>
      <c r="CUU33" s="98"/>
      <c r="CUV33" s="98"/>
      <c r="CUW33" s="98"/>
      <c r="CUX33" s="98"/>
      <c r="CUY33" s="98"/>
      <c r="CUZ33" s="98"/>
      <c r="CVA33" s="98"/>
      <c r="CVB33" s="98"/>
      <c r="CVC33" s="98"/>
      <c r="CVD33" s="98"/>
      <c r="CVE33" s="98"/>
      <c r="CVF33" s="98"/>
      <c r="CVG33" s="98"/>
      <c r="CVH33" s="98"/>
      <c r="CVI33" s="98"/>
      <c r="CVJ33" s="98"/>
      <c r="CVK33" s="98"/>
      <c r="CVL33" s="98"/>
      <c r="CVM33" s="98"/>
      <c r="CVN33" s="98"/>
      <c r="CVO33" s="98"/>
      <c r="CVP33" s="98"/>
      <c r="CVQ33" s="98"/>
      <c r="CVR33" s="98"/>
      <c r="CVS33" s="98"/>
      <c r="CVT33" s="98"/>
      <c r="CVU33" s="98"/>
      <c r="CVV33" s="98"/>
      <c r="CVW33" s="98"/>
      <c r="CVX33" s="98"/>
      <c r="CVY33" s="98"/>
      <c r="CVZ33" s="98"/>
      <c r="CWA33" s="98"/>
      <c r="CWB33" s="98"/>
      <c r="CWC33" s="98"/>
      <c r="CWD33" s="98"/>
      <c r="CWE33" s="98"/>
      <c r="CWF33" s="98"/>
      <c r="CWG33" s="98"/>
      <c r="CWH33" s="98"/>
      <c r="CWI33" s="98"/>
      <c r="CWJ33" s="98"/>
      <c r="CWK33" s="98"/>
      <c r="CWL33" s="98"/>
      <c r="CWM33" s="98"/>
      <c r="CWN33" s="98"/>
      <c r="CWO33" s="98"/>
      <c r="CWP33" s="98"/>
      <c r="CWQ33" s="98"/>
      <c r="CWR33" s="98"/>
      <c r="CWS33" s="98"/>
      <c r="CWT33" s="98"/>
      <c r="CWU33" s="98"/>
      <c r="CWV33" s="98"/>
      <c r="CWW33" s="98"/>
      <c r="CWX33" s="98"/>
      <c r="CWY33" s="98"/>
      <c r="CWZ33" s="98"/>
      <c r="CXA33" s="98"/>
      <c r="CXB33" s="98"/>
      <c r="CXC33" s="98"/>
      <c r="CXD33" s="98"/>
      <c r="CXE33" s="98"/>
      <c r="CXF33" s="98"/>
      <c r="CXG33" s="98"/>
      <c r="CXH33" s="98"/>
      <c r="CXI33" s="98"/>
      <c r="CXJ33" s="98"/>
      <c r="CXK33" s="98"/>
      <c r="CXL33" s="98"/>
      <c r="CXM33" s="98"/>
      <c r="CXN33" s="98"/>
      <c r="CXO33" s="98"/>
      <c r="CXP33" s="98"/>
      <c r="CXQ33" s="98"/>
      <c r="CXR33" s="98"/>
      <c r="CXS33" s="98"/>
      <c r="CXT33" s="98"/>
      <c r="CXU33" s="98"/>
      <c r="CXV33" s="98"/>
      <c r="CXW33" s="98"/>
      <c r="CXX33" s="98"/>
      <c r="CXY33" s="98"/>
      <c r="CXZ33" s="98"/>
      <c r="CYA33" s="98"/>
      <c r="CYB33" s="98"/>
      <c r="CYC33" s="98"/>
      <c r="CYD33" s="98"/>
      <c r="CYE33" s="98"/>
      <c r="CYF33" s="98"/>
      <c r="CYG33" s="98"/>
      <c r="CYH33" s="98"/>
      <c r="CYI33" s="98"/>
      <c r="CYJ33" s="98"/>
      <c r="CYK33" s="98"/>
      <c r="CYL33" s="98"/>
      <c r="CYM33" s="98"/>
      <c r="CYN33" s="98"/>
      <c r="CYO33" s="98"/>
      <c r="CYP33" s="98"/>
      <c r="CYQ33" s="98"/>
      <c r="CYR33" s="98"/>
      <c r="CYS33" s="98"/>
      <c r="CYT33" s="98"/>
      <c r="CYU33" s="98"/>
      <c r="CYV33" s="98"/>
      <c r="CYW33" s="98"/>
      <c r="CYX33" s="98"/>
      <c r="CYY33" s="98"/>
      <c r="CYZ33" s="98"/>
      <c r="CZA33" s="98"/>
      <c r="CZB33" s="98"/>
      <c r="CZC33" s="98"/>
      <c r="CZD33" s="98"/>
      <c r="CZE33" s="98"/>
      <c r="CZF33" s="98"/>
      <c r="CZG33" s="98"/>
      <c r="CZH33" s="98"/>
      <c r="CZI33" s="98"/>
      <c r="CZJ33" s="98"/>
      <c r="CZK33" s="98"/>
      <c r="CZL33" s="98"/>
      <c r="CZM33" s="98"/>
      <c r="CZN33" s="98"/>
      <c r="CZO33" s="98"/>
      <c r="CZP33" s="98"/>
      <c r="CZQ33" s="98"/>
      <c r="CZR33" s="98"/>
      <c r="CZS33" s="98"/>
      <c r="CZT33" s="98"/>
      <c r="CZU33" s="98"/>
      <c r="CZV33" s="98"/>
      <c r="CZW33" s="98"/>
      <c r="CZX33" s="98"/>
      <c r="CZY33" s="98"/>
      <c r="CZZ33" s="98"/>
      <c r="DAA33" s="98"/>
      <c r="DAB33" s="98"/>
      <c r="DAC33" s="98"/>
      <c r="DAD33" s="98"/>
      <c r="DAE33" s="98"/>
      <c r="DAF33" s="98"/>
      <c r="DAG33" s="98"/>
      <c r="DAH33" s="98"/>
      <c r="DAI33" s="98"/>
      <c r="DAJ33" s="98"/>
      <c r="DAK33" s="98"/>
      <c r="DAL33" s="98"/>
      <c r="DAM33" s="98"/>
      <c r="DAN33" s="98"/>
      <c r="DAO33" s="98"/>
      <c r="DAP33" s="98"/>
      <c r="DAQ33" s="98"/>
      <c r="DAR33" s="98"/>
      <c r="DAS33" s="98"/>
      <c r="DAT33" s="98"/>
      <c r="DAU33" s="98"/>
      <c r="DAV33" s="98"/>
      <c r="DAW33" s="98"/>
      <c r="DAX33" s="98"/>
      <c r="DAY33" s="98"/>
      <c r="DAZ33" s="98"/>
      <c r="DBA33" s="98"/>
      <c r="DBB33" s="98"/>
      <c r="DBC33" s="98"/>
      <c r="DBD33" s="98"/>
      <c r="DBE33" s="98"/>
      <c r="DBF33" s="98"/>
      <c r="DBG33" s="98"/>
      <c r="DBH33" s="98"/>
      <c r="DBI33" s="98"/>
      <c r="DBJ33" s="98"/>
      <c r="DBK33" s="98"/>
      <c r="DBL33" s="98"/>
      <c r="DBM33" s="98"/>
      <c r="DBN33" s="98"/>
      <c r="DBO33" s="98"/>
      <c r="DBP33" s="98"/>
      <c r="DBQ33" s="98"/>
      <c r="DBR33" s="98"/>
      <c r="DBS33" s="98"/>
      <c r="DBT33" s="98"/>
      <c r="DBU33" s="98"/>
      <c r="DBV33" s="98"/>
      <c r="DBW33" s="98"/>
      <c r="DBX33" s="98"/>
      <c r="DBY33" s="98"/>
      <c r="DBZ33" s="98"/>
      <c r="DCA33" s="98"/>
      <c r="DCB33" s="98"/>
      <c r="DCC33" s="98"/>
      <c r="DCD33" s="98"/>
      <c r="DCE33" s="98"/>
      <c r="DCF33" s="98"/>
      <c r="DCG33" s="98"/>
      <c r="DCH33" s="98"/>
      <c r="DCI33" s="98"/>
      <c r="DCJ33" s="98"/>
      <c r="DCK33" s="98"/>
      <c r="DCL33" s="98"/>
      <c r="DCM33" s="98"/>
      <c r="DCN33" s="98"/>
      <c r="DCO33" s="98"/>
      <c r="DCP33" s="98"/>
      <c r="DCQ33" s="98"/>
      <c r="DCR33" s="98"/>
      <c r="DCS33" s="98"/>
      <c r="DCT33" s="98"/>
      <c r="DCU33" s="98"/>
      <c r="DCV33" s="98"/>
      <c r="DCW33" s="98"/>
      <c r="DCX33" s="98"/>
      <c r="DCY33" s="98"/>
      <c r="DCZ33" s="98"/>
      <c r="DDA33" s="98"/>
      <c r="DDB33" s="98"/>
      <c r="DDC33" s="98"/>
      <c r="DDD33" s="98"/>
      <c r="DDE33" s="98"/>
      <c r="DDF33" s="98"/>
      <c r="DDG33" s="98"/>
      <c r="DDH33" s="98"/>
      <c r="DDI33" s="98"/>
      <c r="DDJ33" s="98"/>
      <c r="DDK33" s="98"/>
      <c r="DDL33" s="98"/>
      <c r="DDM33" s="98"/>
      <c r="DDN33" s="98"/>
      <c r="DDO33" s="98"/>
      <c r="DDP33" s="98"/>
      <c r="DDQ33" s="98"/>
      <c r="DDR33" s="98"/>
      <c r="DDS33" s="98"/>
      <c r="DDT33" s="98"/>
      <c r="DDU33" s="98"/>
      <c r="DDV33" s="98"/>
      <c r="DDW33" s="98"/>
      <c r="DDX33" s="98"/>
      <c r="DDY33" s="98"/>
      <c r="DDZ33" s="98"/>
      <c r="DEA33" s="98"/>
      <c r="DEB33" s="98"/>
      <c r="DEC33" s="98"/>
      <c r="DED33" s="98"/>
      <c r="DEE33" s="98"/>
      <c r="DEF33" s="98"/>
      <c r="DEG33" s="98"/>
      <c r="DEH33" s="98"/>
      <c r="DEI33" s="98"/>
      <c r="DEJ33" s="98"/>
      <c r="DEK33" s="98"/>
      <c r="DEL33" s="98"/>
      <c r="DEM33" s="98"/>
      <c r="DEN33" s="98"/>
      <c r="DEO33" s="98"/>
      <c r="DEP33" s="98"/>
      <c r="DEQ33" s="98"/>
      <c r="DER33" s="98"/>
      <c r="DES33" s="98"/>
      <c r="DET33" s="98"/>
      <c r="DEU33" s="98"/>
      <c r="DEV33" s="98"/>
      <c r="DEW33" s="98"/>
      <c r="DEX33" s="98"/>
      <c r="DEY33" s="98"/>
      <c r="DEZ33" s="98"/>
      <c r="DFA33" s="98"/>
      <c r="DFB33" s="98"/>
      <c r="DFC33" s="98"/>
      <c r="DFD33" s="98"/>
      <c r="DFE33" s="98"/>
      <c r="DFF33" s="98"/>
      <c r="DFG33" s="98"/>
      <c r="DFH33" s="98"/>
      <c r="DFI33" s="98"/>
      <c r="DFJ33" s="98"/>
      <c r="DFK33" s="98"/>
      <c r="DFL33" s="98"/>
      <c r="DFM33" s="98"/>
      <c r="DFN33" s="98"/>
      <c r="DFO33" s="98"/>
      <c r="DFP33" s="98"/>
      <c r="DFQ33" s="98"/>
      <c r="DFR33" s="98"/>
      <c r="DFS33" s="98"/>
      <c r="DFT33" s="98"/>
      <c r="DFU33" s="98"/>
      <c r="DFV33" s="98"/>
      <c r="DFW33" s="98"/>
      <c r="DFX33" s="98"/>
      <c r="DFY33" s="98"/>
      <c r="DFZ33" s="98"/>
      <c r="DGA33" s="98"/>
      <c r="DGB33" s="98"/>
      <c r="DGC33" s="98"/>
      <c r="DGD33" s="98"/>
      <c r="DGE33" s="98"/>
      <c r="DGF33" s="98"/>
      <c r="DGG33" s="98"/>
      <c r="DGH33" s="98"/>
      <c r="DGI33" s="98"/>
      <c r="DGJ33" s="98"/>
      <c r="DGK33" s="98"/>
      <c r="DGL33" s="98"/>
      <c r="DGM33" s="98"/>
      <c r="DGN33" s="98"/>
      <c r="DGO33" s="98"/>
      <c r="DGP33" s="98"/>
      <c r="DGQ33" s="98"/>
      <c r="DGR33" s="98"/>
      <c r="DGS33" s="98"/>
      <c r="DGT33" s="98"/>
      <c r="DGU33" s="98"/>
      <c r="DGV33" s="98"/>
      <c r="DGW33" s="98"/>
      <c r="DGX33" s="98"/>
      <c r="DGY33" s="98"/>
      <c r="DGZ33" s="98"/>
      <c r="DHA33" s="98"/>
      <c r="DHB33" s="98"/>
      <c r="DHC33" s="98"/>
      <c r="DHD33" s="98"/>
      <c r="DHE33" s="98"/>
      <c r="DHF33" s="98"/>
      <c r="DHG33" s="98"/>
      <c r="DHH33" s="98"/>
      <c r="DHI33" s="98"/>
      <c r="DHJ33" s="98"/>
      <c r="DHK33" s="98"/>
      <c r="DHL33" s="98"/>
      <c r="DHM33" s="98"/>
      <c r="DHN33" s="98"/>
      <c r="DHO33" s="98"/>
      <c r="DHP33" s="98"/>
      <c r="DHQ33" s="98"/>
      <c r="DHR33" s="98"/>
      <c r="DHS33" s="98"/>
      <c r="DHT33" s="98"/>
      <c r="DHU33" s="98"/>
      <c r="DHV33" s="98"/>
      <c r="DHW33" s="98"/>
      <c r="DHX33" s="98"/>
      <c r="DHY33" s="98"/>
      <c r="DHZ33" s="98"/>
      <c r="DIA33" s="98"/>
      <c r="DIB33" s="98"/>
      <c r="DIC33" s="98"/>
      <c r="DID33" s="98"/>
      <c r="DIE33" s="98"/>
      <c r="DIF33" s="98"/>
      <c r="DIG33" s="98"/>
      <c r="DIH33" s="98"/>
      <c r="DII33" s="98"/>
      <c r="DIJ33" s="98"/>
      <c r="DIK33" s="98"/>
      <c r="DIL33" s="98"/>
      <c r="DIM33" s="98"/>
      <c r="DIN33" s="98"/>
      <c r="DIO33" s="98"/>
      <c r="DIP33" s="98"/>
      <c r="DIQ33" s="98"/>
      <c r="DIR33" s="98"/>
      <c r="DIS33" s="98"/>
      <c r="DIT33" s="98"/>
      <c r="DIU33" s="98"/>
      <c r="DIV33" s="98"/>
      <c r="DIW33" s="98"/>
      <c r="DIX33" s="98"/>
      <c r="DIY33" s="98"/>
      <c r="DIZ33" s="98"/>
      <c r="DJA33" s="98"/>
      <c r="DJB33" s="98"/>
      <c r="DJC33" s="98"/>
      <c r="DJD33" s="98"/>
      <c r="DJE33" s="98"/>
      <c r="DJF33" s="98"/>
      <c r="DJG33" s="98"/>
      <c r="DJH33" s="98"/>
      <c r="DJI33" s="98"/>
      <c r="DJJ33" s="98"/>
      <c r="DJK33" s="98"/>
      <c r="DJL33" s="98"/>
      <c r="DJM33" s="98"/>
      <c r="DJN33" s="98"/>
      <c r="DJO33" s="98"/>
      <c r="DJP33" s="98"/>
      <c r="DJQ33" s="98"/>
      <c r="DJR33" s="98"/>
      <c r="DJS33" s="98"/>
      <c r="DJT33" s="98"/>
      <c r="DJU33" s="98"/>
      <c r="DJV33" s="98"/>
      <c r="DJW33" s="98"/>
      <c r="DJX33" s="98"/>
      <c r="DJY33" s="98"/>
      <c r="DJZ33" s="98"/>
      <c r="DKA33" s="98"/>
      <c r="DKB33" s="98"/>
      <c r="DKC33" s="98"/>
      <c r="DKD33" s="98"/>
      <c r="DKE33" s="98"/>
      <c r="DKF33" s="98"/>
      <c r="DKG33" s="98"/>
      <c r="DKH33" s="98"/>
      <c r="DKI33" s="98"/>
      <c r="DKJ33" s="98"/>
      <c r="DKK33" s="98"/>
      <c r="DKL33" s="98"/>
      <c r="DKM33" s="98"/>
      <c r="DKN33" s="98"/>
      <c r="DKO33" s="98"/>
      <c r="DKP33" s="98"/>
      <c r="DKQ33" s="98"/>
      <c r="DKR33" s="98"/>
      <c r="DKS33" s="98"/>
      <c r="DKT33" s="98"/>
      <c r="DKU33" s="98"/>
      <c r="DKV33" s="98"/>
      <c r="DKW33" s="98"/>
      <c r="DKX33" s="98"/>
      <c r="DKY33" s="98"/>
      <c r="DKZ33" s="98"/>
      <c r="DLA33" s="98"/>
      <c r="DLB33" s="98"/>
      <c r="DLC33" s="98"/>
      <c r="DLD33" s="98"/>
      <c r="DLE33" s="98"/>
      <c r="DLF33" s="98"/>
      <c r="DLG33" s="98"/>
      <c r="DLH33" s="98"/>
      <c r="DLI33" s="98"/>
      <c r="DLJ33" s="98"/>
      <c r="DLK33" s="98"/>
      <c r="DLL33" s="98"/>
      <c r="DLM33" s="98"/>
      <c r="DLN33" s="98"/>
      <c r="DLO33" s="98"/>
      <c r="DLP33" s="98"/>
      <c r="DLQ33" s="98"/>
      <c r="DLR33" s="98"/>
      <c r="DLS33" s="98"/>
      <c r="DLT33" s="98"/>
      <c r="DLU33" s="98"/>
      <c r="DLV33" s="98"/>
      <c r="DLW33" s="98"/>
      <c r="DLX33" s="98"/>
      <c r="DLY33" s="98"/>
      <c r="DLZ33" s="98"/>
      <c r="DMA33" s="98"/>
      <c r="DMB33" s="98"/>
      <c r="DMC33" s="98"/>
      <c r="DMD33" s="98"/>
      <c r="DME33" s="98"/>
      <c r="DMF33" s="98"/>
      <c r="DMG33" s="98"/>
      <c r="DMH33" s="98"/>
      <c r="DMI33" s="98"/>
      <c r="DMJ33" s="98"/>
      <c r="DMK33" s="98"/>
      <c r="DML33" s="98"/>
      <c r="DMM33" s="98"/>
      <c r="DMN33" s="98"/>
      <c r="DMO33" s="98"/>
      <c r="DMP33" s="98"/>
      <c r="DMQ33" s="98"/>
      <c r="DMR33" s="98"/>
      <c r="DMS33" s="98"/>
      <c r="DMT33" s="98"/>
      <c r="DMU33" s="98"/>
      <c r="DMV33" s="98"/>
      <c r="DMW33" s="98"/>
      <c r="DMX33" s="98"/>
      <c r="DMY33" s="98"/>
      <c r="DMZ33" s="98"/>
      <c r="DNA33" s="98"/>
      <c r="DNB33" s="98"/>
      <c r="DNC33" s="98"/>
      <c r="DND33" s="98"/>
      <c r="DNE33" s="98"/>
      <c r="DNF33" s="98"/>
      <c r="DNG33" s="98"/>
      <c r="DNH33" s="98"/>
      <c r="DNI33" s="98"/>
      <c r="DNJ33" s="98"/>
      <c r="DNK33" s="98"/>
      <c r="DNL33" s="98"/>
      <c r="DNM33" s="98"/>
      <c r="DNN33" s="98"/>
      <c r="DNO33" s="98"/>
      <c r="DNP33" s="98"/>
      <c r="DNQ33" s="98"/>
      <c r="DNR33" s="98"/>
      <c r="DNS33" s="98"/>
      <c r="DNT33" s="98"/>
      <c r="DNU33" s="98"/>
      <c r="DNV33" s="98"/>
      <c r="DNW33" s="98"/>
      <c r="DNX33" s="98"/>
      <c r="DNY33" s="98"/>
      <c r="DNZ33" s="98"/>
      <c r="DOA33" s="98"/>
      <c r="DOB33" s="98"/>
      <c r="DOC33" s="98"/>
      <c r="DOD33" s="98"/>
      <c r="DOE33" s="98"/>
      <c r="DOF33" s="98"/>
      <c r="DOG33" s="98"/>
      <c r="DOH33" s="98"/>
      <c r="DOI33" s="98"/>
      <c r="DOJ33" s="98"/>
      <c r="DOK33" s="98"/>
      <c r="DOL33" s="98"/>
      <c r="DOM33" s="98"/>
      <c r="DON33" s="98"/>
      <c r="DOO33" s="98"/>
      <c r="DOP33" s="98"/>
      <c r="DOQ33" s="98"/>
      <c r="DOR33" s="98"/>
      <c r="DOS33" s="98"/>
      <c r="DOT33" s="98"/>
      <c r="DOU33" s="98"/>
      <c r="DOV33" s="98"/>
      <c r="DOW33" s="98"/>
      <c r="DOX33" s="98"/>
      <c r="DOY33" s="98"/>
      <c r="DOZ33" s="98"/>
      <c r="DPA33" s="98"/>
      <c r="DPB33" s="98"/>
      <c r="DPC33" s="98"/>
      <c r="DPD33" s="98"/>
      <c r="DPE33" s="98"/>
      <c r="DPF33" s="98"/>
      <c r="DPG33" s="98"/>
      <c r="DPH33" s="98"/>
      <c r="DPI33" s="98"/>
      <c r="DPJ33" s="98"/>
      <c r="DPK33" s="98"/>
      <c r="DPL33" s="98"/>
      <c r="DPM33" s="98"/>
      <c r="DPN33" s="98"/>
      <c r="DPO33" s="98"/>
      <c r="DPP33" s="98"/>
      <c r="DPQ33" s="98"/>
      <c r="DPR33" s="98"/>
      <c r="DPS33" s="98"/>
      <c r="DPT33" s="98"/>
      <c r="DPU33" s="98"/>
      <c r="DPV33" s="98"/>
      <c r="DPW33" s="98"/>
      <c r="DPX33" s="98"/>
      <c r="DPY33" s="98"/>
      <c r="DPZ33" s="98"/>
      <c r="DQA33" s="98"/>
      <c r="DQB33" s="98"/>
      <c r="DQC33" s="98"/>
      <c r="DQD33" s="98"/>
      <c r="DQE33" s="98"/>
      <c r="DQF33" s="98"/>
      <c r="DQG33" s="98"/>
      <c r="DQH33" s="98"/>
      <c r="DQI33" s="98"/>
      <c r="DQJ33" s="98"/>
      <c r="DQK33" s="98"/>
      <c r="DQL33" s="98"/>
      <c r="DQM33" s="98"/>
      <c r="DQN33" s="98"/>
      <c r="DQO33" s="98"/>
      <c r="DQP33" s="98"/>
      <c r="DQQ33" s="98"/>
      <c r="DQR33" s="98"/>
      <c r="DQS33" s="98"/>
      <c r="DQT33" s="98"/>
      <c r="DQU33" s="98"/>
      <c r="DQV33" s="98"/>
      <c r="DQW33" s="98"/>
      <c r="DQX33" s="98"/>
      <c r="DQY33" s="98"/>
      <c r="DQZ33" s="98"/>
      <c r="DRA33" s="98"/>
      <c r="DRB33" s="98"/>
      <c r="DRC33" s="98"/>
      <c r="DRD33" s="98"/>
      <c r="DRE33" s="98"/>
      <c r="DRF33" s="98"/>
      <c r="DRG33" s="98"/>
      <c r="DRH33" s="98"/>
      <c r="DRI33" s="98"/>
      <c r="DRJ33" s="98"/>
      <c r="DRK33" s="98"/>
      <c r="DRL33" s="98"/>
      <c r="DRM33" s="98"/>
      <c r="DRN33" s="98"/>
      <c r="DRO33" s="98"/>
      <c r="DRP33" s="98"/>
      <c r="DRQ33" s="98"/>
      <c r="DRR33" s="98"/>
      <c r="DRS33" s="98"/>
      <c r="DRT33" s="98"/>
      <c r="DRU33" s="98"/>
      <c r="DRV33" s="98"/>
      <c r="DRW33" s="98"/>
      <c r="DRX33" s="98"/>
      <c r="DRY33" s="98"/>
      <c r="DRZ33" s="98"/>
      <c r="DSA33" s="98"/>
      <c r="DSB33" s="98"/>
      <c r="DSC33" s="98"/>
      <c r="DSD33" s="98"/>
      <c r="DSE33" s="98"/>
      <c r="DSF33" s="98"/>
      <c r="DSG33" s="98"/>
      <c r="DSH33" s="98"/>
      <c r="DSI33" s="98"/>
      <c r="DSJ33" s="98"/>
      <c r="DSK33" s="98"/>
      <c r="DSL33" s="98"/>
      <c r="DSM33" s="98"/>
      <c r="DSN33" s="98"/>
      <c r="DSO33" s="98"/>
      <c r="DSP33" s="98"/>
      <c r="DSQ33" s="98"/>
      <c r="DSR33" s="98"/>
      <c r="DSS33" s="98"/>
      <c r="DST33" s="98"/>
      <c r="DSU33" s="98"/>
      <c r="DSV33" s="98"/>
      <c r="DSW33" s="98"/>
      <c r="DSX33" s="98"/>
      <c r="DSY33" s="98"/>
      <c r="DSZ33" s="98"/>
      <c r="DTA33" s="98"/>
      <c r="DTB33" s="98"/>
      <c r="DTC33" s="98"/>
      <c r="DTD33" s="98"/>
      <c r="DTE33" s="98"/>
      <c r="DTF33" s="98"/>
      <c r="DTG33" s="98"/>
      <c r="DTH33" s="98"/>
      <c r="DTI33" s="98"/>
      <c r="DTJ33" s="98"/>
      <c r="DTK33" s="98"/>
      <c r="DTL33" s="98"/>
      <c r="DTM33" s="98"/>
      <c r="DTN33" s="98"/>
      <c r="DTO33" s="98"/>
      <c r="DTP33" s="98"/>
      <c r="DTQ33" s="98"/>
      <c r="DTR33" s="98"/>
      <c r="DTS33" s="98"/>
      <c r="DTT33" s="98"/>
      <c r="DTU33" s="98"/>
      <c r="DTV33" s="98"/>
      <c r="DTW33" s="98"/>
      <c r="DTX33" s="98"/>
      <c r="DTY33" s="98"/>
      <c r="DTZ33" s="98"/>
      <c r="DUA33" s="98"/>
      <c r="DUB33" s="98"/>
      <c r="DUC33" s="98"/>
      <c r="DUD33" s="98"/>
      <c r="DUE33" s="98"/>
      <c r="DUF33" s="98"/>
      <c r="DUG33" s="98"/>
      <c r="DUH33" s="98"/>
      <c r="DUI33" s="98"/>
      <c r="DUJ33" s="98"/>
      <c r="DUK33" s="98"/>
      <c r="DUL33" s="98"/>
      <c r="DUM33" s="98"/>
      <c r="DUN33" s="98"/>
      <c r="DUO33" s="98"/>
      <c r="DUP33" s="98"/>
      <c r="DUQ33" s="98"/>
      <c r="DUR33" s="98"/>
      <c r="DUS33" s="98"/>
      <c r="DUT33" s="98"/>
      <c r="DUU33" s="98"/>
      <c r="DUV33" s="98"/>
      <c r="DUW33" s="98"/>
      <c r="DUX33" s="98"/>
      <c r="DUY33" s="98"/>
      <c r="DUZ33" s="98"/>
      <c r="DVA33" s="98"/>
      <c r="DVB33" s="98"/>
      <c r="DVC33" s="98"/>
      <c r="DVD33" s="98"/>
      <c r="DVE33" s="98"/>
      <c r="DVF33" s="98"/>
      <c r="DVG33" s="98"/>
      <c r="DVH33" s="98"/>
      <c r="DVI33" s="98"/>
      <c r="DVJ33" s="98"/>
      <c r="DVK33" s="98"/>
      <c r="DVL33" s="98"/>
      <c r="DVM33" s="98"/>
      <c r="DVN33" s="98"/>
      <c r="DVO33" s="98"/>
      <c r="DVP33" s="98"/>
      <c r="DVQ33" s="98"/>
      <c r="DVR33" s="98"/>
      <c r="DVS33" s="98"/>
      <c r="DVT33" s="98"/>
      <c r="DVU33" s="98"/>
      <c r="DVV33" s="98"/>
      <c r="DVW33" s="98"/>
      <c r="DVX33" s="98"/>
      <c r="DVY33" s="98"/>
      <c r="DVZ33" s="98"/>
      <c r="DWA33" s="98"/>
      <c r="DWB33" s="98"/>
      <c r="DWC33" s="98"/>
      <c r="DWD33" s="98"/>
      <c r="DWE33" s="98"/>
      <c r="DWF33" s="98"/>
      <c r="DWG33" s="98"/>
      <c r="DWH33" s="98"/>
      <c r="DWI33" s="98"/>
      <c r="DWJ33" s="98"/>
      <c r="DWK33" s="98"/>
      <c r="DWL33" s="98"/>
      <c r="DWM33" s="98"/>
      <c r="DWN33" s="98"/>
      <c r="DWO33" s="98"/>
      <c r="DWP33" s="98"/>
      <c r="DWQ33" s="98"/>
      <c r="DWR33" s="98"/>
      <c r="DWS33" s="98"/>
      <c r="DWT33" s="98"/>
      <c r="DWU33" s="98"/>
      <c r="DWV33" s="98"/>
      <c r="DWW33" s="98"/>
      <c r="DWX33" s="98"/>
      <c r="DWY33" s="98"/>
      <c r="DWZ33" s="98"/>
      <c r="DXA33" s="98"/>
      <c r="DXB33" s="98"/>
      <c r="DXC33" s="98"/>
      <c r="DXD33" s="98"/>
      <c r="DXE33" s="98"/>
      <c r="DXF33" s="98"/>
      <c r="DXG33" s="98"/>
      <c r="DXH33" s="98"/>
      <c r="DXI33" s="98"/>
      <c r="DXJ33" s="98"/>
      <c r="DXK33" s="98"/>
      <c r="DXL33" s="98"/>
      <c r="DXM33" s="98"/>
      <c r="DXN33" s="98"/>
      <c r="DXO33" s="98"/>
      <c r="DXP33" s="98"/>
      <c r="DXQ33" s="98"/>
      <c r="DXR33" s="98"/>
      <c r="DXS33" s="98"/>
      <c r="DXT33" s="98"/>
      <c r="DXU33" s="98"/>
      <c r="DXV33" s="98"/>
      <c r="DXW33" s="98"/>
      <c r="DXX33" s="98"/>
      <c r="DXY33" s="98"/>
      <c r="DXZ33" s="98"/>
      <c r="DYA33" s="98"/>
      <c r="DYB33" s="98"/>
      <c r="DYC33" s="98"/>
      <c r="DYD33" s="98"/>
      <c r="DYE33" s="98"/>
      <c r="DYF33" s="98"/>
      <c r="DYG33" s="98"/>
      <c r="DYH33" s="98"/>
      <c r="DYI33" s="98"/>
      <c r="DYJ33" s="98"/>
      <c r="DYK33" s="98"/>
      <c r="DYL33" s="98"/>
      <c r="DYM33" s="98"/>
      <c r="DYN33" s="98"/>
      <c r="DYO33" s="98"/>
      <c r="DYP33" s="98"/>
      <c r="DYQ33" s="98"/>
      <c r="DYR33" s="98"/>
      <c r="DYS33" s="98"/>
      <c r="DYT33" s="98"/>
      <c r="DYU33" s="98"/>
      <c r="DYV33" s="98"/>
      <c r="DYW33" s="98"/>
      <c r="DYX33" s="98"/>
      <c r="DYY33" s="98"/>
      <c r="DYZ33" s="98"/>
      <c r="DZA33" s="98"/>
      <c r="DZB33" s="98"/>
      <c r="DZC33" s="98"/>
      <c r="DZD33" s="98"/>
      <c r="DZE33" s="98"/>
      <c r="DZF33" s="98"/>
      <c r="DZG33" s="98"/>
      <c r="DZH33" s="98"/>
      <c r="DZI33" s="98"/>
      <c r="DZJ33" s="98"/>
      <c r="DZK33" s="98"/>
      <c r="DZL33" s="98"/>
      <c r="DZM33" s="98"/>
      <c r="DZN33" s="98"/>
      <c r="DZO33" s="98"/>
      <c r="DZP33" s="98"/>
      <c r="DZQ33" s="98"/>
      <c r="DZR33" s="98"/>
      <c r="DZS33" s="98"/>
      <c r="DZT33" s="98"/>
      <c r="DZU33" s="98"/>
      <c r="DZV33" s="98"/>
      <c r="DZW33" s="98"/>
      <c r="DZX33" s="98"/>
      <c r="DZY33" s="98"/>
      <c r="DZZ33" s="98"/>
      <c r="EAA33" s="98"/>
      <c r="EAB33" s="98"/>
      <c r="EAC33" s="98"/>
      <c r="EAD33" s="98"/>
      <c r="EAE33" s="98"/>
      <c r="EAF33" s="98"/>
      <c r="EAG33" s="98"/>
      <c r="EAH33" s="98"/>
      <c r="EAI33" s="98"/>
      <c r="EAJ33" s="98"/>
      <c r="EAK33" s="98"/>
      <c r="EAL33" s="98"/>
      <c r="EAM33" s="98"/>
      <c r="EAN33" s="98"/>
      <c r="EAO33" s="98"/>
      <c r="EAP33" s="98"/>
      <c r="EAQ33" s="98"/>
      <c r="EAR33" s="98"/>
      <c r="EAS33" s="98"/>
      <c r="EAT33" s="98"/>
      <c r="EAU33" s="98"/>
      <c r="EAV33" s="98"/>
      <c r="EAW33" s="98"/>
      <c r="EAX33" s="98"/>
      <c r="EAY33" s="98"/>
      <c r="EAZ33" s="98"/>
      <c r="EBA33" s="98"/>
      <c r="EBB33" s="98"/>
      <c r="EBC33" s="98"/>
      <c r="EBD33" s="98"/>
      <c r="EBE33" s="98"/>
      <c r="EBF33" s="98"/>
      <c r="EBG33" s="98"/>
      <c r="EBH33" s="98"/>
      <c r="EBI33" s="98"/>
      <c r="EBJ33" s="98"/>
      <c r="EBK33" s="98"/>
      <c r="EBL33" s="98"/>
      <c r="EBM33" s="98"/>
      <c r="EBN33" s="98"/>
      <c r="EBO33" s="98"/>
      <c r="EBP33" s="98"/>
      <c r="EBQ33" s="98"/>
      <c r="EBR33" s="98"/>
      <c r="EBS33" s="98"/>
      <c r="EBT33" s="98"/>
      <c r="EBU33" s="98"/>
      <c r="EBV33" s="98"/>
      <c r="EBW33" s="98"/>
      <c r="EBX33" s="98"/>
      <c r="EBY33" s="98"/>
      <c r="EBZ33" s="98"/>
      <c r="ECA33" s="98"/>
      <c r="ECB33" s="98"/>
      <c r="ECC33" s="98"/>
      <c r="ECD33" s="98"/>
      <c r="ECE33" s="98"/>
      <c r="ECF33" s="98"/>
      <c r="ECG33" s="98"/>
      <c r="ECH33" s="98"/>
      <c r="ECI33" s="98"/>
      <c r="ECJ33" s="98"/>
      <c r="ECK33" s="98"/>
      <c r="ECL33" s="98"/>
      <c r="ECM33" s="98"/>
      <c r="ECN33" s="98"/>
      <c r="ECO33" s="98"/>
      <c r="ECP33" s="98"/>
      <c r="ECQ33" s="98"/>
      <c r="ECR33" s="98"/>
      <c r="ECS33" s="98"/>
      <c r="ECT33" s="98"/>
      <c r="ECU33" s="98"/>
      <c r="ECV33" s="98"/>
      <c r="ECW33" s="98"/>
      <c r="ECX33" s="98"/>
      <c r="ECY33" s="98"/>
      <c r="ECZ33" s="98"/>
      <c r="EDA33" s="98"/>
      <c r="EDB33" s="98"/>
      <c r="EDC33" s="98"/>
      <c r="EDD33" s="98"/>
      <c r="EDE33" s="98"/>
      <c r="EDF33" s="98"/>
      <c r="EDG33" s="98"/>
      <c r="EDH33" s="98"/>
      <c r="EDI33" s="98"/>
      <c r="EDJ33" s="98"/>
      <c r="EDK33" s="98"/>
      <c r="EDL33" s="98"/>
      <c r="EDM33" s="98"/>
      <c r="EDN33" s="98"/>
      <c r="EDO33" s="98"/>
      <c r="EDP33" s="98"/>
      <c r="EDQ33" s="98"/>
      <c r="EDR33" s="98"/>
      <c r="EDS33" s="98"/>
      <c r="EDT33" s="98"/>
      <c r="EDU33" s="98"/>
      <c r="EDV33" s="98"/>
      <c r="EDW33" s="98"/>
      <c r="EDX33" s="98"/>
      <c r="EDY33" s="98"/>
      <c r="EDZ33" s="98"/>
      <c r="EEA33" s="98"/>
      <c r="EEB33" s="98"/>
      <c r="EEC33" s="98"/>
      <c r="EED33" s="98"/>
      <c r="EEE33" s="98"/>
      <c r="EEF33" s="98"/>
      <c r="EEG33" s="98"/>
      <c r="EEH33" s="98"/>
      <c r="EEI33" s="98"/>
      <c r="EEJ33" s="98"/>
      <c r="EEK33" s="98"/>
      <c r="EEL33" s="98"/>
      <c r="EEM33" s="98"/>
      <c r="EEN33" s="98"/>
      <c r="EEO33" s="98"/>
      <c r="EEP33" s="98"/>
      <c r="EEQ33" s="98"/>
      <c r="EER33" s="98"/>
      <c r="EES33" s="98"/>
      <c r="EET33" s="98"/>
      <c r="EEU33" s="98"/>
      <c r="EEV33" s="98"/>
      <c r="EEW33" s="98"/>
      <c r="EEX33" s="98"/>
      <c r="EEY33" s="98"/>
      <c r="EEZ33" s="98"/>
      <c r="EFA33" s="98"/>
      <c r="EFB33" s="98"/>
      <c r="EFC33" s="98"/>
      <c r="EFD33" s="98"/>
      <c r="EFE33" s="98"/>
      <c r="EFF33" s="98"/>
      <c r="EFG33" s="98"/>
      <c r="EFH33" s="98"/>
      <c r="EFI33" s="98"/>
      <c r="EFJ33" s="98"/>
      <c r="EFK33" s="98"/>
      <c r="EFL33" s="98"/>
      <c r="EFM33" s="98"/>
      <c r="EFN33" s="98"/>
      <c r="EFO33" s="98"/>
      <c r="EFP33" s="98"/>
      <c r="EFQ33" s="98"/>
      <c r="EFR33" s="98"/>
      <c r="EFS33" s="98"/>
      <c r="EFT33" s="98"/>
      <c r="EFU33" s="98"/>
      <c r="EFV33" s="98"/>
      <c r="EFW33" s="98"/>
      <c r="EFX33" s="98"/>
      <c r="EFY33" s="98"/>
      <c r="EFZ33" s="98"/>
      <c r="EGA33" s="98"/>
      <c r="EGB33" s="98"/>
      <c r="EGC33" s="98"/>
      <c r="EGD33" s="98"/>
      <c r="EGE33" s="98"/>
      <c r="EGF33" s="98"/>
      <c r="EGG33" s="98"/>
      <c r="EGH33" s="98"/>
      <c r="EGI33" s="98"/>
      <c r="EGJ33" s="98"/>
      <c r="EGK33" s="98"/>
      <c r="EGL33" s="98"/>
      <c r="EGM33" s="98"/>
      <c r="EGN33" s="98"/>
      <c r="EGO33" s="98"/>
      <c r="EGP33" s="98"/>
      <c r="EGQ33" s="98"/>
      <c r="EGR33" s="98"/>
      <c r="EGS33" s="98"/>
      <c r="EGT33" s="98"/>
      <c r="EGU33" s="98"/>
      <c r="EGV33" s="98"/>
      <c r="EGW33" s="98"/>
      <c r="EGX33" s="98"/>
      <c r="EGY33" s="98"/>
      <c r="EGZ33" s="98"/>
      <c r="EHA33" s="98"/>
      <c r="EHB33" s="98"/>
      <c r="EHC33" s="98"/>
      <c r="EHD33" s="98"/>
      <c r="EHE33" s="98"/>
      <c r="EHF33" s="98"/>
      <c r="EHG33" s="98"/>
      <c r="EHH33" s="98"/>
      <c r="EHI33" s="98"/>
      <c r="EHJ33" s="98"/>
      <c r="EHK33" s="98"/>
      <c r="EHL33" s="98"/>
      <c r="EHM33" s="98"/>
      <c r="EHN33" s="98"/>
      <c r="EHO33" s="98"/>
      <c r="EHP33" s="98"/>
      <c r="EHQ33" s="98"/>
      <c r="EHR33" s="98"/>
      <c r="EHS33" s="98"/>
      <c r="EHT33" s="98"/>
      <c r="EHU33" s="98"/>
      <c r="EHV33" s="98"/>
      <c r="EHW33" s="98"/>
      <c r="EHX33" s="98"/>
      <c r="EHY33" s="98"/>
      <c r="EHZ33" s="98"/>
      <c r="EIA33" s="98"/>
      <c r="EIB33" s="98"/>
      <c r="EIC33" s="98"/>
      <c r="EID33" s="98"/>
      <c r="EIE33" s="98"/>
      <c r="EIF33" s="98"/>
      <c r="EIG33" s="98"/>
      <c r="EIH33" s="98"/>
      <c r="EII33" s="98"/>
      <c r="EIJ33" s="98"/>
      <c r="EIK33" s="98"/>
      <c r="EIL33" s="98"/>
      <c r="EIM33" s="98"/>
      <c r="EIN33" s="98"/>
      <c r="EIO33" s="98"/>
      <c r="EIP33" s="98"/>
      <c r="EIQ33" s="98"/>
      <c r="EIR33" s="98"/>
      <c r="EIS33" s="98"/>
      <c r="EIT33" s="98"/>
      <c r="EIU33" s="98"/>
      <c r="EIV33" s="98"/>
      <c r="EIW33" s="98"/>
      <c r="EIX33" s="98"/>
      <c r="EIY33" s="98"/>
      <c r="EIZ33" s="98"/>
      <c r="EJA33" s="98"/>
      <c r="EJB33" s="98"/>
      <c r="EJC33" s="98"/>
      <c r="EJD33" s="98"/>
      <c r="EJE33" s="98"/>
      <c r="EJF33" s="98"/>
      <c r="EJG33" s="98"/>
      <c r="EJH33" s="98"/>
      <c r="EJI33" s="98"/>
      <c r="EJJ33" s="98"/>
      <c r="EJK33" s="98"/>
      <c r="EJL33" s="98"/>
      <c r="EJM33" s="98"/>
      <c r="EJN33" s="98"/>
      <c r="EJO33" s="98"/>
      <c r="EJP33" s="98"/>
      <c r="EJQ33" s="98"/>
      <c r="EJR33" s="98"/>
      <c r="EJS33" s="98"/>
      <c r="EJT33" s="98"/>
      <c r="EJU33" s="98"/>
      <c r="EJV33" s="98"/>
      <c r="EJW33" s="98"/>
      <c r="EJX33" s="98"/>
      <c r="EJY33" s="98"/>
      <c r="EJZ33" s="98"/>
      <c r="EKA33" s="98"/>
      <c r="EKB33" s="98"/>
      <c r="EKC33" s="98"/>
      <c r="EKD33" s="98"/>
      <c r="EKE33" s="98"/>
      <c r="EKF33" s="98"/>
      <c r="EKG33" s="98"/>
      <c r="EKH33" s="98"/>
      <c r="EKI33" s="98"/>
      <c r="EKJ33" s="98"/>
      <c r="EKK33" s="98"/>
      <c r="EKL33" s="98"/>
      <c r="EKM33" s="98"/>
      <c r="EKN33" s="98"/>
      <c r="EKO33" s="98"/>
      <c r="EKP33" s="98"/>
      <c r="EKQ33" s="98"/>
      <c r="EKR33" s="98"/>
      <c r="EKS33" s="98"/>
      <c r="EKT33" s="98"/>
      <c r="EKU33" s="98"/>
      <c r="EKV33" s="98"/>
      <c r="EKW33" s="98"/>
      <c r="EKX33" s="98"/>
      <c r="EKY33" s="98"/>
      <c r="EKZ33" s="98"/>
      <c r="ELA33" s="98"/>
      <c r="ELB33" s="98"/>
      <c r="ELC33" s="98"/>
      <c r="ELD33" s="98"/>
      <c r="ELE33" s="98"/>
      <c r="ELF33" s="98"/>
      <c r="ELG33" s="98"/>
      <c r="ELH33" s="98"/>
      <c r="ELI33" s="98"/>
      <c r="ELJ33" s="98"/>
      <c r="ELK33" s="98"/>
      <c r="ELL33" s="98"/>
      <c r="ELM33" s="98"/>
      <c r="ELN33" s="98"/>
      <c r="ELO33" s="98"/>
      <c r="ELP33" s="98"/>
      <c r="ELQ33" s="98"/>
      <c r="ELR33" s="98"/>
      <c r="ELS33" s="98"/>
      <c r="ELT33" s="98"/>
      <c r="ELU33" s="98"/>
      <c r="ELV33" s="98"/>
      <c r="ELW33" s="98"/>
      <c r="ELX33" s="98"/>
      <c r="ELY33" s="98"/>
      <c r="ELZ33" s="98"/>
      <c r="EMA33" s="98"/>
      <c r="EMB33" s="98"/>
      <c r="EMC33" s="98"/>
      <c r="EMD33" s="98"/>
      <c r="EME33" s="98"/>
      <c r="EMF33" s="98"/>
      <c r="EMG33" s="98"/>
      <c r="EMH33" s="98"/>
      <c r="EMI33" s="98"/>
      <c r="EMJ33" s="98"/>
      <c r="EMK33" s="98"/>
      <c r="EML33" s="98"/>
      <c r="EMM33" s="98"/>
      <c r="EMN33" s="98"/>
      <c r="EMO33" s="98"/>
      <c r="EMP33" s="98"/>
      <c r="EMQ33" s="98"/>
      <c r="EMR33" s="98"/>
      <c r="EMS33" s="98"/>
      <c r="EMT33" s="98"/>
      <c r="EMU33" s="98"/>
      <c r="EMV33" s="98"/>
      <c r="EMW33" s="98"/>
      <c r="EMX33" s="98"/>
      <c r="EMY33" s="98"/>
      <c r="EMZ33" s="98"/>
      <c r="ENA33" s="98"/>
      <c r="ENB33" s="98"/>
      <c r="ENC33" s="98"/>
      <c r="END33" s="98"/>
      <c r="ENE33" s="98"/>
      <c r="ENF33" s="98"/>
      <c r="ENG33" s="98"/>
      <c r="ENH33" s="98"/>
      <c r="ENI33" s="98"/>
      <c r="ENJ33" s="98"/>
      <c r="ENK33" s="98"/>
      <c r="ENL33" s="98"/>
      <c r="ENM33" s="98"/>
      <c r="ENN33" s="98"/>
      <c r="ENO33" s="98"/>
      <c r="ENP33" s="98"/>
      <c r="ENQ33" s="98"/>
      <c r="ENR33" s="98"/>
      <c r="ENS33" s="98"/>
      <c r="ENT33" s="98"/>
      <c r="ENU33" s="98"/>
      <c r="ENV33" s="98"/>
      <c r="ENW33" s="98"/>
      <c r="ENX33" s="98"/>
      <c r="ENY33" s="98"/>
      <c r="ENZ33" s="98"/>
      <c r="EOA33" s="98"/>
      <c r="EOB33" s="98"/>
      <c r="EOC33" s="98"/>
      <c r="EOD33" s="98"/>
      <c r="EOE33" s="98"/>
      <c r="EOF33" s="98"/>
      <c r="EOG33" s="98"/>
      <c r="EOH33" s="98"/>
      <c r="EOI33" s="98"/>
      <c r="EOJ33" s="98"/>
      <c r="EOK33" s="98"/>
      <c r="EOL33" s="98"/>
      <c r="EOM33" s="98"/>
      <c r="EON33" s="98"/>
      <c r="EOO33" s="98"/>
      <c r="EOP33" s="98"/>
      <c r="EOQ33" s="98"/>
      <c r="EOR33" s="98"/>
      <c r="EOS33" s="98"/>
      <c r="EOT33" s="98"/>
      <c r="EOU33" s="98"/>
      <c r="EOV33" s="98"/>
      <c r="EOW33" s="98"/>
      <c r="EOX33" s="98"/>
      <c r="EOY33" s="98"/>
      <c r="EOZ33" s="98"/>
      <c r="EPA33" s="98"/>
      <c r="EPB33" s="98"/>
      <c r="EPC33" s="98"/>
      <c r="EPD33" s="98"/>
      <c r="EPE33" s="98"/>
      <c r="EPF33" s="98"/>
      <c r="EPG33" s="98"/>
      <c r="EPH33" s="98"/>
      <c r="EPI33" s="98"/>
      <c r="EPJ33" s="98"/>
      <c r="EPK33" s="98"/>
      <c r="EPL33" s="98"/>
      <c r="EPM33" s="98"/>
      <c r="EPN33" s="98"/>
      <c r="EPO33" s="98"/>
      <c r="EPP33" s="98"/>
      <c r="EPQ33" s="98"/>
      <c r="EPR33" s="98"/>
      <c r="EPS33" s="98"/>
      <c r="EPT33" s="98"/>
      <c r="EPU33" s="98"/>
      <c r="EPV33" s="98"/>
      <c r="EPW33" s="98"/>
      <c r="EPX33" s="98"/>
      <c r="EPY33" s="98"/>
      <c r="EPZ33" s="98"/>
      <c r="EQA33" s="98"/>
      <c r="EQB33" s="98"/>
      <c r="EQC33" s="98"/>
      <c r="EQD33" s="98"/>
      <c r="EQE33" s="98"/>
      <c r="EQF33" s="98"/>
      <c r="EQG33" s="98"/>
      <c r="EQH33" s="98"/>
      <c r="EQI33" s="98"/>
      <c r="EQJ33" s="98"/>
      <c r="EQK33" s="98"/>
      <c r="EQL33" s="98"/>
      <c r="EQM33" s="98"/>
      <c r="EQN33" s="98"/>
      <c r="EQO33" s="98"/>
      <c r="EQP33" s="98"/>
      <c r="EQQ33" s="98"/>
      <c r="EQR33" s="98"/>
      <c r="EQS33" s="98"/>
      <c r="EQT33" s="98"/>
      <c r="EQU33" s="98"/>
      <c r="EQV33" s="98"/>
      <c r="EQW33" s="98"/>
      <c r="EQX33" s="98"/>
      <c r="EQY33" s="98"/>
      <c r="EQZ33" s="98"/>
      <c r="ERA33" s="98"/>
      <c r="ERB33" s="98"/>
      <c r="ERC33" s="98"/>
      <c r="ERD33" s="98"/>
      <c r="ERE33" s="98"/>
      <c r="ERF33" s="98"/>
      <c r="ERG33" s="98"/>
      <c r="ERH33" s="98"/>
      <c r="ERI33" s="98"/>
      <c r="ERJ33" s="98"/>
      <c r="ERK33" s="98"/>
      <c r="ERL33" s="98"/>
      <c r="ERM33" s="98"/>
      <c r="ERN33" s="98"/>
      <c r="ERO33" s="98"/>
      <c r="ERP33" s="98"/>
      <c r="ERQ33" s="98"/>
      <c r="ERR33" s="98"/>
      <c r="ERS33" s="98"/>
      <c r="ERT33" s="98"/>
      <c r="ERU33" s="98"/>
      <c r="ERV33" s="98"/>
      <c r="ERW33" s="98"/>
      <c r="ERX33" s="98"/>
      <c r="ERY33" s="98"/>
      <c r="ERZ33" s="98"/>
      <c r="ESA33" s="98"/>
      <c r="ESB33" s="98"/>
      <c r="ESC33" s="98"/>
      <c r="ESD33" s="98"/>
      <c r="ESE33" s="98"/>
      <c r="ESF33" s="98"/>
      <c r="ESG33" s="98"/>
      <c r="ESH33" s="98"/>
      <c r="ESI33" s="98"/>
      <c r="ESJ33" s="98"/>
      <c r="ESK33" s="98"/>
      <c r="ESL33" s="98"/>
      <c r="ESM33" s="98"/>
      <c r="ESN33" s="98"/>
      <c r="ESO33" s="98"/>
      <c r="ESP33" s="98"/>
      <c r="ESQ33" s="98"/>
      <c r="ESR33" s="98"/>
      <c r="ESS33" s="98"/>
      <c r="EST33" s="98"/>
      <c r="ESU33" s="98"/>
      <c r="ESV33" s="98"/>
      <c r="ESW33" s="98"/>
      <c r="ESX33" s="98"/>
      <c r="ESY33" s="98"/>
      <c r="ESZ33" s="98"/>
      <c r="ETA33" s="98"/>
      <c r="ETB33" s="98"/>
      <c r="ETC33" s="98"/>
      <c r="ETD33" s="98"/>
      <c r="ETE33" s="98"/>
      <c r="ETF33" s="98"/>
      <c r="ETG33" s="98"/>
      <c r="ETH33" s="98"/>
      <c r="ETI33" s="98"/>
      <c r="ETJ33" s="98"/>
      <c r="ETK33" s="98"/>
      <c r="ETL33" s="98"/>
      <c r="ETM33" s="98"/>
      <c r="ETN33" s="98"/>
      <c r="ETO33" s="98"/>
      <c r="ETP33" s="98"/>
      <c r="ETQ33" s="98"/>
      <c r="ETR33" s="98"/>
      <c r="ETS33" s="98"/>
      <c r="ETT33" s="98"/>
      <c r="ETU33" s="98"/>
      <c r="ETV33" s="98"/>
      <c r="ETW33" s="98"/>
      <c r="ETX33" s="98"/>
      <c r="ETY33" s="98"/>
      <c r="ETZ33" s="98"/>
      <c r="EUA33" s="98"/>
      <c r="EUB33" s="98"/>
      <c r="EUC33" s="98"/>
      <c r="EUD33" s="98"/>
      <c r="EUE33" s="98"/>
      <c r="EUF33" s="98"/>
      <c r="EUG33" s="98"/>
      <c r="EUH33" s="98"/>
      <c r="EUI33" s="98"/>
      <c r="EUJ33" s="98"/>
      <c r="EUK33" s="98"/>
      <c r="EUL33" s="98"/>
      <c r="EUM33" s="98"/>
      <c r="EUN33" s="98"/>
      <c r="EUO33" s="98"/>
      <c r="EUP33" s="98"/>
      <c r="EUQ33" s="98"/>
      <c r="EUR33" s="98"/>
      <c r="EUS33" s="98"/>
      <c r="EUT33" s="98"/>
      <c r="EUU33" s="98"/>
      <c r="EUV33" s="98"/>
      <c r="EUW33" s="98"/>
      <c r="EUX33" s="98"/>
      <c r="EUY33" s="98"/>
      <c r="EUZ33" s="98"/>
      <c r="EVA33" s="98"/>
      <c r="EVB33" s="98"/>
      <c r="EVC33" s="98"/>
      <c r="EVD33" s="98"/>
      <c r="EVE33" s="98"/>
      <c r="EVF33" s="98"/>
      <c r="EVG33" s="98"/>
      <c r="EVH33" s="98"/>
      <c r="EVI33" s="98"/>
      <c r="EVJ33" s="98"/>
      <c r="EVK33" s="98"/>
      <c r="EVL33" s="98"/>
      <c r="EVM33" s="98"/>
      <c r="EVN33" s="98"/>
      <c r="EVO33" s="98"/>
      <c r="EVP33" s="98"/>
      <c r="EVQ33" s="98"/>
      <c r="EVR33" s="98"/>
      <c r="EVS33" s="98"/>
      <c r="EVT33" s="98"/>
      <c r="EVU33" s="98"/>
      <c r="EVV33" s="98"/>
      <c r="EVW33" s="98"/>
      <c r="EVX33" s="98"/>
      <c r="EVY33" s="98"/>
      <c r="EVZ33" s="98"/>
      <c r="EWA33" s="98"/>
      <c r="EWB33" s="98"/>
      <c r="EWC33" s="98"/>
      <c r="EWD33" s="98"/>
      <c r="EWE33" s="98"/>
      <c r="EWF33" s="98"/>
      <c r="EWG33" s="98"/>
      <c r="EWH33" s="98"/>
      <c r="EWI33" s="98"/>
      <c r="EWJ33" s="98"/>
      <c r="EWK33" s="98"/>
      <c r="EWL33" s="98"/>
      <c r="EWM33" s="98"/>
      <c r="EWN33" s="98"/>
      <c r="EWO33" s="98"/>
      <c r="EWP33" s="98"/>
      <c r="EWQ33" s="98"/>
      <c r="EWR33" s="98"/>
      <c r="EWS33" s="98"/>
      <c r="EWT33" s="98"/>
      <c r="EWU33" s="98"/>
      <c r="EWV33" s="98"/>
      <c r="EWW33" s="98"/>
      <c r="EWX33" s="98"/>
      <c r="EWY33" s="98"/>
      <c r="EWZ33" s="98"/>
      <c r="EXA33" s="98"/>
      <c r="EXB33" s="98"/>
      <c r="EXC33" s="98"/>
      <c r="EXD33" s="98"/>
      <c r="EXE33" s="98"/>
      <c r="EXF33" s="98"/>
      <c r="EXG33" s="98"/>
      <c r="EXH33" s="98"/>
      <c r="EXI33" s="98"/>
      <c r="EXJ33" s="98"/>
      <c r="EXK33" s="98"/>
      <c r="EXL33" s="98"/>
      <c r="EXM33" s="98"/>
      <c r="EXN33" s="98"/>
      <c r="EXO33" s="98"/>
      <c r="EXP33" s="98"/>
      <c r="EXQ33" s="98"/>
      <c r="EXR33" s="98"/>
      <c r="EXS33" s="98"/>
      <c r="EXT33" s="98"/>
      <c r="EXU33" s="98"/>
      <c r="EXV33" s="98"/>
      <c r="EXW33" s="98"/>
      <c r="EXX33" s="98"/>
      <c r="EXY33" s="98"/>
      <c r="EXZ33" s="98"/>
      <c r="EYA33" s="98"/>
      <c r="EYB33" s="98"/>
      <c r="EYC33" s="98"/>
      <c r="EYD33" s="98"/>
      <c r="EYE33" s="98"/>
      <c r="EYF33" s="98"/>
      <c r="EYG33" s="98"/>
      <c r="EYH33" s="98"/>
      <c r="EYI33" s="98"/>
      <c r="EYJ33" s="98"/>
      <c r="EYK33" s="98"/>
      <c r="EYL33" s="98"/>
      <c r="EYM33" s="98"/>
      <c r="EYN33" s="98"/>
      <c r="EYO33" s="98"/>
      <c r="EYP33" s="98"/>
      <c r="EYQ33" s="98"/>
      <c r="EYR33" s="98"/>
      <c r="EYS33" s="98"/>
      <c r="EYT33" s="98"/>
      <c r="EYU33" s="98"/>
      <c r="EYV33" s="98"/>
      <c r="EYW33" s="98"/>
      <c r="EYX33" s="98"/>
      <c r="EYY33" s="98"/>
      <c r="EYZ33" s="98"/>
      <c r="EZA33" s="98"/>
      <c r="EZB33" s="98"/>
      <c r="EZC33" s="98"/>
      <c r="EZD33" s="98"/>
      <c r="EZE33" s="98"/>
      <c r="EZF33" s="98"/>
      <c r="EZG33" s="98"/>
      <c r="EZH33" s="98"/>
      <c r="EZI33" s="98"/>
      <c r="EZJ33" s="98"/>
      <c r="EZK33" s="98"/>
      <c r="EZL33" s="98"/>
      <c r="EZM33" s="98"/>
      <c r="EZN33" s="98"/>
      <c r="EZO33" s="98"/>
      <c r="EZP33" s="98"/>
      <c r="EZQ33" s="98"/>
      <c r="EZR33" s="98"/>
      <c r="EZS33" s="98"/>
      <c r="EZT33" s="98"/>
      <c r="EZU33" s="98"/>
      <c r="EZV33" s="98"/>
      <c r="EZW33" s="98"/>
      <c r="EZX33" s="98"/>
      <c r="EZY33" s="98"/>
      <c r="EZZ33" s="98"/>
      <c r="FAA33" s="98"/>
      <c r="FAB33" s="98"/>
      <c r="FAC33" s="98"/>
      <c r="FAD33" s="98"/>
      <c r="FAE33" s="98"/>
      <c r="FAF33" s="98"/>
      <c r="FAG33" s="98"/>
      <c r="FAH33" s="98"/>
      <c r="FAI33" s="98"/>
      <c r="FAJ33" s="98"/>
      <c r="FAK33" s="98"/>
      <c r="FAL33" s="98"/>
      <c r="FAM33" s="98"/>
      <c r="FAN33" s="98"/>
      <c r="FAO33" s="98"/>
      <c r="FAP33" s="98"/>
      <c r="FAQ33" s="98"/>
      <c r="FAR33" s="98"/>
      <c r="FAS33" s="98"/>
      <c r="FAT33" s="98"/>
      <c r="FAU33" s="98"/>
      <c r="FAV33" s="98"/>
      <c r="FAW33" s="98"/>
      <c r="FAX33" s="98"/>
      <c r="FAY33" s="98"/>
      <c r="FAZ33" s="98"/>
      <c r="FBA33" s="98"/>
      <c r="FBB33" s="98"/>
      <c r="FBC33" s="98"/>
      <c r="FBD33" s="98"/>
      <c r="FBE33" s="98"/>
      <c r="FBF33" s="98"/>
      <c r="FBG33" s="98"/>
      <c r="FBH33" s="98"/>
      <c r="FBI33" s="98"/>
      <c r="FBJ33" s="98"/>
      <c r="FBK33" s="98"/>
      <c r="FBL33" s="98"/>
      <c r="FBM33" s="98"/>
      <c r="FBN33" s="98"/>
      <c r="FBO33" s="98"/>
      <c r="FBP33" s="98"/>
      <c r="FBQ33" s="98"/>
      <c r="FBR33" s="98"/>
      <c r="FBS33" s="98"/>
      <c r="FBT33" s="98"/>
      <c r="FBU33" s="98"/>
      <c r="FBV33" s="98"/>
      <c r="FBW33" s="98"/>
      <c r="FBX33" s="98"/>
      <c r="FBY33" s="98"/>
      <c r="FBZ33" s="98"/>
      <c r="FCA33" s="98"/>
      <c r="FCB33" s="98"/>
      <c r="FCC33" s="98"/>
      <c r="FCD33" s="98"/>
      <c r="FCE33" s="98"/>
      <c r="FCF33" s="98"/>
      <c r="FCG33" s="98"/>
      <c r="FCH33" s="98"/>
      <c r="FCI33" s="98"/>
      <c r="FCJ33" s="98"/>
      <c r="FCK33" s="98"/>
      <c r="FCL33" s="98"/>
      <c r="FCM33" s="98"/>
      <c r="FCN33" s="98"/>
      <c r="FCO33" s="98"/>
      <c r="FCP33" s="98"/>
      <c r="FCQ33" s="98"/>
      <c r="FCR33" s="98"/>
      <c r="FCS33" s="98"/>
      <c r="FCT33" s="98"/>
      <c r="FCU33" s="98"/>
      <c r="FCV33" s="98"/>
      <c r="FCW33" s="98"/>
      <c r="FCX33" s="98"/>
      <c r="FCY33" s="98"/>
      <c r="FCZ33" s="98"/>
      <c r="FDA33" s="98"/>
      <c r="FDB33" s="98"/>
      <c r="FDC33" s="98"/>
      <c r="FDD33" s="98"/>
      <c r="FDE33" s="98"/>
      <c r="FDF33" s="98"/>
      <c r="FDG33" s="98"/>
      <c r="FDH33" s="98"/>
      <c r="FDI33" s="98"/>
      <c r="FDJ33" s="98"/>
      <c r="FDK33" s="98"/>
      <c r="FDL33" s="98"/>
      <c r="FDM33" s="98"/>
      <c r="FDN33" s="98"/>
      <c r="FDO33" s="98"/>
      <c r="FDP33" s="98"/>
      <c r="FDQ33" s="98"/>
      <c r="FDR33" s="98"/>
      <c r="FDS33" s="98"/>
      <c r="FDT33" s="98"/>
      <c r="FDU33" s="98"/>
      <c r="FDV33" s="98"/>
      <c r="FDW33" s="98"/>
      <c r="FDX33" s="98"/>
      <c r="FDY33" s="98"/>
      <c r="FDZ33" s="98"/>
      <c r="FEA33" s="98"/>
      <c r="FEB33" s="98"/>
      <c r="FEC33" s="98"/>
      <c r="FED33" s="98"/>
      <c r="FEE33" s="98"/>
      <c r="FEF33" s="98"/>
      <c r="FEG33" s="98"/>
      <c r="FEH33" s="98"/>
      <c r="FEI33" s="98"/>
      <c r="FEJ33" s="98"/>
      <c r="FEK33" s="98"/>
      <c r="FEL33" s="98"/>
      <c r="FEM33" s="98"/>
      <c r="FEN33" s="98"/>
      <c r="FEO33" s="98"/>
      <c r="FEP33" s="98"/>
      <c r="FEQ33" s="98"/>
      <c r="FER33" s="98"/>
      <c r="FES33" s="98"/>
      <c r="FET33" s="98"/>
      <c r="FEU33" s="98"/>
      <c r="FEV33" s="98"/>
      <c r="FEW33" s="98"/>
      <c r="FEX33" s="98"/>
      <c r="FEY33" s="98"/>
      <c r="FEZ33" s="98"/>
      <c r="FFA33" s="98"/>
      <c r="FFB33" s="98"/>
      <c r="FFC33" s="98"/>
      <c r="FFD33" s="98"/>
      <c r="FFE33" s="98"/>
      <c r="FFF33" s="98"/>
      <c r="FFG33" s="98"/>
      <c r="FFH33" s="98"/>
      <c r="FFI33" s="98"/>
      <c r="FFJ33" s="98"/>
      <c r="FFK33" s="98"/>
      <c r="FFL33" s="98"/>
      <c r="FFM33" s="98"/>
      <c r="FFN33" s="98"/>
      <c r="FFO33" s="98"/>
      <c r="FFP33" s="98"/>
      <c r="FFQ33" s="98"/>
      <c r="FFR33" s="98"/>
      <c r="FFS33" s="98"/>
      <c r="FFT33" s="98"/>
      <c r="FFU33" s="98"/>
      <c r="FFV33" s="98"/>
      <c r="FFW33" s="98"/>
      <c r="FFX33" s="98"/>
      <c r="FFY33" s="98"/>
      <c r="FFZ33" s="98"/>
      <c r="FGA33" s="98"/>
      <c r="FGB33" s="98"/>
      <c r="FGC33" s="98"/>
      <c r="FGD33" s="98"/>
      <c r="FGE33" s="98"/>
      <c r="FGF33" s="98"/>
      <c r="FGG33" s="98"/>
      <c r="FGH33" s="98"/>
      <c r="FGI33" s="98"/>
      <c r="FGJ33" s="98"/>
      <c r="FGK33" s="98"/>
      <c r="FGL33" s="98"/>
      <c r="FGM33" s="98"/>
      <c r="FGN33" s="98"/>
      <c r="FGO33" s="98"/>
      <c r="FGP33" s="98"/>
      <c r="FGQ33" s="98"/>
      <c r="FGR33" s="98"/>
      <c r="FGS33" s="98"/>
      <c r="FGT33" s="98"/>
      <c r="FGU33" s="98"/>
      <c r="FGV33" s="98"/>
      <c r="FGW33" s="98"/>
      <c r="FGX33" s="98"/>
      <c r="FGY33" s="98"/>
      <c r="FGZ33" s="98"/>
      <c r="FHA33" s="98"/>
      <c r="FHB33" s="98"/>
      <c r="FHC33" s="98"/>
      <c r="FHD33" s="98"/>
      <c r="FHE33" s="98"/>
      <c r="FHF33" s="98"/>
      <c r="FHG33" s="98"/>
      <c r="FHH33" s="98"/>
      <c r="FHI33" s="98"/>
      <c r="FHJ33" s="98"/>
      <c r="FHK33" s="98"/>
      <c r="FHL33" s="98"/>
      <c r="FHM33" s="98"/>
      <c r="FHN33" s="98"/>
      <c r="FHO33" s="98"/>
      <c r="FHP33" s="98"/>
      <c r="FHQ33" s="98"/>
      <c r="FHR33" s="98"/>
      <c r="FHS33" s="98"/>
      <c r="FHT33" s="98"/>
      <c r="FHU33" s="98"/>
      <c r="FHV33" s="98"/>
      <c r="FHW33" s="98"/>
      <c r="FHX33" s="98"/>
      <c r="FHY33" s="98"/>
      <c r="FHZ33" s="98"/>
      <c r="FIA33" s="98"/>
      <c r="FIB33" s="98"/>
      <c r="FIC33" s="98"/>
      <c r="FID33" s="98"/>
      <c r="FIE33" s="98"/>
      <c r="FIF33" s="98"/>
      <c r="FIG33" s="98"/>
      <c r="FIH33" s="98"/>
      <c r="FII33" s="98"/>
      <c r="FIJ33" s="98"/>
      <c r="FIK33" s="98"/>
      <c r="FIL33" s="98"/>
      <c r="FIM33" s="98"/>
      <c r="FIN33" s="98"/>
      <c r="FIO33" s="98"/>
      <c r="FIP33" s="98"/>
      <c r="FIQ33" s="98"/>
      <c r="FIR33" s="98"/>
      <c r="FIS33" s="98"/>
      <c r="FIT33" s="98"/>
      <c r="FIU33" s="98"/>
      <c r="FIV33" s="98"/>
      <c r="FIW33" s="98"/>
      <c r="FIX33" s="98"/>
      <c r="FIY33" s="98"/>
      <c r="FIZ33" s="98"/>
      <c r="FJA33" s="98"/>
      <c r="FJB33" s="98"/>
      <c r="FJC33" s="98"/>
      <c r="FJD33" s="98"/>
      <c r="FJE33" s="98"/>
      <c r="FJF33" s="98"/>
      <c r="FJG33" s="98"/>
      <c r="FJH33" s="98"/>
      <c r="FJI33" s="98"/>
      <c r="FJJ33" s="98"/>
      <c r="FJK33" s="98"/>
      <c r="FJL33" s="98"/>
      <c r="FJM33" s="98"/>
      <c r="FJN33" s="98"/>
      <c r="FJO33" s="98"/>
      <c r="FJP33" s="98"/>
      <c r="FJQ33" s="98"/>
      <c r="FJR33" s="98"/>
      <c r="FJS33" s="98"/>
      <c r="FJT33" s="98"/>
      <c r="FJU33" s="98"/>
      <c r="FJV33" s="98"/>
      <c r="FJW33" s="98"/>
      <c r="FJX33" s="98"/>
      <c r="FJY33" s="98"/>
      <c r="FJZ33" s="98"/>
      <c r="FKA33" s="98"/>
      <c r="FKB33" s="98"/>
      <c r="FKC33" s="98"/>
      <c r="FKD33" s="98"/>
      <c r="FKE33" s="98"/>
      <c r="FKF33" s="98"/>
      <c r="FKG33" s="98"/>
      <c r="FKH33" s="98"/>
      <c r="FKI33" s="98"/>
      <c r="FKJ33" s="98"/>
      <c r="FKK33" s="98"/>
      <c r="FKL33" s="98"/>
      <c r="FKM33" s="98"/>
      <c r="FKN33" s="98"/>
      <c r="FKO33" s="98"/>
      <c r="FKP33" s="98"/>
      <c r="FKQ33" s="98"/>
      <c r="FKR33" s="98"/>
      <c r="FKS33" s="98"/>
      <c r="FKT33" s="98"/>
      <c r="FKU33" s="98"/>
      <c r="FKV33" s="98"/>
      <c r="FKW33" s="98"/>
      <c r="FKX33" s="98"/>
      <c r="FKY33" s="98"/>
      <c r="FKZ33" s="98"/>
      <c r="FLA33" s="98"/>
      <c r="FLB33" s="98"/>
      <c r="FLC33" s="98"/>
      <c r="FLD33" s="98"/>
      <c r="FLE33" s="98"/>
      <c r="FLF33" s="98"/>
      <c r="FLG33" s="98"/>
      <c r="FLH33" s="98"/>
      <c r="FLI33" s="98"/>
      <c r="FLJ33" s="98"/>
      <c r="FLK33" s="98"/>
      <c r="FLL33" s="98"/>
      <c r="FLM33" s="98"/>
      <c r="FLN33" s="98"/>
      <c r="FLO33" s="98"/>
      <c r="FLP33" s="98"/>
      <c r="FLQ33" s="98"/>
      <c r="FLR33" s="98"/>
      <c r="FLS33" s="98"/>
      <c r="FLT33" s="98"/>
      <c r="FLU33" s="98"/>
      <c r="FLV33" s="98"/>
      <c r="FLW33" s="98"/>
      <c r="FLX33" s="98"/>
      <c r="FLY33" s="98"/>
      <c r="FLZ33" s="98"/>
      <c r="FMA33" s="98"/>
      <c r="FMB33" s="98"/>
      <c r="FMC33" s="98"/>
      <c r="FMD33" s="98"/>
      <c r="FME33" s="98"/>
      <c r="FMF33" s="98"/>
      <c r="FMG33" s="98"/>
      <c r="FMH33" s="98"/>
      <c r="FMI33" s="98"/>
      <c r="FMJ33" s="98"/>
      <c r="FMK33" s="98"/>
      <c r="FML33" s="98"/>
      <c r="FMM33" s="98"/>
      <c r="FMN33" s="98"/>
      <c r="FMO33" s="98"/>
      <c r="FMP33" s="98"/>
      <c r="FMQ33" s="98"/>
      <c r="FMR33" s="98"/>
      <c r="FMS33" s="98"/>
      <c r="FMT33" s="98"/>
      <c r="FMU33" s="98"/>
      <c r="FMV33" s="98"/>
      <c r="FMW33" s="98"/>
      <c r="FMX33" s="98"/>
      <c r="FMY33" s="98"/>
      <c r="FMZ33" s="98"/>
      <c r="FNA33" s="98"/>
      <c r="FNB33" s="98"/>
      <c r="FNC33" s="98"/>
      <c r="FND33" s="98"/>
      <c r="FNE33" s="98"/>
      <c r="FNF33" s="98"/>
      <c r="FNG33" s="98"/>
      <c r="FNH33" s="98"/>
      <c r="FNI33" s="98"/>
      <c r="FNJ33" s="98"/>
      <c r="FNK33" s="98"/>
      <c r="FNL33" s="98"/>
      <c r="FNM33" s="98"/>
      <c r="FNN33" s="98"/>
      <c r="FNO33" s="98"/>
      <c r="FNP33" s="98"/>
      <c r="FNQ33" s="98"/>
      <c r="FNR33" s="98"/>
      <c r="FNS33" s="98"/>
      <c r="FNT33" s="98"/>
      <c r="FNU33" s="98"/>
      <c r="FNV33" s="98"/>
      <c r="FNW33" s="98"/>
      <c r="FNX33" s="98"/>
      <c r="FNY33" s="98"/>
      <c r="FNZ33" s="98"/>
      <c r="FOA33" s="98"/>
      <c r="FOB33" s="98"/>
      <c r="FOC33" s="98"/>
      <c r="FOD33" s="98"/>
      <c r="FOE33" s="98"/>
      <c r="FOF33" s="98"/>
      <c r="FOG33" s="98"/>
      <c r="FOH33" s="98"/>
      <c r="FOI33" s="98"/>
      <c r="FOJ33" s="98"/>
      <c r="FOK33" s="98"/>
      <c r="FOL33" s="98"/>
      <c r="FOM33" s="98"/>
      <c r="FON33" s="98"/>
      <c r="FOO33" s="98"/>
      <c r="FOP33" s="98"/>
      <c r="FOQ33" s="98"/>
      <c r="FOR33" s="98"/>
      <c r="FOS33" s="98"/>
      <c r="FOT33" s="98"/>
      <c r="FOU33" s="98"/>
      <c r="FOV33" s="98"/>
      <c r="FOW33" s="98"/>
      <c r="FOX33" s="98"/>
      <c r="FOY33" s="98"/>
      <c r="FOZ33" s="98"/>
      <c r="FPA33" s="98"/>
      <c r="FPB33" s="98"/>
      <c r="FPC33" s="98"/>
      <c r="FPD33" s="98"/>
      <c r="FPE33" s="98"/>
      <c r="FPF33" s="98"/>
      <c r="FPG33" s="98"/>
      <c r="FPH33" s="98"/>
      <c r="FPI33" s="98"/>
      <c r="FPJ33" s="98"/>
      <c r="FPK33" s="98"/>
      <c r="FPL33" s="98"/>
      <c r="FPM33" s="98"/>
      <c r="FPN33" s="98"/>
      <c r="FPO33" s="98"/>
      <c r="FPP33" s="98"/>
      <c r="FPQ33" s="98"/>
      <c r="FPR33" s="98"/>
      <c r="FPS33" s="98"/>
      <c r="FPT33" s="98"/>
      <c r="FPU33" s="98"/>
      <c r="FPV33" s="98"/>
      <c r="FPW33" s="98"/>
      <c r="FPX33" s="98"/>
      <c r="FPY33" s="98"/>
      <c r="FPZ33" s="98"/>
      <c r="FQA33" s="98"/>
      <c r="FQB33" s="98"/>
      <c r="FQC33" s="98"/>
      <c r="FQD33" s="98"/>
      <c r="FQE33" s="98"/>
      <c r="FQF33" s="98"/>
      <c r="FQG33" s="98"/>
      <c r="FQH33" s="98"/>
      <c r="FQI33" s="98"/>
      <c r="FQJ33" s="98"/>
      <c r="FQK33" s="98"/>
      <c r="FQL33" s="98"/>
      <c r="FQM33" s="98"/>
      <c r="FQN33" s="98"/>
      <c r="FQO33" s="98"/>
      <c r="FQP33" s="98"/>
      <c r="FQQ33" s="98"/>
      <c r="FQR33" s="98"/>
      <c r="FQS33" s="98"/>
      <c r="FQT33" s="98"/>
      <c r="FQU33" s="98"/>
      <c r="FQV33" s="98"/>
      <c r="FQW33" s="98"/>
      <c r="FQX33" s="98"/>
      <c r="FQY33" s="98"/>
      <c r="FQZ33" s="98"/>
      <c r="FRA33" s="98"/>
      <c r="FRB33" s="98"/>
      <c r="FRC33" s="98"/>
      <c r="FRD33" s="98"/>
      <c r="FRE33" s="98"/>
      <c r="FRF33" s="98"/>
      <c r="FRG33" s="98"/>
      <c r="FRH33" s="98"/>
      <c r="FRI33" s="98"/>
      <c r="FRJ33" s="98"/>
      <c r="FRK33" s="98"/>
      <c r="FRL33" s="98"/>
      <c r="FRM33" s="98"/>
      <c r="FRN33" s="98"/>
      <c r="FRO33" s="98"/>
      <c r="FRP33" s="98"/>
      <c r="FRQ33" s="98"/>
      <c r="FRR33" s="98"/>
      <c r="FRS33" s="98"/>
      <c r="FRT33" s="98"/>
      <c r="FRU33" s="98"/>
      <c r="FRV33" s="98"/>
      <c r="FRW33" s="98"/>
      <c r="FRX33" s="98"/>
      <c r="FRY33" s="98"/>
      <c r="FRZ33" s="98"/>
      <c r="FSA33" s="98"/>
      <c r="FSB33" s="98"/>
      <c r="FSC33" s="98"/>
      <c r="FSD33" s="98"/>
      <c r="FSE33" s="98"/>
      <c r="FSF33" s="98"/>
      <c r="FSG33" s="98"/>
      <c r="FSH33" s="98"/>
      <c r="FSI33" s="98"/>
      <c r="FSJ33" s="98"/>
      <c r="FSK33" s="98"/>
      <c r="FSL33" s="98"/>
      <c r="FSM33" s="98"/>
      <c r="FSN33" s="98"/>
      <c r="FSO33" s="98"/>
      <c r="FSP33" s="98"/>
      <c r="FSQ33" s="98"/>
      <c r="FSR33" s="98"/>
      <c r="FSS33" s="98"/>
      <c r="FST33" s="98"/>
      <c r="FSU33" s="98"/>
      <c r="FSV33" s="98"/>
      <c r="FSW33" s="98"/>
      <c r="FSX33" s="98"/>
      <c r="FSY33" s="98"/>
      <c r="FSZ33" s="98"/>
      <c r="FTA33" s="98"/>
      <c r="FTB33" s="98"/>
      <c r="FTC33" s="98"/>
      <c r="FTD33" s="98"/>
      <c r="FTE33" s="98"/>
      <c r="FTF33" s="98"/>
      <c r="FTG33" s="98"/>
      <c r="FTH33" s="98"/>
      <c r="FTI33" s="98"/>
      <c r="FTJ33" s="98"/>
      <c r="FTK33" s="98"/>
      <c r="FTL33" s="98"/>
      <c r="FTM33" s="98"/>
      <c r="FTN33" s="98"/>
      <c r="FTO33" s="98"/>
      <c r="FTP33" s="98"/>
      <c r="FTQ33" s="98"/>
      <c r="FTR33" s="98"/>
      <c r="FTS33" s="98"/>
      <c r="FTT33" s="98"/>
      <c r="FTU33" s="98"/>
      <c r="FTV33" s="98"/>
      <c r="FTW33" s="98"/>
      <c r="FTX33" s="98"/>
      <c r="FTY33" s="98"/>
      <c r="FTZ33" s="98"/>
      <c r="FUA33" s="98"/>
      <c r="FUB33" s="98"/>
      <c r="FUC33" s="98"/>
      <c r="FUD33" s="98"/>
      <c r="FUE33" s="98"/>
      <c r="FUF33" s="98"/>
      <c r="FUG33" s="98"/>
      <c r="FUH33" s="98"/>
      <c r="FUI33" s="98"/>
      <c r="FUJ33" s="98"/>
      <c r="FUK33" s="98"/>
      <c r="FUL33" s="98"/>
      <c r="FUM33" s="98"/>
      <c r="FUN33" s="98"/>
      <c r="FUO33" s="98"/>
      <c r="FUP33" s="98"/>
      <c r="FUQ33" s="98"/>
      <c r="FUR33" s="98"/>
      <c r="FUS33" s="98"/>
      <c r="FUT33" s="98"/>
      <c r="FUU33" s="98"/>
      <c r="FUV33" s="98"/>
      <c r="FUW33" s="98"/>
      <c r="FUX33" s="98"/>
      <c r="FUY33" s="98"/>
      <c r="FUZ33" s="98"/>
      <c r="FVA33" s="98"/>
      <c r="FVB33" s="98"/>
      <c r="FVC33" s="98"/>
      <c r="FVD33" s="98"/>
      <c r="FVE33" s="98"/>
      <c r="FVF33" s="98"/>
      <c r="FVG33" s="98"/>
      <c r="FVH33" s="98"/>
      <c r="FVI33" s="98"/>
      <c r="FVJ33" s="98"/>
      <c r="FVK33" s="98"/>
      <c r="FVL33" s="98"/>
      <c r="FVM33" s="98"/>
      <c r="FVN33" s="98"/>
      <c r="FVO33" s="98"/>
      <c r="FVP33" s="98"/>
      <c r="FVQ33" s="98"/>
      <c r="FVR33" s="98"/>
      <c r="FVS33" s="98"/>
      <c r="FVT33" s="98"/>
      <c r="FVU33" s="98"/>
      <c r="FVV33" s="98"/>
      <c r="FVW33" s="98"/>
      <c r="FVX33" s="98"/>
      <c r="FVY33" s="98"/>
      <c r="FVZ33" s="98"/>
      <c r="FWA33" s="98"/>
      <c r="FWB33" s="98"/>
      <c r="FWC33" s="98"/>
      <c r="FWD33" s="98"/>
      <c r="FWE33" s="98"/>
      <c r="FWF33" s="98"/>
      <c r="FWG33" s="98"/>
      <c r="FWH33" s="98"/>
      <c r="FWI33" s="98"/>
      <c r="FWJ33" s="98"/>
      <c r="FWK33" s="98"/>
      <c r="FWL33" s="98"/>
      <c r="FWM33" s="98"/>
      <c r="FWN33" s="98"/>
      <c r="FWO33" s="98"/>
      <c r="FWP33" s="98"/>
      <c r="FWQ33" s="98"/>
      <c r="FWR33" s="98"/>
      <c r="FWS33" s="98"/>
      <c r="FWT33" s="98"/>
      <c r="FWU33" s="98"/>
      <c r="FWV33" s="98"/>
      <c r="FWW33" s="98"/>
      <c r="FWX33" s="98"/>
      <c r="FWY33" s="98"/>
      <c r="FWZ33" s="98"/>
      <c r="FXA33" s="98"/>
      <c r="FXB33" s="98"/>
      <c r="FXC33" s="98"/>
      <c r="FXD33" s="98"/>
      <c r="FXE33" s="98"/>
      <c r="FXF33" s="98"/>
      <c r="FXG33" s="98"/>
      <c r="FXH33" s="98"/>
      <c r="FXI33" s="98"/>
      <c r="FXJ33" s="98"/>
      <c r="FXK33" s="98"/>
      <c r="FXL33" s="98"/>
      <c r="FXM33" s="98"/>
      <c r="FXN33" s="98"/>
      <c r="FXO33" s="98"/>
      <c r="FXP33" s="98"/>
      <c r="FXQ33" s="98"/>
      <c r="FXR33" s="98"/>
      <c r="FXS33" s="98"/>
      <c r="FXT33" s="98"/>
      <c r="FXU33" s="98"/>
      <c r="FXV33" s="98"/>
      <c r="FXW33" s="98"/>
      <c r="FXX33" s="98"/>
      <c r="FXY33" s="98"/>
      <c r="FXZ33" s="98"/>
      <c r="FYA33" s="98"/>
      <c r="FYB33" s="98"/>
      <c r="FYC33" s="98"/>
      <c r="FYD33" s="98"/>
      <c r="FYE33" s="98"/>
      <c r="FYF33" s="98"/>
      <c r="FYG33" s="98"/>
      <c r="FYH33" s="98"/>
      <c r="FYI33" s="98"/>
      <c r="FYJ33" s="98"/>
      <c r="FYK33" s="98"/>
      <c r="FYL33" s="98"/>
      <c r="FYM33" s="98"/>
      <c r="FYN33" s="98"/>
      <c r="FYO33" s="98"/>
      <c r="FYP33" s="98"/>
      <c r="FYQ33" s="98"/>
      <c r="FYR33" s="98"/>
      <c r="FYS33" s="98"/>
      <c r="FYT33" s="98"/>
      <c r="FYU33" s="98"/>
      <c r="FYV33" s="98"/>
      <c r="FYW33" s="98"/>
      <c r="FYX33" s="98"/>
      <c r="FYY33" s="98"/>
      <c r="FYZ33" s="98"/>
      <c r="FZA33" s="98"/>
      <c r="FZB33" s="98"/>
      <c r="FZC33" s="98"/>
      <c r="FZD33" s="98"/>
      <c r="FZE33" s="98"/>
      <c r="FZF33" s="98"/>
      <c r="FZG33" s="98"/>
      <c r="FZH33" s="98"/>
      <c r="FZI33" s="98"/>
      <c r="FZJ33" s="98"/>
      <c r="FZK33" s="98"/>
      <c r="FZL33" s="98"/>
      <c r="FZM33" s="98"/>
      <c r="FZN33" s="98"/>
      <c r="FZO33" s="98"/>
      <c r="FZP33" s="98"/>
      <c r="FZQ33" s="98"/>
      <c r="FZR33" s="98"/>
      <c r="FZS33" s="98"/>
      <c r="FZT33" s="98"/>
      <c r="FZU33" s="98"/>
      <c r="FZV33" s="98"/>
      <c r="FZW33" s="98"/>
      <c r="FZX33" s="98"/>
      <c r="FZY33" s="98"/>
      <c r="FZZ33" s="98"/>
      <c r="GAA33" s="98"/>
      <c r="GAB33" s="98"/>
      <c r="GAC33" s="98"/>
      <c r="GAD33" s="98"/>
      <c r="GAE33" s="98"/>
      <c r="GAF33" s="98"/>
      <c r="GAG33" s="98"/>
      <c r="GAH33" s="98"/>
      <c r="GAI33" s="98"/>
      <c r="GAJ33" s="98"/>
      <c r="GAK33" s="98"/>
      <c r="GAL33" s="98"/>
      <c r="GAM33" s="98"/>
      <c r="GAN33" s="98"/>
      <c r="GAO33" s="98"/>
      <c r="GAP33" s="98"/>
      <c r="GAQ33" s="98"/>
      <c r="GAR33" s="98"/>
      <c r="GAS33" s="98"/>
      <c r="GAT33" s="98"/>
      <c r="GAU33" s="98"/>
      <c r="GAV33" s="98"/>
      <c r="GAW33" s="98"/>
      <c r="GAX33" s="98"/>
      <c r="GAY33" s="98"/>
      <c r="GAZ33" s="98"/>
      <c r="GBA33" s="98"/>
      <c r="GBB33" s="98"/>
      <c r="GBC33" s="98"/>
      <c r="GBD33" s="98"/>
      <c r="GBE33" s="98"/>
      <c r="GBF33" s="98"/>
      <c r="GBG33" s="98"/>
      <c r="GBH33" s="98"/>
      <c r="GBI33" s="98"/>
      <c r="GBJ33" s="98"/>
      <c r="GBK33" s="98"/>
      <c r="GBL33" s="98"/>
      <c r="GBM33" s="98"/>
      <c r="GBN33" s="98"/>
      <c r="GBO33" s="98"/>
      <c r="GBP33" s="98"/>
      <c r="GBQ33" s="98"/>
      <c r="GBR33" s="98"/>
      <c r="GBS33" s="98"/>
      <c r="GBT33" s="98"/>
      <c r="GBU33" s="98"/>
      <c r="GBV33" s="98"/>
      <c r="GBW33" s="98"/>
      <c r="GBX33" s="98"/>
      <c r="GBY33" s="98"/>
      <c r="GBZ33" s="98"/>
      <c r="GCA33" s="98"/>
      <c r="GCB33" s="98"/>
      <c r="GCC33" s="98"/>
      <c r="GCD33" s="98"/>
      <c r="GCE33" s="98"/>
      <c r="GCF33" s="98"/>
      <c r="GCG33" s="98"/>
      <c r="GCH33" s="98"/>
      <c r="GCI33" s="98"/>
      <c r="GCJ33" s="98"/>
      <c r="GCK33" s="98"/>
      <c r="GCL33" s="98"/>
      <c r="GCM33" s="98"/>
      <c r="GCN33" s="98"/>
      <c r="GCO33" s="98"/>
      <c r="GCP33" s="98"/>
      <c r="GCQ33" s="98"/>
      <c r="GCR33" s="98"/>
      <c r="GCS33" s="98"/>
      <c r="GCT33" s="98"/>
      <c r="GCU33" s="98"/>
      <c r="GCV33" s="98"/>
      <c r="GCW33" s="98"/>
      <c r="GCX33" s="98"/>
      <c r="GCY33" s="98"/>
      <c r="GCZ33" s="98"/>
      <c r="GDA33" s="98"/>
      <c r="GDB33" s="98"/>
      <c r="GDC33" s="98"/>
      <c r="GDD33" s="98"/>
      <c r="GDE33" s="98"/>
      <c r="GDF33" s="98"/>
      <c r="GDG33" s="98"/>
      <c r="GDH33" s="98"/>
      <c r="GDI33" s="98"/>
      <c r="GDJ33" s="98"/>
      <c r="GDK33" s="98"/>
      <c r="GDL33" s="98"/>
      <c r="GDM33" s="98"/>
      <c r="GDN33" s="98"/>
      <c r="GDO33" s="98"/>
      <c r="GDP33" s="98"/>
      <c r="GDQ33" s="98"/>
      <c r="GDR33" s="98"/>
      <c r="GDS33" s="98"/>
      <c r="GDT33" s="98"/>
      <c r="GDU33" s="98"/>
      <c r="GDV33" s="98"/>
      <c r="GDW33" s="98"/>
      <c r="GDX33" s="98"/>
      <c r="GDY33" s="98"/>
      <c r="GDZ33" s="98"/>
      <c r="GEA33" s="98"/>
      <c r="GEB33" s="98"/>
      <c r="GEC33" s="98"/>
      <c r="GED33" s="98"/>
      <c r="GEE33" s="98"/>
      <c r="GEF33" s="98"/>
      <c r="GEG33" s="98"/>
      <c r="GEH33" s="98"/>
      <c r="GEI33" s="98"/>
      <c r="GEJ33" s="98"/>
      <c r="GEK33" s="98"/>
      <c r="GEL33" s="98"/>
      <c r="GEM33" s="98"/>
      <c r="GEN33" s="98"/>
      <c r="GEO33" s="98"/>
      <c r="GEP33" s="98"/>
      <c r="GEQ33" s="98"/>
      <c r="GER33" s="98"/>
      <c r="GES33" s="98"/>
      <c r="GET33" s="98"/>
      <c r="GEU33" s="98"/>
      <c r="GEV33" s="98"/>
      <c r="GEW33" s="98"/>
      <c r="GEX33" s="98"/>
      <c r="GEY33" s="98"/>
      <c r="GEZ33" s="98"/>
      <c r="GFA33" s="98"/>
      <c r="GFB33" s="98"/>
      <c r="GFC33" s="98"/>
      <c r="GFD33" s="98"/>
      <c r="GFE33" s="98"/>
      <c r="GFF33" s="98"/>
      <c r="GFG33" s="98"/>
      <c r="GFH33" s="98"/>
      <c r="GFI33" s="98"/>
      <c r="GFJ33" s="98"/>
      <c r="GFK33" s="98"/>
      <c r="GFL33" s="98"/>
      <c r="GFM33" s="98"/>
      <c r="GFN33" s="98"/>
      <c r="GFO33" s="98"/>
      <c r="GFP33" s="98"/>
      <c r="GFQ33" s="98"/>
      <c r="GFR33" s="98"/>
      <c r="GFS33" s="98"/>
      <c r="GFT33" s="98"/>
      <c r="GFU33" s="98"/>
      <c r="GFV33" s="98"/>
      <c r="GFW33" s="98"/>
      <c r="GFX33" s="98"/>
      <c r="GFY33" s="98"/>
      <c r="GFZ33" s="98"/>
      <c r="GGA33" s="98"/>
      <c r="GGB33" s="98"/>
      <c r="GGC33" s="98"/>
      <c r="GGD33" s="98"/>
      <c r="GGE33" s="98"/>
      <c r="GGF33" s="98"/>
      <c r="GGG33" s="98"/>
      <c r="GGH33" s="98"/>
      <c r="GGI33" s="98"/>
      <c r="GGJ33" s="98"/>
      <c r="GGK33" s="98"/>
      <c r="GGL33" s="98"/>
      <c r="GGM33" s="98"/>
      <c r="GGN33" s="98"/>
      <c r="GGO33" s="98"/>
      <c r="GGP33" s="98"/>
      <c r="GGQ33" s="98"/>
      <c r="GGR33" s="98"/>
      <c r="GGS33" s="98"/>
      <c r="GGT33" s="98"/>
      <c r="GGU33" s="98"/>
      <c r="GGV33" s="98"/>
      <c r="GGW33" s="98"/>
      <c r="GGX33" s="98"/>
      <c r="GGY33" s="98"/>
      <c r="GGZ33" s="98"/>
      <c r="GHA33" s="98"/>
      <c r="GHB33" s="98"/>
      <c r="GHC33" s="98"/>
      <c r="GHD33" s="98"/>
      <c r="GHE33" s="98"/>
      <c r="GHF33" s="98"/>
      <c r="GHG33" s="98"/>
      <c r="GHH33" s="98"/>
      <c r="GHI33" s="98"/>
      <c r="GHJ33" s="98"/>
      <c r="GHK33" s="98"/>
      <c r="GHL33" s="98"/>
      <c r="GHM33" s="98"/>
      <c r="GHN33" s="98"/>
      <c r="GHO33" s="98"/>
      <c r="GHP33" s="98"/>
      <c r="GHQ33" s="98"/>
      <c r="GHR33" s="98"/>
      <c r="GHS33" s="98"/>
      <c r="GHT33" s="98"/>
      <c r="GHU33" s="98"/>
      <c r="GHV33" s="98"/>
      <c r="GHW33" s="98"/>
      <c r="GHX33" s="98"/>
      <c r="GHY33" s="98"/>
      <c r="GHZ33" s="98"/>
      <c r="GIA33" s="98"/>
      <c r="GIB33" s="98"/>
      <c r="GIC33" s="98"/>
      <c r="GID33" s="98"/>
      <c r="GIE33" s="98"/>
      <c r="GIF33" s="98"/>
      <c r="GIG33" s="98"/>
      <c r="GIH33" s="98"/>
      <c r="GII33" s="98"/>
      <c r="GIJ33" s="98"/>
      <c r="GIK33" s="98"/>
      <c r="GIL33" s="98"/>
      <c r="GIM33" s="98"/>
      <c r="GIN33" s="98"/>
      <c r="GIO33" s="98"/>
      <c r="GIP33" s="98"/>
      <c r="GIQ33" s="98"/>
      <c r="GIR33" s="98"/>
      <c r="GIS33" s="98"/>
      <c r="GIT33" s="98"/>
      <c r="GIU33" s="98"/>
      <c r="GIV33" s="98"/>
      <c r="GIW33" s="98"/>
      <c r="GIX33" s="98"/>
      <c r="GIY33" s="98"/>
      <c r="GIZ33" s="98"/>
      <c r="GJA33" s="98"/>
      <c r="GJB33" s="98"/>
      <c r="GJC33" s="98"/>
      <c r="GJD33" s="98"/>
      <c r="GJE33" s="98"/>
      <c r="GJF33" s="98"/>
      <c r="GJG33" s="98"/>
      <c r="GJH33" s="98"/>
      <c r="GJI33" s="98"/>
      <c r="GJJ33" s="98"/>
      <c r="GJK33" s="98"/>
      <c r="GJL33" s="98"/>
      <c r="GJM33" s="98"/>
      <c r="GJN33" s="98"/>
      <c r="GJO33" s="98"/>
      <c r="GJP33" s="98"/>
      <c r="GJQ33" s="98"/>
      <c r="GJR33" s="98"/>
      <c r="GJS33" s="98"/>
      <c r="GJT33" s="98"/>
      <c r="GJU33" s="98"/>
      <c r="GJV33" s="98"/>
      <c r="GJW33" s="98"/>
      <c r="GJX33" s="98"/>
      <c r="GJY33" s="98"/>
      <c r="GJZ33" s="98"/>
      <c r="GKA33" s="98"/>
      <c r="GKB33" s="98"/>
      <c r="GKC33" s="98"/>
      <c r="GKD33" s="98"/>
      <c r="GKE33" s="98"/>
      <c r="GKF33" s="98"/>
      <c r="GKG33" s="98"/>
      <c r="GKH33" s="98"/>
      <c r="GKI33" s="98"/>
      <c r="GKJ33" s="98"/>
      <c r="GKK33" s="98"/>
      <c r="GKL33" s="98"/>
      <c r="GKM33" s="98"/>
      <c r="GKN33" s="98"/>
      <c r="GKO33" s="98"/>
      <c r="GKP33" s="98"/>
      <c r="GKQ33" s="98"/>
      <c r="GKR33" s="98"/>
      <c r="GKS33" s="98"/>
      <c r="GKT33" s="98"/>
      <c r="GKU33" s="98"/>
      <c r="GKV33" s="98"/>
      <c r="GKW33" s="98"/>
      <c r="GKX33" s="98"/>
      <c r="GKY33" s="98"/>
      <c r="GKZ33" s="98"/>
      <c r="GLA33" s="98"/>
      <c r="GLB33" s="98"/>
      <c r="GLC33" s="98"/>
      <c r="GLD33" s="98"/>
      <c r="GLE33" s="98"/>
      <c r="GLF33" s="98"/>
      <c r="GLG33" s="98"/>
      <c r="GLH33" s="98"/>
      <c r="GLI33" s="98"/>
      <c r="GLJ33" s="98"/>
      <c r="GLK33" s="98"/>
      <c r="GLL33" s="98"/>
      <c r="GLM33" s="98"/>
      <c r="GLN33" s="98"/>
      <c r="GLO33" s="98"/>
      <c r="GLP33" s="98"/>
      <c r="GLQ33" s="98"/>
      <c r="GLR33" s="98"/>
      <c r="GLS33" s="98"/>
      <c r="GLT33" s="98"/>
      <c r="GLU33" s="98"/>
      <c r="GLV33" s="98"/>
      <c r="GLW33" s="98"/>
      <c r="GLX33" s="98"/>
      <c r="GLY33" s="98"/>
      <c r="GLZ33" s="98"/>
      <c r="GMA33" s="98"/>
      <c r="GMB33" s="98"/>
      <c r="GMC33" s="98"/>
      <c r="GMD33" s="98"/>
      <c r="GME33" s="98"/>
      <c r="GMF33" s="98"/>
      <c r="GMG33" s="98"/>
      <c r="GMH33" s="98"/>
      <c r="GMI33" s="98"/>
      <c r="GMJ33" s="98"/>
      <c r="GMK33" s="98"/>
      <c r="GML33" s="98"/>
      <c r="GMM33" s="98"/>
      <c r="GMN33" s="98"/>
      <c r="GMO33" s="98"/>
      <c r="GMP33" s="98"/>
      <c r="GMQ33" s="98"/>
      <c r="GMR33" s="98"/>
      <c r="GMS33" s="98"/>
      <c r="GMT33" s="98"/>
      <c r="GMU33" s="98"/>
      <c r="GMV33" s="98"/>
      <c r="GMW33" s="98"/>
      <c r="GMX33" s="98"/>
      <c r="GMY33" s="98"/>
      <c r="GMZ33" s="98"/>
      <c r="GNA33" s="98"/>
      <c r="GNB33" s="98"/>
      <c r="GNC33" s="98"/>
      <c r="GND33" s="98"/>
      <c r="GNE33" s="98"/>
      <c r="GNF33" s="98"/>
      <c r="GNG33" s="98"/>
      <c r="GNH33" s="98"/>
      <c r="GNI33" s="98"/>
      <c r="GNJ33" s="98"/>
      <c r="GNK33" s="98"/>
      <c r="GNL33" s="98"/>
      <c r="GNM33" s="98"/>
      <c r="GNN33" s="98"/>
      <c r="GNO33" s="98"/>
      <c r="GNP33" s="98"/>
      <c r="GNQ33" s="98"/>
      <c r="GNR33" s="98"/>
      <c r="GNS33" s="98"/>
      <c r="GNT33" s="98"/>
      <c r="GNU33" s="98"/>
      <c r="GNV33" s="98"/>
      <c r="GNW33" s="98"/>
      <c r="GNX33" s="98"/>
      <c r="GNY33" s="98"/>
      <c r="GNZ33" s="98"/>
      <c r="GOA33" s="98"/>
      <c r="GOB33" s="98"/>
      <c r="GOC33" s="98"/>
      <c r="GOD33" s="98"/>
      <c r="GOE33" s="98"/>
      <c r="GOF33" s="98"/>
      <c r="GOG33" s="98"/>
      <c r="GOH33" s="98"/>
      <c r="GOI33" s="98"/>
      <c r="GOJ33" s="98"/>
      <c r="GOK33" s="98"/>
      <c r="GOL33" s="98"/>
      <c r="GOM33" s="98"/>
      <c r="GON33" s="98"/>
      <c r="GOO33" s="98"/>
      <c r="GOP33" s="98"/>
      <c r="GOQ33" s="98"/>
      <c r="GOR33" s="98"/>
      <c r="GOS33" s="98"/>
      <c r="GOT33" s="98"/>
      <c r="GOU33" s="98"/>
      <c r="GOV33" s="98"/>
      <c r="GOW33" s="98"/>
      <c r="GOX33" s="98"/>
      <c r="GOY33" s="98"/>
      <c r="GOZ33" s="98"/>
      <c r="GPA33" s="98"/>
      <c r="GPB33" s="98"/>
      <c r="GPC33" s="98"/>
      <c r="GPD33" s="98"/>
      <c r="GPE33" s="98"/>
      <c r="GPF33" s="98"/>
      <c r="GPG33" s="98"/>
      <c r="GPH33" s="98"/>
      <c r="GPI33" s="98"/>
      <c r="GPJ33" s="98"/>
      <c r="GPK33" s="98"/>
      <c r="GPL33" s="98"/>
      <c r="GPM33" s="98"/>
      <c r="GPN33" s="98"/>
      <c r="GPO33" s="98"/>
      <c r="GPP33" s="98"/>
      <c r="GPQ33" s="98"/>
      <c r="GPR33" s="98"/>
      <c r="GPS33" s="98"/>
      <c r="GPT33" s="98"/>
      <c r="GPU33" s="98"/>
      <c r="GPV33" s="98"/>
      <c r="GPW33" s="98"/>
      <c r="GPX33" s="98"/>
      <c r="GPY33" s="98"/>
      <c r="GPZ33" s="98"/>
      <c r="GQA33" s="98"/>
      <c r="GQB33" s="98"/>
      <c r="GQC33" s="98"/>
      <c r="GQD33" s="98"/>
      <c r="GQE33" s="98"/>
      <c r="GQF33" s="98"/>
      <c r="GQG33" s="98"/>
      <c r="GQH33" s="98"/>
      <c r="GQI33" s="98"/>
      <c r="GQJ33" s="98"/>
      <c r="GQK33" s="98"/>
      <c r="GQL33" s="98"/>
      <c r="GQM33" s="98"/>
      <c r="GQN33" s="98"/>
      <c r="GQO33" s="98"/>
      <c r="GQP33" s="98"/>
      <c r="GQQ33" s="98"/>
      <c r="GQR33" s="98"/>
      <c r="GQS33" s="98"/>
      <c r="GQT33" s="98"/>
      <c r="GQU33" s="98"/>
      <c r="GQV33" s="98"/>
      <c r="GQW33" s="98"/>
      <c r="GQX33" s="98"/>
      <c r="GQY33" s="98"/>
      <c r="GQZ33" s="98"/>
      <c r="GRA33" s="98"/>
      <c r="GRB33" s="98"/>
      <c r="GRC33" s="98"/>
      <c r="GRD33" s="98"/>
      <c r="GRE33" s="98"/>
      <c r="GRF33" s="98"/>
      <c r="GRG33" s="98"/>
      <c r="GRH33" s="98"/>
      <c r="GRI33" s="98"/>
      <c r="GRJ33" s="98"/>
      <c r="GRK33" s="98"/>
      <c r="GRL33" s="98"/>
      <c r="GRM33" s="98"/>
      <c r="GRN33" s="98"/>
      <c r="GRO33" s="98"/>
      <c r="GRP33" s="98"/>
      <c r="GRQ33" s="98"/>
      <c r="GRR33" s="98"/>
      <c r="GRS33" s="98"/>
      <c r="GRT33" s="98"/>
      <c r="GRU33" s="98"/>
      <c r="GRV33" s="98"/>
      <c r="GRW33" s="98"/>
      <c r="GRX33" s="98"/>
      <c r="GRY33" s="98"/>
      <c r="GRZ33" s="98"/>
      <c r="GSA33" s="98"/>
      <c r="GSB33" s="98"/>
      <c r="GSC33" s="98"/>
      <c r="GSD33" s="98"/>
      <c r="GSE33" s="98"/>
      <c r="GSF33" s="98"/>
      <c r="GSG33" s="98"/>
      <c r="GSH33" s="98"/>
      <c r="GSI33" s="98"/>
      <c r="GSJ33" s="98"/>
      <c r="GSK33" s="98"/>
      <c r="GSL33" s="98"/>
      <c r="GSM33" s="98"/>
      <c r="GSN33" s="98"/>
      <c r="GSO33" s="98"/>
      <c r="GSP33" s="98"/>
      <c r="GSQ33" s="98"/>
      <c r="GSR33" s="98"/>
      <c r="GSS33" s="98"/>
      <c r="GST33" s="98"/>
      <c r="GSU33" s="98"/>
      <c r="GSV33" s="98"/>
      <c r="GSW33" s="98"/>
      <c r="GSX33" s="98"/>
      <c r="GSY33" s="98"/>
      <c r="GSZ33" s="98"/>
      <c r="GTA33" s="98"/>
      <c r="GTB33" s="98"/>
      <c r="GTC33" s="98"/>
      <c r="GTD33" s="98"/>
      <c r="GTE33" s="98"/>
      <c r="GTF33" s="98"/>
      <c r="GTG33" s="98"/>
      <c r="GTH33" s="98"/>
      <c r="GTI33" s="98"/>
      <c r="GTJ33" s="98"/>
      <c r="GTK33" s="98"/>
      <c r="GTL33" s="98"/>
      <c r="GTM33" s="98"/>
      <c r="GTN33" s="98"/>
      <c r="GTO33" s="98"/>
      <c r="GTP33" s="98"/>
      <c r="GTQ33" s="98"/>
      <c r="GTR33" s="98"/>
      <c r="GTS33" s="98"/>
      <c r="GTT33" s="98"/>
      <c r="GTU33" s="98"/>
      <c r="GTV33" s="98"/>
      <c r="GTW33" s="98"/>
      <c r="GTX33" s="98"/>
      <c r="GTY33" s="98"/>
      <c r="GTZ33" s="98"/>
      <c r="GUA33" s="98"/>
      <c r="GUB33" s="98"/>
      <c r="GUC33" s="98"/>
      <c r="GUD33" s="98"/>
      <c r="GUE33" s="98"/>
      <c r="GUF33" s="98"/>
      <c r="GUG33" s="98"/>
      <c r="GUH33" s="98"/>
      <c r="GUI33" s="98"/>
      <c r="GUJ33" s="98"/>
      <c r="GUK33" s="98"/>
      <c r="GUL33" s="98"/>
      <c r="GUM33" s="98"/>
      <c r="GUN33" s="98"/>
      <c r="GUO33" s="98"/>
      <c r="GUP33" s="98"/>
      <c r="GUQ33" s="98"/>
      <c r="GUR33" s="98"/>
      <c r="GUS33" s="98"/>
      <c r="GUT33" s="98"/>
      <c r="GUU33" s="98"/>
      <c r="GUV33" s="98"/>
      <c r="GUW33" s="98"/>
      <c r="GUX33" s="98"/>
      <c r="GUY33" s="98"/>
      <c r="GUZ33" s="98"/>
      <c r="GVA33" s="98"/>
      <c r="GVB33" s="98"/>
      <c r="GVC33" s="98"/>
      <c r="GVD33" s="98"/>
      <c r="GVE33" s="98"/>
      <c r="GVF33" s="98"/>
      <c r="GVG33" s="98"/>
      <c r="GVH33" s="98"/>
      <c r="GVI33" s="98"/>
      <c r="GVJ33" s="98"/>
      <c r="GVK33" s="98"/>
      <c r="GVL33" s="98"/>
      <c r="GVM33" s="98"/>
      <c r="GVN33" s="98"/>
      <c r="GVO33" s="98"/>
      <c r="GVP33" s="98"/>
      <c r="GVQ33" s="98"/>
      <c r="GVR33" s="98"/>
      <c r="GVS33" s="98"/>
      <c r="GVT33" s="98"/>
      <c r="GVU33" s="98"/>
      <c r="GVV33" s="98"/>
      <c r="GVW33" s="98"/>
      <c r="GVX33" s="98"/>
      <c r="GVY33" s="98"/>
      <c r="GVZ33" s="98"/>
      <c r="GWA33" s="98"/>
      <c r="GWB33" s="98"/>
      <c r="GWC33" s="98"/>
      <c r="GWD33" s="98"/>
      <c r="GWE33" s="98"/>
      <c r="GWF33" s="98"/>
      <c r="GWG33" s="98"/>
      <c r="GWH33" s="98"/>
      <c r="GWI33" s="98"/>
      <c r="GWJ33" s="98"/>
      <c r="GWK33" s="98"/>
      <c r="GWL33" s="98"/>
      <c r="GWM33" s="98"/>
      <c r="GWN33" s="98"/>
      <c r="GWO33" s="98"/>
      <c r="GWP33" s="98"/>
      <c r="GWQ33" s="98"/>
      <c r="GWR33" s="98"/>
      <c r="GWS33" s="98"/>
      <c r="GWT33" s="98"/>
      <c r="GWU33" s="98"/>
      <c r="GWV33" s="98"/>
      <c r="GWW33" s="98"/>
      <c r="GWX33" s="98"/>
      <c r="GWY33" s="98"/>
      <c r="GWZ33" s="98"/>
      <c r="GXA33" s="98"/>
      <c r="GXB33" s="98"/>
      <c r="GXC33" s="98"/>
      <c r="GXD33" s="98"/>
      <c r="GXE33" s="98"/>
      <c r="GXF33" s="98"/>
      <c r="GXG33" s="98"/>
      <c r="GXH33" s="98"/>
      <c r="GXI33" s="98"/>
      <c r="GXJ33" s="98"/>
      <c r="GXK33" s="98"/>
      <c r="GXL33" s="98"/>
      <c r="GXM33" s="98"/>
      <c r="GXN33" s="98"/>
      <c r="GXO33" s="98"/>
      <c r="GXP33" s="98"/>
      <c r="GXQ33" s="98"/>
      <c r="GXR33" s="98"/>
      <c r="GXS33" s="98"/>
      <c r="GXT33" s="98"/>
      <c r="GXU33" s="98"/>
      <c r="GXV33" s="98"/>
      <c r="GXW33" s="98"/>
      <c r="GXX33" s="98"/>
      <c r="GXY33" s="98"/>
      <c r="GXZ33" s="98"/>
      <c r="GYA33" s="98"/>
      <c r="GYB33" s="98"/>
      <c r="GYC33" s="98"/>
      <c r="GYD33" s="98"/>
      <c r="GYE33" s="98"/>
      <c r="GYF33" s="98"/>
      <c r="GYG33" s="98"/>
      <c r="GYH33" s="98"/>
      <c r="GYI33" s="98"/>
      <c r="GYJ33" s="98"/>
      <c r="GYK33" s="98"/>
      <c r="GYL33" s="98"/>
      <c r="GYM33" s="98"/>
      <c r="GYN33" s="98"/>
      <c r="GYO33" s="98"/>
      <c r="GYP33" s="98"/>
      <c r="GYQ33" s="98"/>
      <c r="GYR33" s="98"/>
      <c r="GYS33" s="98"/>
      <c r="GYT33" s="98"/>
      <c r="GYU33" s="98"/>
      <c r="GYV33" s="98"/>
      <c r="GYW33" s="98"/>
      <c r="GYX33" s="98"/>
      <c r="GYY33" s="98"/>
      <c r="GYZ33" s="98"/>
      <c r="GZA33" s="98"/>
      <c r="GZB33" s="98"/>
      <c r="GZC33" s="98"/>
      <c r="GZD33" s="98"/>
      <c r="GZE33" s="98"/>
      <c r="GZF33" s="98"/>
      <c r="GZG33" s="98"/>
      <c r="GZH33" s="98"/>
      <c r="GZI33" s="98"/>
      <c r="GZJ33" s="98"/>
      <c r="GZK33" s="98"/>
      <c r="GZL33" s="98"/>
      <c r="GZM33" s="98"/>
      <c r="GZN33" s="98"/>
      <c r="GZO33" s="98"/>
      <c r="GZP33" s="98"/>
      <c r="GZQ33" s="98"/>
      <c r="GZR33" s="98"/>
      <c r="GZS33" s="98"/>
      <c r="GZT33" s="98"/>
      <c r="GZU33" s="98"/>
      <c r="GZV33" s="98"/>
      <c r="GZW33" s="98"/>
      <c r="GZX33" s="98"/>
      <c r="GZY33" s="98"/>
      <c r="GZZ33" s="98"/>
      <c r="HAA33" s="98"/>
      <c r="HAB33" s="98"/>
      <c r="HAC33" s="98"/>
      <c r="HAD33" s="98"/>
      <c r="HAE33" s="98"/>
      <c r="HAF33" s="98"/>
      <c r="HAG33" s="98"/>
      <c r="HAH33" s="98"/>
      <c r="HAI33" s="98"/>
      <c r="HAJ33" s="98"/>
      <c r="HAK33" s="98"/>
      <c r="HAL33" s="98"/>
      <c r="HAM33" s="98"/>
      <c r="HAN33" s="98"/>
      <c r="HAO33" s="98"/>
      <c r="HAP33" s="98"/>
      <c r="HAQ33" s="98"/>
      <c r="HAR33" s="98"/>
      <c r="HAS33" s="98"/>
      <c r="HAT33" s="98"/>
      <c r="HAU33" s="98"/>
      <c r="HAV33" s="98"/>
      <c r="HAW33" s="98"/>
      <c r="HAX33" s="98"/>
      <c r="HAY33" s="98"/>
      <c r="HAZ33" s="98"/>
      <c r="HBA33" s="98"/>
      <c r="HBB33" s="98"/>
      <c r="HBC33" s="98"/>
      <c r="HBD33" s="98"/>
      <c r="HBE33" s="98"/>
      <c r="HBF33" s="98"/>
      <c r="HBG33" s="98"/>
      <c r="HBH33" s="98"/>
      <c r="HBI33" s="98"/>
      <c r="HBJ33" s="98"/>
      <c r="HBK33" s="98"/>
      <c r="HBL33" s="98"/>
      <c r="HBM33" s="98"/>
      <c r="HBN33" s="98"/>
      <c r="HBO33" s="98"/>
      <c r="HBP33" s="98"/>
      <c r="HBQ33" s="98"/>
      <c r="HBR33" s="98"/>
      <c r="HBS33" s="98"/>
      <c r="HBT33" s="98"/>
      <c r="HBU33" s="98"/>
      <c r="HBV33" s="98"/>
      <c r="HBW33" s="98"/>
      <c r="HBX33" s="98"/>
      <c r="HBY33" s="98"/>
      <c r="HBZ33" s="98"/>
      <c r="HCA33" s="98"/>
      <c r="HCB33" s="98"/>
      <c r="HCC33" s="98"/>
      <c r="HCD33" s="98"/>
      <c r="HCE33" s="98"/>
      <c r="HCF33" s="98"/>
      <c r="HCG33" s="98"/>
      <c r="HCH33" s="98"/>
      <c r="HCI33" s="98"/>
      <c r="HCJ33" s="98"/>
      <c r="HCK33" s="98"/>
      <c r="HCL33" s="98"/>
      <c r="HCM33" s="98"/>
      <c r="HCN33" s="98"/>
      <c r="HCO33" s="98"/>
      <c r="HCP33" s="98"/>
      <c r="HCQ33" s="98"/>
      <c r="HCR33" s="98"/>
      <c r="HCS33" s="98"/>
      <c r="HCT33" s="98"/>
      <c r="HCU33" s="98"/>
      <c r="HCV33" s="98"/>
      <c r="HCW33" s="98"/>
      <c r="HCX33" s="98"/>
      <c r="HCY33" s="98"/>
      <c r="HCZ33" s="98"/>
      <c r="HDA33" s="98"/>
      <c r="HDB33" s="98"/>
      <c r="HDC33" s="98"/>
      <c r="HDD33" s="98"/>
      <c r="HDE33" s="98"/>
      <c r="HDF33" s="98"/>
      <c r="HDG33" s="98"/>
      <c r="HDH33" s="98"/>
      <c r="HDI33" s="98"/>
      <c r="HDJ33" s="98"/>
      <c r="HDK33" s="98"/>
      <c r="HDL33" s="98"/>
      <c r="HDM33" s="98"/>
      <c r="HDN33" s="98"/>
      <c r="HDO33" s="98"/>
      <c r="HDP33" s="98"/>
      <c r="HDQ33" s="98"/>
      <c r="HDR33" s="98"/>
      <c r="HDS33" s="98"/>
      <c r="HDT33" s="98"/>
      <c r="HDU33" s="98"/>
      <c r="HDV33" s="98"/>
      <c r="HDW33" s="98"/>
      <c r="HDX33" s="98"/>
      <c r="HDY33" s="98"/>
      <c r="HDZ33" s="98"/>
      <c r="HEA33" s="98"/>
      <c r="HEB33" s="98"/>
      <c r="HEC33" s="98"/>
      <c r="HED33" s="98"/>
      <c r="HEE33" s="98"/>
      <c r="HEF33" s="98"/>
      <c r="HEG33" s="98"/>
      <c r="HEH33" s="98"/>
      <c r="HEI33" s="98"/>
      <c r="HEJ33" s="98"/>
      <c r="HEK33" s="98"/>
      <c r="HEL33" s="98"/>
      <c r="HEM33" s="98"/>
      <c r="HEN33" s="98"/>
      <c r="HEO33" s="98"/>
      <c r="HEP33" s="98"/>
      <c r="HEQ33" s="98"/>
      <c r="HER33" s="98"/>
      <c r="HES33" s="98"/>
      <c r="HET33" s="98"/>
      <c r="HEU33" s="98"/>
      <c r="HEV33" s="98"/>
      <c r="HEW33" s="98"/>
      <c r="HEX33" s="98"/>
      <c r="HEY33" s="98"/>
      <c r="HEZ33" s="98"/>
      <c r="HFA33" s="98"/>
      <c r="HFB33" s="98"/>
      <c r="HFC33" s="98"/>
      <c r="HFD33" s="98"/>
      <c r="HFE33" s="98"/>
      <c r="HFF33" s="98"/>
      <c r="HFG33" s="98"/>
      <c r="HFH33" s="98"/>
      <c r="HFI33" s="98"/>
      <c r="HFJ33" s="98"/>
      <c r="HFK33" s="98"/>
      <c r="HFL33" s="98"/>
      <c r="HFM33" s="98"/>
      <c r="HFN33" s="98"/>
      <c r="HFO33" s="98"/>
      <c r="HFP33" s="98"/>
      <c r="HFQ33" s="98"/>
      <c r="HFR33" s="98"/>
      <c r="HFS33" s="98"/>
      <c r="HFT33" s="98"/>
      <c r="HFU33" s="98"/>
      <c r="HFV33" s="98"/>
      <c r="HFW33" s="98"/>
      <c r="HFX33" s="98"/>
      <c r="HFY33" s="98"/>
      <c r="HFZ33" s="98"/>
      <c r="HGA33" s="98"/>
      <c r="HGB33" s="98"/>
      <c r="HGC33" s="98"/>
      <c r="HGD33" s="98"/>
      <c r="HGE33" s="98"/>
      <c r="HGF33" s="98"/>
      <c r="HGG33" s="98"/>
      <c r="HGH33" s="98"/>
      <c r="HGI33" s="98"/>
      <c r="HGJ33" s="98"/>
      <c r="HGK33" s="98"/>
      <c r="HGL33" s="98"/>
      <c r="HGM33" s="98"/>
      <c r="HGN33" s="98"/>
      <c r="HGO33" s="98"/>
      <c r="HGP33" s="98"/>
      <c r="HGQ33" s="98"/>
      <c r="HGR33" s="98"/>
      <c r="HGS33" s="98"/>
      <c r="HGT33" s="98"/>
      <c r="HGU33" s="98"/>
      <c r="HGV33" s="98"/>
      <c r="HGW33" s="98"/>
      <c r="HGX33" s="98"/>
      <c r="HGY33" s="98"/>
      <c r="HGZ33" s="98"/>
      <c r="HHA33" s="98"/>
      <c r="HHB33" s="98"/>
      <c r="HHC33" s="98"/>
      <c r="HHD33" s="98"/>
      <c r="HHE33" s="98"/>
      <c r="HHF33" s="98"/>
      <c r="HHG33" s="98"/>
      <c r="HHH33" s="98"/>
      <c r="HHI33" s="98"/>
      <c r="HHJ33" s="98"/>
      <c r="HHK33" s="98"/>
      <c r="HHL33" s="98"/>
      <c r="HHM33" s="98"/>
      <c r="HHN33" s="98"/>
      <c r="HHO33" s="98"/>
      <c r="HHP33" s="98"/>
      <c r="HHQ33" s="98"/>
      <c r="HHR33" s="98"/>
      <c r="HHS33" s="98"/>
      <c r="HHT33" s="98"/>
      <c r="HHU33" s="98"/>
      <c r="HHV33" s="98"/>
      <c r="HHW33" s="98"/>
      <c r="HHX33" s="98"/>
      <c r="HHY33" s="98"/>
      <c r="HHZ33" s="98"/>
      <c r="HIA33" s="98"/>
      <c r="HIB33" s="98"/>
      <c r="HIC33" s="98"/>
      <c r="HID33" s="98"/>
      <c r="HIE33" s="98"/>
      <c r="HIF33" s="98"/>
      <c r="HIG33" s="98"/>
      <c r="HIH33" s="98"/>
      <c r="HII33" s="98"/>
      <c r="HIJ33" s="98"/>
      <c r="HIK33" s="98"/>
      <c r="HIL33" s="98"/>
      <c r="HIM33" s="98"/>
      <c r="HIN33" s="98"/>
      <c r="HIO33" s="98"/>
      <c r="HIP33" s="98"/>
      <c r="HIQ33" s="98"/>
      <c r="HIR33" s="98"/>
      <c r="HIS33" s="98"/>
      <c r="HIT33" s="98"/>
      <c r="HIU33" s="98"/>
      <c r="HIV33" s="98"/>
      <c r="HIW33" s="98"/>
      <c r="HIX33" s="98"/>
      <c r="HIY33" s="98"/>
      <c r="HIZ33" s="98"/>
      <c r="HJA33" s="98"/>
      <c r="HJB33" s="98"/>
      <c r="HJC33" s="98"/>
      <c r="HJD33" s="98"/>
      <c r="HJE33" s="98"/>
      <c r="HJF33" s="98"/>
      <c r="HJG33" s="98"/>
      <c r="HJH33" s="98"/>
      <c r="HJI33" s="98"/>
      <c r="HJJ33" s="98"/>
      <c r="HJK33" s="98"/>
      <c r="HJL33" s="98"/>
      <c r="HJM33" s="98"/>
      <c r="HJN33" s="98"/>
      <c r="HJO33" s="98"/>
      <c r="HJP33" s="98"/>
      <c r="HJQ33" s="98"/>
      <c r="HJR33" s="98"/>
      <c r="HJS33" s="98"/>
      <c r="HJT33" s="98"/>
      <c r="HJU33" s="98"/>
      <c r="HJV33" s="98"/>
      <c r="HJW33" s="98"/>
      <c r="HJX33" s="98"/>
      <c r="HJY33" s="98"/>
      <c r="HJZ33" s="98"/>
      <c r="HKA33" s="98"/>
      <c r="HKB33" s="98"/>
      <c r="HKC33" s="98"/>
      <c r="HKD33" s="98"/>
      <c r="HKE33" s="98"/>
      <c r="HKF33" s="98"/>
      <c r="HKG33" s="98"/>
      <c r="HKH33" s="98"/>
      <c r="HKI33" s="98"/>
      <c r="HKJ33" s="98"/>
      <c r="HKK33" s="98"/>
      <c r="HKL33" s="98"/>
      <c r="HKM33" s="98"/>
      <c r="HKN33" s="98"/>
      <c r="HKO33" s="98"/>
      <c r="HKP33" s="98"/>
      <c r="HKQ33" s="98"/>
      <c r="HKR33" s="98"/>
      <c r="HKS33" s="98"/>
      <c r="HKT33" s="98"/>
      <c r="HKU33" s="98"/>
      <c r="HKV33" s="98"/>
      <c r="HKW33" s="98"/>
      <c r="HKX33" s="98"/>
      <c r="HKY33" s="98"/>
      <c r="HKZ33" s="98"/>
      <c r="HLA33" s="98"/>
      <c r="HLB33" s="98"/>
      <c r="HLC33" s="98"/>
      <c r="HLD33" s="98"/>
      <c r="HLE33" s="98"/>
      <c r="HLF33" s="98"/>
      <c r="HLG33" s="98"/>
      <c r="HLH33" s="98"/>
      <c r="HLI33" s="98"/>
      <c r="HLJ33" s="98"/>
      <c r="HLK33" s="98"/>
      <c r="HLL33" s="98"/>
      <c r="HLM33" s="98"/>
      <c r="HLN33" s="98"/>
      <c r="HLO33" s="98"/>
      <c r="HLP33" s="98"/>
      <c r="HLQ33" s="98"/>
      <c r="HLR33" s="98"/>
      <c r="HLS33" s="98"/>
      <c r="HLT33" s="98"/>
      <c r="HLU33" s="98"/>
      <c r="HLV33" s="98"/>
      <c r="HLW33" s="98"/>
      <c r="HLX33" s="98"/>
      <c r="HLY33" s="98"/>
      <c r="HLZ33" s="98"/>
      <c r="HMA33" s="98"/>
      <c r="HMB33" s="98"/>
      <c r="HMC33" s="98"/>
      <c r="HMD33" s="98"/>
      <c r="HME33" s="98"/>
      <c r="HMF33" s="98"/>
      <c r="HMG33" s="98"/>
      <c r="HMH33" s="98"/>
      <c r="HMI33" s="98"/>
      <c r="HMJ33" s="98"/>
      <c r="HMK33" s="98"/>
      <c r="HML33" s="98"/>
      <c r="HMM33" s="98"/>
      <c r="HMN33" s="98"/>
      <c r="HMO33" s="98"/>
      <c r="HMP33" s="98"/>
      <c r="HMQ33" s="98"/>
      <c r="HMR33" s="98"/>
      <c r="HMS33" s="98"/>
      <c r="HMT33" s="98"/>
      <c r="HMU33" s="98"/>
      <c r="HMV33" s="98"/>
      <c r="HMW33" s="98"/>
      <c r="HMX33" s="98"/>
      <c r="HMY33" s="98"/>
      <c r="HMZ33" s="98"/>
      <c r="HNA33" s="98"/>
      <c r="HNB33" s="98"/>
      <c r="HNC33" s="98"/>
      <c r="HND33" s="98"/>
      <c r="HNE33" s="98"/>
      <c r="HNF33" s="98"/>
      <c r="HNG33" s="98"/>
      <c r="HNH33" s="98"/>
      <c r="HNI33" s="98"/>
      <c r="HNJ33" s="98"/>
      <c r="HNK33" s="98"/>
      <c r="HNL33" s="98"/>
      <c r="HNM33" s="98"/>
      <c r="HNN33" s="98"/>
      <c r="HNO33" s="98"/>
      <c r="HNP33" s="98"/>
      <c r="HNQ33" s="98"/>
      <c r="HNR33" s="98"/>
      <c r="HNS33" s="98"/>
      <c r="HNT33" s="98"/>
      <c r="HNU33" s="98"/>
      <c r="HNV33" s="98"/>
      <c r="HNW33" s="98"/>
      <c r="HNX33" s="98"/>
      <c r="HNY33" s="98"/>
      <c r="HNZ33" s="98"/>
      <c r="HOA33" s="98"/>
      <c r="HOB33" s="98"/>
      <c r="HOC33" s="98"/>
      <c r="HOD33" s="98"/>
      <c r="HOE33" s="98"/>
      <c r="HOF33" s="98"/>
      <c r="HOG33" s="98"/>
      <c r="HOH33" s="98"/>
      <c r="HOI33" s="98"/>
      <c r="HOJ33" s="98"/>
      <c r="HOK33" s="98"/>
      <c r="HOL33" s="98"/>
      <c r="HOM33" s="98"/>
      <c r="HON33" s="98"/>
      <c r="HOO33" s="98"/>
      <c r="HOP33" s="98"/>
      <c r="HOQ33" s="98"/>
      <c r="HOR33" s="98"/>
      <c r="HOS33" s="98"/>
      <c r="HOT33" s="98"/>
      <c r="HOU33" s="98"/>
      <c r="HOV33" s="98"/>
      <c r="HOW33" s="98"/>
      <c r="HOX33" s="98"/>
      <c r="HOY33" s="98"/>
      <c r="HOZ33" s="98"/>
      <c r="HPA33" s="98"/>
      <c r="HPB33" s="98"/>
      <c r="HPC33" s="98"/>
      <c r="HPD33" s="98"/>
      <c r="HPE33" s="98"/>
      <c r="HPF33" s="98"/>
      <c r="HPG33" s="98"/>
      <c r="HPH33" s="98"/>
      <c r="HPI33" s="98"/>
      <c r="HPJ33" s="98"/>
      <c r="HPK33" s="98"/>
      <c r="HPL33" s="98"/>
      <c r="HPM33" s="98"/>
      <c r="HPN33" s="98"/>
      <c r="HPO33" s="98"/>
      <c r="HPP33" s="98"/>
      <c r="HPQ33" s="98"/>
      <c r="HPR33" s="98"/>
      <c r="HPS33" s="98"/>
      <c r="HPT33" s="98"/>
      <c r="HPU33" s="98"/>
      <c r="HPV33" s="98"/>
      <c r="HPW33" s="98"/>
      <c r="HPX33" s="98"/>
      <c r="HPY33" s="98"/>
      <c r="HPZ33" s="98"/>
      <c r="HQA33" s="98"/>
      <c r="HQB33" s="98"/>
      <c r="HQC33" s="98"/>
      <c r="HQD33" s="98"/>
      <c r="HQE33" s="98"/>
      <c r="HQF33" s="98"/>
      <c r="HQG33" s="98"/>
      <c r="HQH33" s="98"/>
      <c r="HQI33" s="98"/>
      <c r="HQJ33" s="98"/>
      <c r="HQK33" s="98"/>
      <c r="HQL33" s="98"/>
      <c r="HQM33" s="98"/>
      <c r="HQN33" s="98"/>
      <c r="HQO33" s="98"/>
      <c r="HQP33" s="98"/>
      <c r="HQQ33" s="98"/>
      <c r="HQR33" s="98"/>
      <c r="HQS33" s="98"/>
      <c r="HQT33" s="98"/>
      <c r="HQU33" s="98"/>
      <c r="HQV33" s="98"/>
      <c r="HQW33" s="98"/>
      <c r="HQX33" s="98"/>
      <c r="HQY33" s="98"/>
      <c r="HQZ33" s="98"/>
      <c r="HRA33" s="98"/>
      <c r="HRB33" s="98"/>
      <c r="HRC33" s="98"/>
      <c r="HRD33" s="98"/>
      <c r="HRE33" s="98"/>
      <c r="HRF33" s="98"/>
      <c r="HRG33" s="98"/>
      <c r="HRH33" s="98"/>
      <c r="HRI33" s="98"/>
      <c r="HRJ33" s="98"/>
      <c r="HRK33" s="98"/>
      <c r="HRL33" s="98"/>
      <c r="HRM33" s="98"/>
      <c r="HRN33" s="98"/>
      <c r="HRO33" s="98"/>
      <c r="HRP33" s="98"/>
      <c r="HRQ33" s="98"/>
      <c r="HRR33" s="98"/>
      <c r="HRS33" s="98"/>
      <c r="HRT33" s="98"/>
      <c r="HRU33" s="98"/>
      <c r="HRV33" s="98"/>
      <c r="HRW33" s="98"/>
      <c r="HRX33" s="98"/>
      <c r="HRY33" s="98"/>
      <c r="HRZ33" s="98"/>
      <c r="HSA33" s="98"/>
      <c r="HSB33" s="98"/>
      <c r="HSC33" s="98"/>
      <c r="HSD33" s="98"/>
      <c r="HSE33" s="98"/>
      <c r="HSF33" s="98"/>
      <c r="HSG33" s="98"/>
      <c r="HSH33" s="98"/>
      <c r="HSI33" s="98"/>
      <c r="HSJ33" s="98"/>
      <c r="HSK33" s="98"/>
      <c r="HSL33" s="98"/>
      <c r="HSM33" s="98"/>
      <c r="HSN33" s="98"/>
      <c r="HSO33" s="98"/>
      <c r="HSP33" s="98"/>
      <c r="HSQ33" s="98"/>
      <c r="HSR33" s="98"/>
      <c r="HSS33" s="98"/>
      <c r="HST33" s="98"/>
      <c r="HSU33" s="98"/>
      <c r="HSV33" s="98"/>
      <c r="HSW33" s="98"/>
      <c r="HSX33" s="98"/>
      <c r="HSY33" s="98"/>
      <c r="HSZ33" s="98"/>
      <c r="HTA33" s="98"/>
      <c r="HTB33" s="98"/>
      <c r="HTC33" s="98"/>
      <c r="HTD33" s="98"/>
      <c r="HTE33" s="98"/>
      <c r="HTF33" s="98"/>
      <c r="HTG33" s="98"/>
      <c r="HTH33" s="98"/>
      <c r="HTI33" s="98"/>
      <c r="HTJ33" s="98"/>
      <c r="HTK33" s="98"/>
      <c r="HTL33" s="98"/>
      <c r="HTM33" s="98"/>
      <c r="HTN33" s="98"/>
      <c r="HTO33" s="98"/>
      <c r="HTP33" s="98"/>
      <c r="HTQ33" s="98"/>
      <c r="HTR33" s="98"/>
      <c r="HTS33" s="98"/>
      <c r="HTT33" s="98"/>
      <c r="HTU33" s="98"/>
      <c r="HTV33" s="98"/>
      <c r="HTW33" s="98"/>
      <c r="HTX33" s="98"/>
      <c r="HTY33" s="98"/>
      <c r="HTZ33" s="98"/>
      <c r="HUA33" s="98"/>
      <c r="HUB33" s="98"/>
      <c r="HUC33" s="98"/>
      <c r="HUD33" s="98"/>
      <c r="HUE33" s="98"/>
      <c r="HUF33" s="98"/>
      <c r="HUG33" s="98"/>
      <c r="HUH33" s="98"/>
      <c r="HUI33" s="98"/>
      <c r="HUJ33" s="98"/>
      <c r="HUK33" s="98"/>
      <c r="HUL33" s="98"/>
      <c r="HUM33" s="98"/>
      <c r="HUN33" s="98"/>
      <c r="HUO33" s="98"/>
      <c r="HUP33" s="98"/>
      <c r="HUQ33" s="98"/>
      <c r="HUR33" s="98"/>
      <c r="HUS33" s="98"/>
      <c r="HUT33" s="98"/>
      <c r="HUU33" s="98"/>
      <c r="HUV33" s="98"/>
      <c r="HUW33" s="98"/>
      <c r="HUX33" s="98"/>
      <c r="HUY33" s="98"/>
      <c r="HUZ33" s="98"/>
      <c r="HVA33" s="98"/>
      <c r="HVB33" s="98"/>
      <c r="HVC33" s="98"/>
      <c r="HVD33" s="98"/>
      <c r="HVE33" s="98"/>
      <c r="HVF33" s="98"/>
      <c r="HVG33" s="98"/>
      <c r="HVH33" s="98"/>
      <c r="HVI33" s="98"/>
      <c r="HVJ33" s="98"/>
      <c r="HVK33" s="98"/>
      <c r="HVL33" s="98"/>
      <c r="HVM33" s="98"/>
      <c r="HVN33" s="98"/>
      <c r="HVO33" s="98"/>
      <c r="HVP33" s="98"/>
      <c r="HVQ33" s="98"/>
      <c r="HVR33" s="98"/>
      <c r="HVS33" s="98"/>
      <c r="HVT33" s="98"/>
      <c r="HVU33" s="98"/>
      <c r="HVV33" s="98"/>
      <c r="HVW33" s="98"/>
      <c r="HVX33" s="98"/>
      <c r="HVY33" s="98"/>
      <c r="HVZ33" s="98"/>
      <c r="HWA33" s="98"/>
      <c r="HWB33" s="98"/>
      <c r="HWC33" s="98"/>
      <c r="HWD33" s="98"/>
      <c r="HWE33" s="98"/>
      <c r="HWF33" s="98"/>
      <c r="HWG33" s="98"/>
      <c r="HWH33" s="98"/>
      <c r="HWI33" s="98"/>
      <c r="HWJ33" s="98"/>
      <c r="HWK33" s="98"/>
      <c r="HWL33" s="98"/>
      <c r="HWM33" s="98"/>
      <c r="HWN33" s="98"/>
      <c r="HWO33" s="98"/>
      <c r="HWP33" s="98"/>
      <c r="HWQ33" s="98"/>
      <c r="HWR33" s="98"/>
      <c r="HWS33" s="98"/>
      <c r="HWT33" s="98"/>
      <c r="HWU33" s="98"/>
      <c r="HWV33" s="98"/>
      <c r="HWW33" s="98"/>
      <c r="HWX33" s="98"/>
      <c r="HWY33" s="98"/>
      <c r="HWZ33" s="98"/>
      <c r="HXA33" s="98"/>
      <c r="HXB33" s="98"/>
      <c r="HXC33" s="98"/>
      <c r="HXD33" s="98"/>
      <c r="HXE33" s="98"/>
      <c r="HXF33" s="98"/>
      <c r="HXG33" s="98"/>
      <c r="HXH33" s="98"/>
      <c r="HXI33" s="98"/>
      <c r="HXJ33" s="98"/>
      <c r="HXK33" s="98"/>
      <c r="HXL33" s="98"/>
      <c r="HXM33" s="98"/>
      <c r="HXN33" s="98"/>
      <c r="HXO33" s="98"/>
      <c r="HXP33" s="98"/>
      <c r="HXQ33" s="98"/>
      <c r="HXR33" s="98"/>
      <c r="HXS33" s="98"/>
      <c r="HXT33" s="98"/>
      <c r="HXU33" s="98"/>
      <c r="HXV33" s="98"/>
      <c r="HXW33" s="98"/>
      <c r="HXX33" s="98"/>
      <c r="HXY33" s="98"/>
      <c r="HXZ33" s="98"/>
      <c r="HYA33" s="98"/>
      <c r="HYB33" s="98"/>
      <c r="HYC33" s="98"/>
      <c r="HYD33" s="98"/>
      <c r="HYE33" s="98"/>
      <c r="HYF33" s="98"/>
      <c r="HYG33" s="98"/>
      <c r="HYH33" s="98"/>
      <c r="HYI33" s="98"/>
      <c r="HYJ33" s="98"/>
      <c r="HYK33" s="98"/>
      <c r="HYL33" s="98"/>
      <c r="HYM33" s="98"/>
      <c r="HYN33" s="98"/>
      <c r="HYO33" s="98"/>
      <c r="HYP33" s="98"/>
      <c r="HYQ33" s="98"/>
      <c r="HYR33" s="98"/>
      <c r="HYS33" s="98"/>
      <c r="HYT33" s="98"/>
      <c r="HYU33" s="98"/>
      <c r="HYV33" s="98"/>
      <c r="HYW33" s="98"/>
      <c r="HYX33" s="98"/>
      <c r="HYY33" s="98"/>
      <c r="HYZ33" s="98"/>
      <c r="HZA33" s="98"/>
      <c r="HZB33" s="98"/>
      <c r="HZC33" s="98"/>
      <c r="HZD33" s="98"/>
      <c r="HZE33" s="98"/>
      <c r="HZF33" s="98"/>
      <c r="HZG33" s="98"/>
      <c r="HZH33" s="98"/>
      <c r="HZI33" s="98"/>
      <c r="HZJ33" s="98"/>
      <c r="HZK33" s="98"/>
      <c r="HZL33" s="98"/>
      <c r="HZM33" s="98"/>
      <c r="HZN33" s="98"/>
      <c r="HZO33" s="98"/>
      <c r="HZP33" s="98"/>
      <c r="HZQ33" s="98"/>
      <c r="HZR33" s="98"/>
      <c r="HZS33" s="98"/>
      <c r="HZT33" s="98"/>
      <c r="HZU33" s="98"/>
      <c r="HZV33" s="98"/>
      <c r="HZW33" s="98"/>
      <c r="HZX33" s="98"/>
      <c r="HZY33" s="98"/>
      <c r="HZZ33" s="98"/>
      <c r="IAA33" s="98"/>
      <c r="IAB33" s="98"/>
      <c r="IAC33" s="98"/>
      <c r="IAD33" s="98"/>
      <c r="IAE33" s="98"/>
      <c r="IAF33" s="98"/>
      <c r="IAG33" s="98"/>
      <c r="IAH33" s="98"/>
      <c r="IAI33" s="98"/>
      <c r="IAJ33" s="98"/>
      <c r="IAK33" s="98"/>
      <c r="IAL33" s="98"/>
      <c r="IAM33" s="98"/>
      <c r="IAN33" s="98"/>
      <c r="IAO33" s="98"/>
      <c r="IAP33" s="98"/>
      <c r="IAQ33" s="98"/>
      <c r="IAR33" s="98"/>
      <c r="IAS33" s="98"/>
      <c r="IAT33" s="98"/>
      <c r="IAU33" s="98"/>
      <c r="IAV33" s="98"/>
      <c r="IAW33" s="98"/>
      <c r="IAX33" s="98"/>
      <c r="IAY33" s="98"/>
      <c r="IAZ33" s="98"/>
      <c r="IBA33" s="98"/>
      <c r="IBB33" s="98"/>
      <c r="IBC33" s="98"/>
      <c r="IBD33" s="98"/>
      <c r="IBE33" s="98"/>
      <c r="IBF33" s="98"/>
      <c r="IBG33" s="98"/>
      <c r="IBH33" s="98"/>
      <c r="IBI33" s="98"/>
      <c r="IBJ33" s="98"/>
      <c r="IBK33" s="98"/>
      <c r="IBL33" s="98"/>
      <c r="IBM33" s="98"/>
      <c r="IBN33" s="98"/>
      <c r="IBO33" s="98"/>
      <c r="IBP33" s="98"/>
      <c r="IBQ33" s="98"/>
      <c r="IBR33" s="98"/>
      <c r="IBS33" s="98"/>
      <c r="IBT33" s="98"/>
      <c r="IBU33" s="98"/>
      <c r="IBV33" s="98"/>
      <c r="IBW33" s="98"/>
      <c r="IBX33" s="98"/>
      <c r="IBY33" s="98"/>
      <c r="IBZ33" s="98"/>
      <c r="ICA33" s="98"/>
      <c r="ICB33" s="98"/>
      <c r="ICC33" s="98"/>
      <c r="ICD33" s="98"/>
      <c r="ICE33" s="98"/>
      <c r="ICF33" s="98"/>
      <c r="ICG33" s="98"/>
      <c r="ICH33" s="98"/>
      <c r="ICI33" s="98"/>
      <c r="ICJ33" s="98"/>
      <c r="ICK33" s="98"/>
      <c r="ICL33" s="98"/>
      <c r="ICM33" s="98"/>
      <c r="ICN33" s="98"/>
      <c r="ICO33" s="98"/>
      <c r="ICP33" s="98"/>
      <c r="ICQ33" s="98"/>
      <c r="ICR33" s="98"/>
      <c r="ICS33" s="98"/>
      <c r="ICT33" s="98"/>
      <c r="ICU33" s="98"/>
      <c r="ICV33" s="98"/>
      <c r="ICW33" s="98"/>
      <c r="ICX33" s="98"/>
      <c r="ICY33" s="98"/>
      <c r="ICZ33" s="98"/>
      <c r="IDA33" s="98"/>
      <c r="IDB33" s="98"/>
      <c r="IDC33" s="98"/>
      <c r="IDD33" s="98"/>
      <c r="IDE33" s="98"/>
      <c r="IDF33" s="98"/>
      <c r="IDG33" s="98"/>
      <c r="IDH33" s="98"/>
      <c r="IDI33" s="98"/>
      <c r="IDJ33" s="98"/>
      <c r="IDK33" s="98"/>
      <c r="IDL33" s="98"/>
      <c r="IDM33" s="98"/>
      <c r="IDN33" s="98"/>
      <c r="IDO33" s="98"/>
      <c r="IDP33" s="98"/>
      <c r="IDQ33" s="98"/>
      <c r="IDR33" s="98"/>
      <c r="IDS33" s="98"/>
      <c r="IDT33" s="98"/>
      <c r="IDU33" s="98"/>
      <c r="IDV33" s="98"/>
      <c r="IDW33" s="98"/>
      <c r="IDX33" s="98"/>
      <c r="IDY33" s="98"/>
      <c r="IDZ33" s="98"/>
      <c r="IEA33" s="98"/>
      <c r="IEB33" s="98"/>
      <c r="IEC33" s="98"/>
      <c r="IED33" s="98"/>
      <c r="IEE33" s="98"/>
      <c r="IEF33" s="98"/>
      <c r="IEG33" s="98"/>
      <c r="IEH33" s="98"/>
      <c r="IEI33" s="98"/>
      <c r="IEJ33" s="98"/>
      <c r="IEK33" s="98"/>
      <c r="IEL33" s="98"/>
      <c r="IEM33" s="98"/>
      <c r="IEN33" s="98"/>
      <c r="IEO33" s="98"/>
      <c r="IEP33" s="98"/>
      <c r="IEQ33" s="98"/>
      <c r="IER33" s="98"/>
      <c r="IES33" s="98"/>
      <c r="IET33" s="98"/>
      <c r="IEU33" s="98"/>
      <c r="IEV33" s="98"/>
      <c r="IEW33" s="98"/>
      <c r="IEX33" s="98"/>
      <c r="IEY33" s="98"/>
      <c r="IEZ33" s="98"/>
      <c r="IFA33" s="98"/>
      <c r="IFB33" s="98"/>
      <c r="IFC33" s="98"/>
      <c r="IFD33" s="98"/>
      <c r="IFE33" s="98"/>
      <c r="IFF33" s="98"/>
      <c r="IFG33" s="98"/>
      <c r="IFH33" s="98"/>
      <c r="IFI33" s="98"/>
      <c r="IFJ33" s="98"/>
      <c r="IFK33" s="98"/>
      <c r="IFL33" s="98"/>
      <c r="IFM33" s="98"/>
      <c r="IFN33" s="98"/>
      <c r="IFO33" s="98"/>
      <c r="IFP33" s="98"/>
      <c r="IFQ33" s="98"/>
      <c r="IFR33" s="98"/>
      <c r="IFS33" s="98"/>
      <c r="IFT33" s="98"/>
      <c r="IFU33" s="98"/>
      <c r="IFV33" s="98"/>
      <c r="IFW33" s="98"/>
      <c r="IFX33" s="98"/>
      <c r="IFY33" s="98"/>
      <c r="IFZ33" s="98"/>
      <c r="IGA33" s="98"/>
      <c r="IGB33" s="98"/>
      <c r="IGC33" s="98"/>
      <c r="IGD33" s="98"/>
      <c r="IGE33" s="98"/>
      <c r="IGF33" s="98"/>
      <c r="IGG33" s="98"/>
      <c r="IGH33" s="98"/>
      <c r="IGI33" s="98"/>
      <c r="IGJ33" s="98"/>
      <c r="IGK33" s="98"/>
      <c r="IGL33" s="98"/>
      <c r="IGM33" s="98"/>
      <c r="IGN33" s="98"/>
      <c r="IGO33" s="98"/>
      <c r="IGP33" s="98"/>
      <c r="IGQ33" s="98"/>
      <c r="IGR33" s="98"/>
      <c r="IGS33" s="98"/>
      <c r="IGT33" s="98"/>
      <c r="IGU33" s="98"/>
      <c r="IGV33" s="98"/>
      <c r="IGW33" s="98"/>
      <c r="IGX33" s="98"/>
      <c r="IGY33" s="98"/>
      <c r="IGZ33" s="98"/>
      <c r="IHA33" s="98"/>
      <c r="IHB33" s="98"/>
      <c r="IHC33" s="98"/>
      <c r="IHD33" s="98"/>
      <c r="IHE33" s="98"/>
      <c r="IHF33" s="98"/>
      <c r="IHG33" s="98"/>
      <c r="IHH33" s="98"/>
      <c r="IHI33" s="98"/>
      <c r="IHJ33" s="98"/>
      <c r="IHK33" s="98"/>
      <c r="IHL33" s="98"/>
      <c r="IHM33" s="98"/>
      <c r="IHN33" s="98"/>
      <c r="IHO33" s="98"/>
      <c r="IHP33" s="98"/>
      <c r="IHQ33" s="98"/>
      <c r="IHR33" s="98"/>
      <c r="IHS33" s="98"/>
      <c r="IHT33" s="98"/>
      <c r="IHU33" s="98"/>
      <c r="IHV33" s="98"/>
      <c r="IHW33" s="98"/>
      <c r="IHX33" s="98"/>
      <c r="IHY33" s="98"/>
      <c r="IHZ33" s="98"/>
      <c r="IIA33" s="98"/>
      <c r="IIB33" s="98"/>
      <c r="IIC33" s="98"/>
      <c r="IID33" s="98"/>
      <c r="IIE33" s="98"/>
      <c r="IIF33" s="98"/>
      <c r="IIG33" s="98"/>
      <c r="IIH33" s="98"/>
      <c r="III33" s="98"/>
      <c r="IIJ33" s="98"/>
      <c r="IIK33" s="98"/>
      <c r="IIL33" s="98"/>
      <c r="IIM33" s="98"/>
      <c r="IIN33" s="98"/>
      <c r="IIO33" s="98"/>
      <c r="IIP33" s="98"/>
      <c r="IIQ33" s="98"/>
      <c r="IIR33" s="98"/>
      <c r="IIS33" s="98"/>
      <c r="IIT33" s="98"/>
      <c r="IIU33" s="98"/>
      <c r="IIV33" s="98"/>
      <c r="IIW33" s="98"/>
      <c r="IIX33" s="98"/>
      <c r="IIY33" s="98"/>
      <c r="IIZ33" s="98"/>
      <c r="IJA33" s="98"/>
      <c r="IJB33" s="98"/>
      <c r="IJC33" s="98"/>
      <c r="IJD33" s="98"/>
      <c r="IJE33" s="98"/>
      <c r="IJF33" s="98"/>
      <c r="IJG33" s="98"/>
      <c r="IJH33" s="98"/>
      <c r="IJI33" s="98"/>
      <c r="IJJ33" s="98"/>
      <c r="IJK33" s="98"/>
      <c r="IJL33" s="98"/>
      <c r="IJM33" s="98"/>
      <c r="IJN33" s="98"/>
      <c r="IJO33" s="98"/>
      <c r="IJP33" s="98"/>
      <c r="IJQ33" s="98"/>
      <c r="IJR33" s="98"/>
      <c r="IJS33" s="98"/>
      <c r="IJT33" s="98"/>
      <c r="IJU33" s="98"/>
      <c r="IJV33" s="98"/>
      <c r="IJW33" s="98"/>
      <c r="IJX33" s="98"/>
      <c r="IJY33" s="98"/>
      <c r="IJZ33" s="98"/>
      <c r="IKA33" s="98"/>
      <c r="IKB33" s="98"/>
      <c r="IKC33" s="98"/>
      <c r="IKD33" s="98"/>
      <c r="IKE33" s="98"/>
      <c r="IKF33" s="98"/>
      <c r="IKG33" s="98"/>
      <c r="IKH33" s="98"/>
      <c r="IKI33" s="98"/>
      <c r="IKJ33" s="98"/>
      <c r="IKK33" s="98"/>
      <c r="IKL33" s="98"/>
      <c r="IKM33" s="98"/>
      <c r="IKN33" s="98"/>
      <c r="IKO33" s="98"/>
      <c r="IKP33" s="98"/>
      <c r="IKQ33" s="98"/>
      <c r="IKR33" s="98"/>
      <c r="IKS33" s="98"/>
      <c r="IKT33" s="98"/>
      <c r="IKU33" s="98"/>
      <c r="IKV33" s="98"/>
      <c r="IKW33" s="98"/>
      <c r="IKX33" s="98"/>
      <c r="IKY33" s="98"/>
      <c r="IKZ33" s="98"/>
      <c r="ILA33" s="98"/>
      <c r="ILB33" s="98"/>
      <c r="ILC33" s="98"/>
      <c r="ILD33" s="98"/>
      <c r="ILE33" s="98"/>
      <c r="ILF33" s="98"/>
      <c r="ILG33" s="98"/>
      <c r="ILH33" s="98"/>
      <c r="ILI33" s="98"/>
      <c r="ILJ33" s="98"/>
      <c r="ILK33" s="98"/>
      <c r="ILL33" s="98"/>
      <c r="ILM33" s="98"/>
      <c r="ILN33" s="98"/>
      <c r="ILO33" s="98"/>
      <c r="ILP33" s="98"/>
      <c r="ILQ33" s="98"/>
      <c r="ILR33" s="98"/>
      <c r="ILS33" s="98"/>
      <c r="ILT33" s="98"/>
      <c r="ILU33" s="98"/>
      <c r="ILV33" s="98"/>
      <c r="ILW33" s="98"/>
      <c r="ILX33" s="98"/>
      <c r="ILY33" s="98"/>
      <c r="ILZ33" s="98"/>
      <c r="IMA33" s="98"/>
      <c r="IMB33" s="98"/>
      <c r="IMC33" s="98"/>
      <c r="IMD33" s="98"/>
      <c r="IME33" s="98"/>
      <c r="IMF33" s="98"/>
      <c r="IMG33" s="98"/>
      <c r="IMH33" s="98"/>
      <c r="IMI33" s="98"/>
      <c r="IMJ33" s="98"/>
      <c r="IMK33" s="98"/>
      <c r="IML33" s="98"/>
      <c r="IMM33" s="98"/>
      <c r="IMN33" s="98"/>
      <c r="IMO33" s="98"/>
      <c r="IMP33" s="98"/>
      <c r="IMQ33" s="98"/>
      <c r="IMR33" s="98"/>
      <c r="IMS33" s="98"/>
      <c r="IMT33" s="98"/>
      <c r="IMU33" s="98"/>
      <c r="IMV33" s="98"/>
      <c r="IMW33" s="98"/>
      <c r="IMX33" s="98"/>
      <c r="IMY33" s="98"/>
      <c r="IMZ33" s="98"/>
      <c r="INA33" s="98"/>
      <c r="INB33" s="98"/>
      <c r="INC33" s="98"/>
      <c r="IND33" s="98"/>
      <c r="INE33" s="98"/>
      <c r="INF33" s="98"/>
      <c r="ING33" s="98"/>
      <c r="INH33" s="98"/>
      <c r="INI33" s="98"/>
      <c r="INJ33" s="98"/>
      <c r="INK33" s="98"/>
      <c r="INL33" s="98"/>
      <c r="INM33" s="98"/>
      <c r="INN33" s="98"/>
      <c r="INO33" s="98"/>
      <c r="INP33" s="98"/>
      <c r="INQ33" s="98"/>
      <c r="INR33" s="98"/>
      <c r="INS33" s="98"/>
      <c r="INT33" s="98"/>
      <c r="INU33" s="98"/>
      <c r="INV33" s="98"/>
      <c r="INW33" s="98"/>
      <c r="INX33" s="98"/>
      <c r="INY33" s="98"/>
      <c r="INZ33" s="98"/>
      <c r="IOA33" s="98"/>
      <c r="IOB33" s="98"/>
      <c r="IOC33" s="98"/>
      <c r="IOD33" s="98"/>
      <c r="IOE33" s="98"/>
      <c r="IOF33" s="98"/>
      <c r="IOG33" s="98"/>
      <c r="IOH33" s="98"/>
      <c r="IOI33" s="98"/>
      <c r="IOJ33" s="98"/>
      <c r="IOK33" s="98"/>
      <c r="IOL33" s="98"/>
      <c r="IOM33" s="98"/>
      <c r="ION33" s="98"/>
      <c r="IOO33" s="98"/>
      <c r="IOP33" s="98"/>
      <c r="IOQ33" s="98"/>
      <c r="IOR33" s="98"/>
      <c r="IOS33" s="98"/>
      <c r="IOT33" s="98"/>
      <c r="IOU33" s="98"/>
      <c r="IOV33" s="98"/>
      <c r="IOW33" s="98"/>
      <c r="IOX33" s="98"/>
      <c r="IOY33" s="98"/>
      <c r="IOZ33" s="98"/>
      <c r="IPA33" s="98"/>
      <c r="IPB33" s="98"/>
      <c r="IPC33" s="98"/>
      <c r="IPD33" s="98"/>
      <c r="IPE33" s="98"/>
      <c r="IPF33" s="98"/>
      <c r="IPG33" s="98"/>
      <c r="IPH33" s="98"/>
      <c r="IPI33" s="98"/>
      <c r="IPJ33" s="98"/>
      <c r="IPK33" s="98"/>
      <c r="IPL33" s="98"/>
      <c r="IPM33" s="98"/>
      <c r="IPN33" s="98"/>
      <c r="IPO33" s="98"/>
      <c r="IPP33" s="98"/>
      <c r="IPQ33" s="98"/>
      <c r="IPR33" s="98"/>
      <c r="IPS33" s="98"/>
      <c r="IPT33" s="98"/>
      <c r="IPU33" s="98"/>
      <c r="IPV33" s="98"/>
      <c r="IPW33" s="98"/>
      <c r="IPX33" s="98"/>
      <c r="IPY33" s="98"/>
      <c r="IPZ33" s="98"/>
      <c r="IQA33" s="98"/>
      <c r="IQB33" s="98"/>
      <c r="IQC33" s="98"/>
      <c r="IQD33" s="98"/>
      <c r="IQE33" s="98"/>
      <c r="IQF33" s="98"/>
      <c r="IQG33" s="98"/>
      <c r="IQH33" s="98"/>
      <c r="IQI33" s="98"/>
      <c r="IQJ33" s="98"/>
      <c r="IQK33" s="98"/>
      <c r="IQL33" s="98"/>
      <c r="IQM33" s="98"/>
      <c r="IQN33" s="98"/>
      <c r="IQO33" s="98"/>
      <c r="IQP33" s="98"/>
      <c r="IQQ33" s="98"/>
      <c r="IQR33" s="98"/>
      <c r="IQS33" s="98"/>
      <c r="IQT33" s="98"/>
      <c r="IQU33" s="98"/>
      <c r="IQV33" s="98"/>
      <c r="IQW33" s="98"/>
      <c r="IQX33" s="98"/>
      <c r="IQY33" s="98"/>
      <c r="IQZ33" s="98"/>
      <c r="IRA33" s="98"/>
      <c r="IRB33" s="98"/>
      <c r="IRC33" s="98"/>
      <c r="IRD33" s="98"/>
      <c r="IRE33" s="98"/>
      <c r="IRF33" s="98"/>
      <c r="IRG33" s="98"/>
      <c r="IRH33" s="98"/>
      <c r="IRI33" s="98"/>
      <c r="IRJ33" s="98"/>
      <c r="IRK33" s="98"/>
      <c r="IRL33" s="98"/>
      <c r="IRM33" s="98"/>
      <c r="IRN33" s="98"/>
      <c r="IRO33" s="98"/>
      <c r="IRP33" s="98"/>
      <c r="IRQ33" s="98"/>
      <c r="IRR33" s="98"/>
      <c r="IRS33" s="98"/>
      <c r="IRT33" s="98"/>
      <c r="IRU33" s="98"/>
      <c r="IRV33" s="98"/>
      <c r="IRW33" s="98"/>
      <c r="IRX33" s="98"/>
      <c r="IRY33" s="98"/>
      <c r="IRZ33" s="98"/>
      <c r="ISA33" s="98"/>
      <c r="ISB33" s="98"/>
      <c r="ISC33" s="98"/>
      <c r="ISD33" s="98"/>
      <c r="ISE33" s="98"/>
      <c r="ISF33" s="98"/>
      <c r="ISG33" s="98"/>
      <c r="ISH33" s="98"/>
      <c r="ISI33" s="98"/>
      <c r="ISJ33" s="98"/>
      <c r="ISK33" s="98"/>
      <c r="ISL33" s="98"/>
      <c r="ISM33" s="98"/>
      <c r="ISN33" s="98"/>
      <c r="ISO33" s="98"/>
      <c r="ISP33" s="98"/>
      <c r="ISQ33" s="98"/>
      <c r="ISR33" s="98"/>
      <c r="ISS33" s="98"/>
      <c r="IST33" s="98"/>
      <c r="ISU33" s="98"/>
      <c r="ISV33" s="98"/>
      <c r="ISW33" s="98"/>
      <c r="ISX33" s="98"/>
      <c r="ISY33" s="98"/>
      <c r="ISZ33" s="98"/>
      <c r="ITA33" s="98"/>
      <c r="ITB33" s="98"/>
      <c r="ITC33" s="98"/>
      <c r="ITD33" s="98"/>
      <c r="ITE33" s="98"/>
      <c r="ITF33" s="98"/>
      <c r="ITG33" s="98"/>
      <c r="ITH33" s="98"/>
      <c r="ITI33" s="98"/>
      <c r="ITJ33" s="98"/>
      <c r="ITK33" s="98"/>
      <c r="ITL33" s="98"/>
      <c r="ITM33" s="98"/>
      <c r="ITN33" s="98"/>
      <c r="ITO33" s="98"/>
      <c r="ITP33" s="98"/>
      <c r="ITQ33" s="98"/>
      <c r="ITR33" s="98"/>
      <c r="ITS33" s="98"/>
      <c r="ITT33" s="98"/>
      <c r="ITU33" s="98"/>
      <c r="ITV33" s="98"/>
      <c r="ITW33" s="98"/>
      <c r="ITX33" s="98"/>
      <c r="ITY33" s="98"/>
      <c r="ITZ33" s="98"/>
      <c r="IUA33" s="98"/>
      <c r="IUB33" s="98"/>
      <c r="IUC33" s="98"/>
      <c r="IUD33" s="98"/>
      <c r="IUE33" s="98"/>
      <c r="IUF33" s="98"/>
      <c r="IUG33" s="98"/>
      <c r="IUH33" s="98"/>
      <c r="IUI33" s="98"/>
      <c r="IUJ33" s="98"/>
      <c r="IUK33" s="98"/>
      <c r="IUL33" s="98"/>
      <c r="IUM33" s="98"/>
      <c r="IUN33" s="98"/>
      <c r="IUO33" s="98"/>
      <c r="IUP33" s="98"/>
      <c r="IUQ33" s="98"/>
      <c r="IUR33" s="98"/>
      <c r="IUS33" s="98"/>
      <c r="IUT33" s="98"/>
      <c r="IUU33" s="98"/>
      <c r="IUV33" s="98"/>
      <c r="IUW33" s="98"/>
      <c r="IUX33" s="98"/>
      <c r="IUY33" s="98"/>
      <c r="IUZ33" s="98"/>
      <c r="IVA33" s="98"/>
      <c r="IVB33" s="98"/>
      <c r="IVC33" s="98"/>
      <c r="IVD33" s="98"/>
      <c r="IVE33" s="98"/>
      <c r="IVF33" s="98"/>
      <c r="IVG33" s="98"/>
      <c r="IVH33" s="98"/>
      <c r="IVI33" s="98"/>
      <c r="IVJ33" s="98"/>
      <c r="IVK33" s="98"/>
      <c r="IVL33" s="98"/>
      <c r="IVM33" s="98"/>
      <c r="IVN33" s="98"/>
      <c r="IVO33" s="98"/>
      <c r="IVP33" s="98"/>
      <c r="IVQ33" s="98"/>
      <c r="IVR33" s="98"/>
      <c r="IVS33" s="98"/>
      <c r="IVT33" s="98"/>
      <c r="IVU33" s="98"/>
      <c r="IVV33" s="98"/>
      <c r="IVW33" s="98"/>
      <c r="IVX33" s="98"/>
      <c r="IVY33" s="98"/>
      <c r="IVZ33" s="98"/>
      <c r="IWA33" s="98"/>
      <c r="IWB33" s="98"/>
      <c r="IWC33" s="98"/>
      <c r="IWD33" s="98"/>
      <c r="IWE33" s="98"/>
      <c r="IWF33" s="98"/>
      <c r="IWG33" s="98"/>
      <c r="IWH33" s="98"/>
      <c r="IWI33" s="98"/>
      <c r="IWJ33" s="98"/>
      <c r="IWK33" s="98"/>
      <c r="IWL33" s="98"/>
      <c r="IWM33" s="98"/>
      <c r="IWN33" s="98"/>
      <c r="IWO33" s="98"/>
      <c r="IWP33" s="98"/>
      <c r="IWQ33" s="98"/>
      <c r="IWR33" s="98"/>
      <c r="IWS33" s="98"/>
      <c r="IWT33" s="98"/>
      <c r="IWU33" s="98"/>
      <c r="IWV33" s="98"/>
      <c r="IWW33" s="98"/>
      <c r="IWX33" s="98"/>
      <c r="IWY33" s="98"/>
      <c r="IWZ33" s="98"/>
      <c r="IXA33" s="98"/>
      <c r="IXB33" s="98"/>
      <c r="IXC33" s="98"/>
      <c r="IXD33" s="98"/>
      <c r="IXE33" s="98"/>
      <c r="IXF33" s="98"/>
      <c r="IXG33" s="98"/>
      <c r="IXH33" s="98"/>
      <c r="IXI33" s="98"/>
      <c r="IXJ33" s="98"/>
      <c r="IXK33" s="98"/>
      <c r="IXL33" s="98"/>
      <c r="IXM33" s="98"/>
      <c r="IXN33" s="98"/>
      <c r="IXO33" s="98"/>
      <c r="IXP33" s="98"/>
      <c r="IXQ33" s="98"/>
      <c r="IXR33" s="98"/>
      <c r="IXS33" s="98"/>
      <c r="IXT33" s="98"/>
      <c r="IXU33" s="98"/>
      <c r="IXV33" s="98"/>
      <c r="IXW33" s="98"/>
      <c r="IXX33" s="98"/>
      <c r="IXY33" s="98"/>
      <c r="IXZ33" s="98"/>
      <c r="IYA33" s="98"/>
      <c r="IYB33" s="98"/>
      <c r="IYC33" s="98"/>
      <c r="IYD33" s="98"/>
      <c r="IYE33" s="98"/>
      <c r="IYF33" s="98"/>
      <c r="IYG33" s="98"/>
      <c r="IYH33" s="98"/>
      <c r="IYI33" s="98"/>
      <c r="IYJ33" s="98"/>
      <c r="IYK33" s="98"/>
      <c r="IYL33" s="98"/>
      <c r="IYM33" s="98"/>
      <c r="IYN33" s="98"/>
      <c r="IYO33" s="98"/>
      <c r="IYP33" s="98"/>
      <c r="IYQ33" s="98"/>
      <c r="IYR33" s="98"/>
      <c r="IYS33" s="98"/>
      <c r="IYT33" s="98"/>
      <c r="IYU33" s="98"/>
      <c r="IYV33" s="98"/>
      <c r="IYW33" s="98"/>
      <c r="IYX33" s="98"/>
      <c r="IYY33" s="98"/>
      <c r="IYZ33" s="98"/>
      <c r="IZA33" s="98"/>
      <c r="IZB33" s="98"/>
      <c r="IZC33" s="98"/>
      <c r="IZD33" s="98"/>
      <c r="IZE33" s="98"/>
      <c r="IZF33" s="98"/>
      <c r="IZG33" s="98"/>
      <c r="IZH33" s="98"/>
      <c r="IZI33" s="98"/>
      <c r="IZJ33" s="98"/>
      <c r="IZK33" s="98"/>
      <c r="IZL33" s="98"/>
      <c r="IZM33" s="98"/>
      <c r="IZN33" s="98"/>
      <c r="IZO33" s="98"/>
      <c r="IZP33" s="98"/>
      <c r="IZQ33" s="98"/>
      <c r="IZR33" s="98"/>
      <c r="IZS33" s="98"/>
      <c r="IZT33" s="98"/>
      <c r="IZU33" s="98"/>
      <c r="IZV33" s="98"/>
      <c r="IZW33" s="98"/>
      <c r="IZX33" s="98"/>
      <c r="IZY33" s="98"/>
      <c r="IZZ33" s="98"/>
      <c r="JAA33" s="98"/>
      <c r="JAB33" s="98"/>
      <c r="JAC33" s="98"/>
      <c r="JAD33" s="98"/>
      <c r="JAE33" s="98"/>
      <c r="JAF33" s="98"/>
      <c r="JAG33" s="98"/>
      <c r="JAH33" s="98"/>
      <c r="JAI33" s="98"/>
      <c r="JAJ33" s="98"/>
      <c r="JAK33" s="98"/>
      <c r="JAL33" s="98"/>
      <c r="JAM33" s="98"/>
      <c r="JAN33" s="98"/>
      <c r="JAO33" s="98"/>
      <c r="JAP33" s="98"/>
      <c r="JAQ33" s="98"/>
      <c r="JAR33" s="98"/>
      <c r="JAS33" s="98"/>
      <c r="JAT33" s="98"/>
      <c r="JAU33" s="98"/>
      <c r="JAV33" s="98"/>
      <c r="JAW33" s="98"/>
      <c r="JAX33" s="98"/>
      <c r="JAY33" s="98"/>
      <c r="JAZ33" s="98"/>
      <c r="JBA33" s="98"/>
      <c r="JBB33" s="98"/>
      <c r="JBC33" s="98"/>
      <c r="JBD33" s="98"/>
      <c r="JBE33" s="98"/>
      <c r="JBF33" s="98"/>
      <c r="JBG33" s="98"/>
      <c r="JBH33" s="98"/>
      <c r="JBI33" s="98"/>
      <c r="JBJ33" s="98"/>
      <c r="JBK33" s="98"/>
      <c r="JBL33" s="98"/>
      <c r="JBM33" s="98"/>
      <c r="JBN33" s="98"/>
      <c r="JBO33" s="98"/>
      <c r="JBP33" s="98"/>
      <c r="JBQ33" s="98"/>
      <c r="JBR33" s="98"/>
      <c r="JBS33" s="98"/>
      <c r="JBT33" s="98"/>
      <c r="JBU33" s="98"/>
      <c r="JBV33" s="98"/>
      <c r="JBW33" s="98"/>
      <c r="JBX33" s="98"/>
      <c r="JBY33" s="98"/>
      <c r="JBZ33" s="98"/>
      <c r="JCA33" s="98"/>
      <c r="JCB33" s="98"/>
      <c r="JCC33" s="98"/>
      <c r="JCD33" s="98"/>
      <c r="JCE33" s="98"/>
      <c r="JCF33" s="98"/>
      <c r="JCG33" s="98"/>
      <c r="JCH33" s="98"/>
      <c r="JCI33" s="98"/>
      <c r="JCJ33" s="98"/>
      <c r="JCK33" s="98"/>
      <c r="JCL33" s="98"/>
      <c r="JCM33" s="98"/>
      <c r="JCN33" s="98"/>
      <c r="JCO33" s="98"/>
      <c r="JCP33" s="98"/>
      <c r="JCQ33" s="98"/>
      <c r="JCR33" s="98"/>
      <c r="JCS33" s="98"/>
      <c r="JCT33" s="98"/>
      <c r="JCU33" s="98"/>
      <c r="JCV33" s="98"/>
      <c r="JCW33" s="98"/>
      <c r="JCX33" s="98"/>
      <c r="JCY33" s="98"/>
      <c r="JCZ33" s="98"/>
      <c r="JDA33" s="98"/>
      <c r="JDB33" s="98"/>
      <c r="JDC33" s="98"/>
      <c r="JDD33" s="98"/>
      <c r="JDE33" s="98"/>
      <c r="JDF33" s="98"/>
      <c r="JDG33" s="98"/>
      <c r="JDH33" s="98"/>
      <c r="JDI33" s="98"/>
      <c r="JDJ33" s="98"/>
      <c r="JDK33" s="98"/>
      <c r="JDL33" s="98"/>
      <c r="JDM33" s="98"/>
      <c r="JDN33" s="98"/>
      <c r="JDO33" s="98"/>
      <c r="JDP33" s="98"/>
      <c r="JDQ33" s="98"/>
      <c r="JDR33" s="98"/>
      <c r="JDS33" s="98"/>
      <c r="JDT33" s="98"/>
      <c r="JDU33" s="98"/>
      <c r="JDV33" s="98"/>
      <c r="JDW33" s="98"/>
      <c r="JDX33" s="98"/>
      <c r="JDY33" s="98"/>
      <c r="JDZ33" s="98"/>
      <c r="JEA33" s="98"/>
      <c r="JEB33" s="98"/>
      <c r="JEC33" s="98"/>
      <c r="JED33" s="98"/>
      <c r="JEE33" s="98"/>
      <c r="JEF33" s="98"/>
      <c r="JEG33" s="98"/>
      <c r="JEH33" s="98"/>
      <c r="JEI33" s="98"/>
      <c r="JEJ33" s="98"/>
      <c r="JEK33" s="98"/>
      <c r="JEL33" s="98"/>
      <c r="JEM33" s="98"/>
      <c r="JEN33" s="98"/>
      <c r="JEO33" s="98"/>
      <c r="JEP33" s="98"/>
      <c r="JEQ33" s="98"/>
      <c r="JER33" s="98"/>
      <c r="JES33" s="98"/>
      <c r="JET33" s="98"/>
      <c r="JEU33" s="98"/>
      <c r="JEV33" s="98"/>
      <c r="JEW33" s="98"/>
      <c r="JEX33" s="98"/>
      <c r="JEY33" s="98"/>
      <c r="JEZ33" s="98"/>
      <c r="JFA33" s="98"/>
      <c r="JFB33" s="98"/>
      <c r="JFC33" s="98"/>
      <c r="JFD33" s="98"/>
      <c r="JFE33" s="98"/>
      <c r="JFF33" s="98"/>
      <c r="JFG33" s="98"/>
      <c r="JFH33" s="98"/>
      <c r="JFI33" s="98"/>
      <c r="JFJ33" s="98"/>
      <c r="JFK33" s="98"/>
      <c r="JFL33" s="98"/>
      <c r="JFM33" s="98"/>
      <c r="JFN33" s="98"/>
      <c r="JFO33" s="98"/>
      <c r="JFP33" s="98"/>
      <c r="JFQ33" s="98"/>
      <c r="JFR33" s="98"/>
      <c r="JFS33" s="98"/>
      <c r="JFT33" s="98"/>
      <c r="JFU33" s="98"/>
      <c r="JFV33" s="98"/>
      <c r="JFW33" s="98"/>
      <c r="JFX33" s="98"/>
      <c r="JFY33" s="98"/>
      <c r="JFZ33" s="98"/>
      <c r="JGA33" s="98"/>
      <c r="JGB33" s="98"/>
      <c r="JGC33" s="98"/>
      <c r="JGD33" s="98"/>
      <c r="JGE33" s="98"/>
      <c r="JGF33" s="98"/>
      <c r="JGG33" s="98"/>
      <c r="JGH33" s="98"/>
      <c r="JGI33" s="98"/>
      <c r="JGJ33" s="98"/>
      <c r="JGK33" s="98"/>
      <c r="JGL33" s="98"/>
      <c r="JGM33" s="98"/>
      <c r="JGN33" s="98"/>
      <c r="JGO33" s="98"/>
      <c r="JGP33" s="98"/>
      <c r="JGQ33" s="98"/>
      <c r="JGR33" s="98"/>
      <c r="JGS33" s="98"/>
      <c r="JGT33" s="98"/>
      <c r="JGU33" s="98"/>
      <c r="JGV33" s="98"/>
      <c r="JGW33" s="98"/>
      <c r="JGX33" s="98"/>
      <c r="JGY33" s="98"/>
      <c r="JGZ33" s="98"/>
      <c r="JHA33" s="98"/>
      <c r="JHB33" s="98"/>
      <c r="JHC33" s="98"/>
      <c r="JHD33" s="98"/>
      <c r="JHE33" s="98"/>
      <c r="JHF33" s="98"/>
      <c r="JHG33" s="98"/>
      <c r="JHH33" s="98"/>
      <c r="JHI33" s="98"/>
      <c r="JHJ33" s="98"/>
      <c r="JHK33" s="98"/>
      <c r="JHL33" s="98"/>
      <c r="JHM33" s="98"/>
      <c r="JHN33" s="98"/>
      <c r="JHO33" s="98"/>
      <c r="JHP33" s="98"/>
      <c r="JHQ33" s="98"/>
      <c r="JHR33" s="98"/>
      <c r="JHS33" s="98"/>
      <c r="JHT33" s="98"/>
      <c r="JHU33" s="98"/>
      <c r="JHV33" s="98"/>
      <c r="JHW33" s="98"/>
      <c r="JHX33" s="98"/>
      <c r="JHY33" s="98"/>
      <c r="JHZ33" s="98"/>
      <c r="JIA33" s="98"/>
      <c r="JIB33" s="98"/>
      <c r="JIC33" s="98"/>
      <c r="JID33" s="98"/>
      <c r="JIE33" s="98"/>
      <c r="JIF33" s="98"/>
      <c r="JIG33" s="98"/>
      <c r="JIH33" s="98"/>
      <c r="JII33" s="98"/>
      <c r="JIJ33" s="98"/>
      <c r="JIK33" s="98"/>
      <c r="JIL33" s="98"/>
      <c r="JIM33" s="98"/>
      <c r="JIN33" s="98"/>
      <c r="JIO33" s="98"/>
      <c r="JIP33" s="98"/>
      <c r="JIQ33" s="98"/>
      <c r="JIR33" s="98"/>
      <c r="JIS33" s="98"/>
      <c r="JIT33" s="98"/>
      <c r="JIU33" s="98"/>
      <c r="JIV33" s="98"/>
      <c r="JIW33" s="98"/>
      <c r="JIX33" s="98"/>
      <c r="JIY33" s="98"/>
      <c r="JIZ33" s="98"/>
      <c r="JJA33" s="98"/>
      <c r="JJB33" s="98"/>
      <c r="JJC33" s="98"/>
      <c r="JJD33" s="98"/>
      <c r="JJE33" s="98"/>
      <c r="JJF33" s="98"/>
      <c r="JJG33" s="98"/>
      <c r="JJH33" s="98"/>
      <c r="JJI33" s="98"/>
      <c r="JJJ33" s="98"/>
      <c r="JJK33" s="98"/>
      <c r="JJL33" s="98"/>
      <c r="JJM33" s="98"/>
      <c r="JJN33" s="98"/>
      <c r="JJO33" s="98"/>
      <c r="JJP33" s="98"/>
      <c r="JJQ33" s="98"/>
      <c r="JJR33" s="98"/>
      <c r="JJS33" s="98"/>
      <c r="JJT33" s="98"/>
      <c r="JJU33" s="98"/>
      <c r="JJV33" s="98"/>
      <c r="JJW33" s="98"/>
      <c r="JJX33" s="98"/>
      <c r="JJY33" s="98"/>
      <c r="JJZ33" s="98"/>
      <c r="JKA33" s="98"/>
      <c r="JKB33" s="98"/>
      <c r="JKC33" s="98"/>
      <c r="JKD33" s="98"/>
      <c r="JKE33" s="98"/>
      <c r="JKF33" s="98"/>
      <c r="JKG33" s="98"/>
      <c r="JKH33" s="98"/>
      <c r="JKI33" s="98"/>
      <c r="JKJ33" s="98"/>
      <c r="JKK33" s="98"/>
      <c r="JKL33" s="98"/>
      <c r="JKM33" s="98"/>
      <c r="JKN33" s="98"/>
      <c r="JKO33" s="98"/>
      <c r="JKP33" s="98"/>
      <c r="JKQ33" s="98"/>
      <c r="JKR33" s="98"/>
      <c r="JKS33" s="98"/>
      <c r="JKT33" s="98"/>
      <c r="JKU33" s="98"/>
      <c r="JKV33" s="98"/>
      <c r="JKW33" s="98"/>
      <c r="JKX33" s="98"/>
      <c r="JKY33" s="98"/>
      <c r="JKZ33" s="98"/>
      <c r="JLA33" s="98"/>
      <c r="JLB33" s="98"/>
      <c r="JLC33" s="98"/>
      <c r="JLD33" s="98"/>
      <c r="JLE33" s="98"/>
      <c r="JLF33" s="98"/>
      <c r="JLG33" s="98"/>
      <c r="JLH33" s="98"/>
      <c r="JLI33" s="98"/>
      <c r="JLJ33" s="98"/>
      <c r="JLK33" s="98"/>
      <c r="JLL33" s="98"/>
      <c r="JLM33" s="98"/>
      <c r="JLN33" s="98"/>
      <c r="JLO33" s="98"/>
      <c r="JLP33" s="98"/>
      <c r="JLQ33" s="98"/>
      <c r="JLR33" s="98"/>
      <c r="JLS33" s="98"/>
      <c r="JLT33" s="98"/>
      <c r="JLU33" s="98"/>
      <c r="JLV33" s="98"/>
      <c r="JLW33" s="98"/>
      <c r="JLX33" s="98"/>
      <c r="JLY33" s="98"/>
      <c r="JLZ33" s="98"/>
      <c r="JMA33" s="98"/>
      <c r="JMB33" s="98"/>
      <c r="JMC33" s="98"/>
      <c r="JMD33" s="98"/>
      <c r="JME33" s="98"/>
      <c r="JMF33" s="98"/>
      <c r="JMG33" s="98"/>
      <c r="JMH33" s="98"/>
      <c r="JMI33" s="98"/>
      <c r="JMJ33" s="98"/>
      <c r="JMK33" s="98"/>
      <c r="JML33" s="98"/>
      <c r="JMM33" s="98"/>
      <c r="JMN33" s="98"/>
      <c r="JMO33" s="98"/>
      <c r="JMP33" s="98"/>
      <c r="JMQ33" s="98"/>
      <c r="JMR33" s="98"/>
      <c r="JMS33" s="98"/>
      <c r="JMT33" s="98"/>
      <c r="JMU33" s="98"/>
      <c r="JMV33" s="98"/>
      <c r="JMW33" s="98"/>
      <c r="JMX33" s="98"/>
      <c r="JMY33" s="98"/>
      <c r="JMZ33" s="98"/>
      <c r="JNA33" s="98"/>
      <c r="JNB33" s="98"/>
      <c r="JNC33" s="98"/>
      <c r="JND33" s="98"/>
      <c r="JNE33" s="98"/>
      <c r="JNF33" s="98"/>
      <c r="JNG33" s="98"/>
      <c r="JNH33" s="98"/>
      <c r="JNI33" s="98"/>
      <c r="JNJ33" s="98"/>
      <c r="JNK33" s="98"/>
      <c r="JNL33" s="98"/>
      <c r="JNM33" s="98"/>
      <c r="JNN33" s="98"/>
      <c r="JNO33" s="98"/>
      <c r="JNP33" s="98"/>
      <c r="JNQ33" s="98"/>
      <c r="JNR33" s="98"/>
      <c r="JNS33" s="98"/>
      <c r="JNT33" s="98"/>
      <c r="JNU33" s="98"/>
      <c r="JNV33" s="98"/>
      <c r="JNW33" s="98"/>
      <c r="JNX33" s="98"/>
      <c r="JNY33" s="98"/>
      <c r="JNZ33" s="98"/>
      <c r="JOA33" s="98"/>
      <c r="JOB33" s="98"/>
      <c r="JOC33" s="98"/>
      <c r="JOD33" s="98"/>
      <c r="JOE33" s="98"/>
      <c r="JOF33" s="98"/>
      <c r="JOG33" s="98"/>
      <c r="JOH33" s="98"/>
      <c r="JOI33" s="98"/>
      <c r="JOJ33" s="98"/>
      <c r="JOK33" s="98"/>
      <c r="JOL33" s="98"/>
      <c r="JOM33" s="98"/>
      <c r="JON33" s="98"/>
      <c r="JOO33" s="98"/>
      <c r="JOP33" s="98"/>
      <c r="JOQ33" s="98"/>
      <c r="JOR33" s="98"/>
      <c r="JOS33" s="98"/>
      <c r="JOT33" s="98"/>
      <c r="JOU33" s="98"/>
      <c r="JOV33" s="98"/>
      <c r="JOW33" s="98"/>
      <c r="JOX33" s="98"/>
      <c r="JOY33" s="98"/>
      <c r="JOZ33" s="98"/>
      <c r="JPA33" s="98"/>
      <c r="JPB33" s="98"/>
      <c r="JPC33" s="98"/>
      <c r="JPD33" s="98"/>
      <c r="JPE33" s="98"/>
      <c r="JPF33" s="98"/>
      <c r="JPG33" s="98"/>
      <c r="JPH33" s="98"/>
      <c r="JPI33" s="98"/>
      <c r="JPJ33" s="98"/>
      <c r="JPK33" s="98"/>
      <c r="JPL33" s="98"/>
      <c r="JPM33" s="98"/>
      <c r="JPN33" s="98"/>
      <c r="JPO33" s="98"/>
      <c r="JPP33" s="98"/>
      <c r="JPQ33" s="98"/>
      <c r="JPR33" s="98"/>
      <c r="JPS33" s="98"/>
      <c r="JPT33" s="98"/>
      <c r="JPU33" s="98"/>
      <c r="JPV33" s="98"/>
      <c r="JPW33" s="98"/>
      <c r="JPX33" s="98"/>
      <c r="JPY33" s="98"/>
      <c r="JPZ33" s="98"/>
      <c r="JQA33" s="98"/>
      <c r="JQB33" s="98"/>
      <c r="JQC33" s="98"/>
      <c r="JQD33" s="98"/>
      <c r="JQE33" s="98"/>
      <c r="JQF33" s="98"/>
      <c r="JQG33" s="98"/>
      <c r="JQH33" s="98"/>
      <c r="JQI33" s="98"/>
      <c r="JQJ33" s="98"/>
      <c r="JQK33" s="98"/>
      <c r="JQL33" s="98"/>
      <c r="JQM33" s="98"/>
      <c r="JQN33" s="98"/>
      <c r="JQO33" s="98"/>
      <c r="JQP33" s="98"/>
      <c r="JQQ33" s="98"/>
      <c r="JQR33" s="98"/>
      <c r="JQS33" s="98"/>
      <c r="JQT33" s="98"/>
      <c r="JQU33" s="98"/>
      <c r="JQV33" s="98"/>
      <c r="JQW33" s="98"/>
      <c r="JQX33" s="98"/>
      <c r="JQY33" s="98"/>
      <c r="JQZ33" s="98"/>
      <c r="JRA33" s="98"/>
      <c r="JRB33" s="98"/>
      <c r="JRC33" s="98"/>
      <c r="JRD33" s="98"/>
      <c r="JRE33" s="98"/>
      <c r="JRF33" s="98"/>
      <c r="JRG33" s="98"/>
      <c r="JRH33" s="98"/>
      <c r="JRI33" s="98"/>
      <c r="JRJ33" s="98"/>
      <c r="JRK33" s="98"/>
      <c r="JRL33" s="98"/>
      <c r="JRM33" s="98"/>
      <c r="JRN33" s="98"/>
      <c r="JRO33" s="98"/>
      <c r="JRP33" s="98"/>
      <c r="JRQ33" s="98"/>
      <c r="JRR33" s="98"/>
      <c r="JRS33" s="98"/>
      <c r="JRT33" s="98"/>
      <c r="JRU33" s="98"/>
      <c r="JRV33" s="98"/>
      <c r="JRW33" s="98"/>
      <c r="JRX33" s="98"/>
      <c r="JRY33" s="98"/>
      <c r="JRZ33" s="98"/>
      <c r="JSA33" s="98"/>
      <c r="JSB33" s="98"/>
      <c r="JSC33" s="98"/>
      <c r="JSD33" s="98"/>
      <c r="JSE33" s="98"/>
      <c r="JSF33" s="98"/>
      <c r="JSG33" s="98"/>
      <c r="JSH33" s="98"/>
      <c r="JSI33" s="98"/>
      <c r="JSJ33" s="98"/>
      <c r="JSK33" s="98"/>
      <c r="JSL33" s="98"/>
      <c r="JSM33" s="98"/>
      <c r="JSN33" s="98"/>
      <c r="JSO33" s="98"/>
      <c r="JSP33" s="98"/>
      <c r="JSQ33" s="98"/>
      <c r="JSR33" s="98"/>
      <c r="JSS33" s="98"/>
      <c r="JST33" s="98"/>
      <c r="JSU33" s="98"/>
      <c r="JSV33" s="98"/>
      <c r="JSW33" s="98"/>
      <c r="JSX33" s="98"/>
      <c r="JSY33" s="98"/>
      <c r="JSZ33" s="98"/>
      <c r="JTA33" s="98"/>
      <c r="JTB33" s="98"/>
      <c r="JTC33" s="98"/>
      <c r="JTD33" s="98"/>
      <c r="JTE33" s="98"/>
      <c r="JTF33" s="98"/>
      <c r="JTG33" s="98"/>
      <c r="JTH33" s="98"/>
      <c r="JTI33" s="98"/>
      <c r="JTJ33" s="98"/>
      <c r="JTK33" s="98"/>
      <c r="JTL33" s="98"/>
      <c r="JTM33" s="98"/>
      <c r="JTN33" s="98"/>
      <c r="JTO33" s="98"/>
      <c r="JTP33" s="98"/>
      <c r="JTQ33" s="98"/>
      <c r="JTR33" s="98"/>
      <c r="JTS33" s="98"/>
      <c r="JTT33" s="98"/>
      <c r="JTU33" s="98"/>
      <c r="JTV33" s="98"/>
      <c r="JTW33" s="98"/>
      <c r="JTX33" s="98"/>
      <c r="JTY33" s="98"/>
      <c r="JTZ33" s="98"/>
      <c r="JUA33" s="98"/>
      <c r="JUB33" s="98"/>
      <c r="JUC33" s="98"/>
      <c r="JUD33" s="98"/>
      <c r="JUE33" s="98"/>
      <c r="JUF33" s="98"/>
      <c r="JUG33" s="98"/>
      <c r="JUH33" s="98"/>
      <c r="JUI33" s="98"/>
      <c r="JUJ33" s="98"/>
      <c r="JUK33" s="98"/>
      <c r="JUL33" s="98"/>
      <c r="JUM33" s="98"/>
      <c r="JUN33" s="98"/>
      <c r="JUO33" s="98"/>
      <c r="JUP33" s="98"/>
      <c r="JUQ33" s="98"/>
      <c r="JUR33" s="98"/>
      <c r="JUS33" s="98"/>
      <c r="JUT33" s="98"/>
      <c r="JUU33" s="98"/>
      <c r="JUV33" s="98"/>
      <c r="JUW33" s="98"/>
      <c r="JUX33" s="98"/>
      <c r="JUY33" s="98"/>
      <c r="JUZ33" s="98"/>
      <c r="JVA33" s="98"/>
      <c r="JVB33" s="98"/>
      <c r="JVC33" s="98"/>
      <c r="JVD33" s="98"/>
      <c r="JVE33" s="98"/>
      <c r="JVF33" s="98"/>
      <c r="JVG33" s="98"/>
      <c r="JVH33" s="98"/>
      <c r="JVI33" s="98"/>
      <c r="JVJ33" s="98"/>
      <c r="JVK33" s="98"/>
      <c r="JVL33" s="98"/>
      <c r="JVM33" s="98"/>
      <c r="JVN33" s="98"/>
      <c r="JVO33" s="98"/>
      <c r="JVP33" s="98"/>
      <c r="JVQ33" s="98"/>
      <c r="JVR33" s="98"/>
      <c r="JVS33" s="98"/>
      <c r="JVT33" s="98"/>
      <c r="JVU33" s="98"/>
      <c r="JVV33" s="98"/>
      <c r="JVW33" s="98"/>
      <c r="JVX33" s="98"/>
      <c r="JVY33" s="98"/>
      <c r="JVZ33" s="98"/>
      <c r="JWA33" s="98"/>
      <c r="JWB33" s="98"/>
      <c r="JWC33" s="98"/>
      <c r="JWD33" s="98"/>
      <c r="JWE33" s="98"/>
      <c r="JWF33" s="98"/>
      <c r="JWG33" s="98"/>
      <c r="JWH33" s="98"/>
      <c r="JWI33" s="98"/>
      <c r="JWJ33" s="98"/>
      <c r="JWK33" s="98"/>
      <c r="JWL33" s="98"/>
      <c r="JWM33" s="98"/>
      <c r="JWN33" s="98"/>
      <c r="JWO33" s="98"/>
      <c r="JWP33" s="98"/>
      <c r="JWQ33" s="98"/>
      <c r="JWR33" s="98"/>
      <c r="JWS33" s="98"/>
      <c r="JWT33" s="98"/>
      <c r="JWU33" s="98"/>
      <c r="JWV33" s="98"/>
      <c r="JWW33" s="98"/>
      <c r="JWX33" s="98"/>
      <c r="JWY33" s="98"/>
      <c r="JWZ33" s="98"/>
      <c r="JXA33" s="98"/>
      <c r="JXB33" s="98"/>
      <c r="JXC33" s="98"/>
      <c r="JXD33" s="98"/>
      <c r="JXE33" s="98"/>
      <c r="JXF33" s="98"/>
      <c r="JXG33" s="98"/>
      <c r="JXH33" s="98"/>
      <c r="JXI33" s="98"/>
      <c r="JXJ33" s="98"/>
      <c r="JXK33" s="98"/>
      <c r="JXL33" s="98"/>
      <c r="JXM33" s="98"/>
      <c r="JXN33" s="98"/>
      <c r="JXO33" s="98"/>
      <c r="JXP33" s="98"/>
      <c r="JXQ33" s="98"/>
      <c r="JXR33" s="98"/>
      <c r="JXS33" s="98"/>
      <c r="JXT33" s="98"/>
      <c r="JXU33" s="98"/>
      <c r="JXV33" s="98"/>
      <c r="JXW33" s="98"/>
      <c r="JXX33" s="98"/>
      <c r="JXY33" s="98"/>
      <c r="JXZ33" s="98"/>
      <c r="JYA33" s="98"/>
      <c r="JYB33" s="98"/>
      <c r="JYC33" s="98"/>
      <c r="JYD33" s="98"/>
      <c r="JYE33" s="98"/>
      <c r="JYF33" s="98"/>
      <c r="JYG33" s="98"/>
      <c r="JYH33" s="98"/>
      <c r="JYI33" s="98"/>
      <c r="JYJ33" s="98"/>
      <c r="JYK33" s="98"/>
      <c r="JYL33" s="98"/>
      <c r="JYM33" s="98"/>
      <c r="JYN33" s="98"/>
      <c r="JYO33" s="98"/>
      <c r="JYP33" s="98"/>
      <c r="JYQ33" s="98"/>
      <c r="JYR33" s="98"/>
      <c r="JYS33" s="98"/>
      <c r="JYT33" s="98"/>
      <c r="JYU33" s="98"/>
      <c r="JYV33" s="98"/>
      <c r="JYW33" s="98"/>
      <c r="JYX33" s="98"/>
      <c r="JYY33" s="98"/>
      <c r="JYZ33" s="98"/>
      <c r="JZA33" s="98"/>
      <c r="JZB33" s="98"/>
      <c r="JZC33" s="98"/>
      <c r="JZD33" s="98"/>
      <c r="JZE33" s="98"/>
      <c r="JZF33" s="98"/>
      <c r="JZG33" s="98"/>
      <c r="JZH33" s="98"/>
      <c r="JZI33" s="98"/>
      <c r="JZJ33" s="98"/>
      <c r="JZK33" s="98"/>
      <c r="JZL33" s="98"/>
      <c r="JZM33" s="98"/>
      <c r="JZN33" s="98"/>
      <c r="JZO33" s="98"/>
      <c r="JZP33" s="98"/>
      <c r="JZQ33" s="98"/>
      <c r="JZR33" s="98"/>
      <c r="JZS33" s="98"/>
      <c r="JZT33" s="98"/>
      <c r="JZU33" s="98"/>
      <c r="JZV33" s="98"/>
      <c r="JZW33" s="98"/>
      <c r="JZX33" s="98"/>
      <c r="JZY33" s="98"/>
      <c r="JZZ33" s="98"/>
      <c r="KAA33" s="98"/>
      <c r="KAB33" s="98"/>
      <c r="KAC33" s="98"/>
      <c r="KAD33" s="98"/>
      <c r="KAE33" s="98"/>
      <c r="KAF33" s="98"/>
      <c r="KAG33" s="98"/>
      <c r="KAH33" s="98"/>
      <c r="KAI33" s="98"/>
      <c r="KAJ33" s="98"/>
      <c r="KAK33" s="98"/>
      <c r="KAL33" s="98"/>
      <c r="KAM33" s="98"/>
      <c r="KAN33" s="98"/>
      <c r="KAO33" s="98"/>
      <c r="KAP33" s="98"/>
      <c r="KAQ33" s="98"/>
      <c r="KAR33" s="98"/>
      <c r="KAS33" s="98"/>
      <c r="KAT33" s="98"/>
      <c r="KAU33" s="98"/>
      <c r="KAV33" s="98"/>
      <c r="KAW33" s="98"/>
      <c r="KAX33" s="98"/>
      <c r="KAY33" s="98"/>
      <c r="KAZ33" s="98"/>
      <c r="KBA33" s="98"/>
      <c r="KBB33" s="98"/>
      <c r="KBC33" s="98"/>
      <c r="KBD33" s="98"/>
      <c r="KBE33" s="98"/>
      <c r="KBF33" s="98"/>
      <c r="KBG33" s="98"/>
      <c r="KBH33" s="98"/>
      <c r="KBI33" s="98"/>
      <c r="KBJ33" s="98"/>
      <c r="KBK33" s="98"/>
      <c r="KBL33" s="98"/>
      <c r="KBM33" s="98"/>
      <c r="KBN33" s="98"/>
      <c r="KBO33" s="98"/>
      <c r="KBP33" s="98"/>
      <c r="KBQ33" s="98"/>
      <c r="KBR33" s="98"/>
      <c r="KBS33" s="98"/>
      <c r="KBT33" s="98"/>
      <c r="KBU33" s="98"/>
      <c r="KBV33" s="98"/>
      <c r="KBW33" s="98"/>
      <c r="KBX33" s="98"/>
      <c r="KBY33" s="98"/>
      <c r="KBZ33" s="98"/>
      <c r="KCA33" s="98"/>
      <c r="KCB33" s="98"/>
      <c r="KCC33" s="98"/>
      <c r="KCD33" s="98"/>
      <c r="KCE33" s="98"/>
      <c r="KCF33" s="98"/>
      <c r="KCG33" s="98"/>
      <c r="KCH33" s="98"/>
      <c r="KCI33" s="98"/>
      <c r="KCJ33" s="98"/>
      <c r="KCK33" s="98"/>
      <c r="KCL33" s="98"/>
      <c r="KCM33" s="98"/>
      <c r="KCN33" s="98"/>
      <c r="KCO33" s="98"/>
      <c r="KCP33" s="98"/>
      <c r="KCQ33" s="98"/>
      <c r="KCR33" s="98"/>
      <c r="KCS33" s="98"/>
      <c r="KCT33" s="98"/>
      <c r="KCU33" s="98"/>
      <c r="KCV33" s="98"/>
      <c r="KCW33" s="98"/>
      <c r="KCX33" s="98"/>
      <c r="KCY33" s="98"/>
      <c r="KCZ33" s="98"/>
      <c r="KDA33" s="98"/>
      <c r="KDB33" s="98"/>
      <c r="KDC33" s="98"/>
      <c r="KDD33" s="98"/>
      <c r="KDE33" s="98"/>
      <c r="KDF33" s="98"/>
      <c r="KDG33" s="98"/>
      <c r="KDH33" s="98"/>
      <c r="KDI33" s="98"/>
      <c r="KDJ33" s="98"/>
      <c r="KDK33" s="98"/>
      <c r="KDL33" s="98"/>
      <c r="KDM33" s="98"/>
      <c r="KDN33" s="98"/>
      <c r="KDO33" s="98"/>
      <c r="KDP33" s="98"/>
      <c r="KDQ33" s="98"/>
      <c r="KDR33" s="98"/>
      <c r="KDS33" s="98"/>
      <c r="KDT33" s="98"/>
      <c r="KDU33" s="98"/>
      <c r="KDV33" s="98"/>
      <c r="KDW33" s="98"/>
      <c r="KDX33" s="98"/>
      <c r="KDY33" s="98"/>
      <c r="KDZ33" s="98"/>
      <c r="KEA33" s="98"/>
      <c r="KEB33" s="98"/>
      <c r="KEC33" s="98"/>
      <c r="KED33" s="98"/>
      <c r="KEE33" s="98"/>
      <c r="KEF33" s="98"/>
      <c r="KEG33" s="98"/>
      <c r="KEH33" s="98"/>
      <c r="KEI33" s="98"/>
      <c r="KEJ33" s="98"/>
      <c r="KEK33" s="98"/>
      <c r="KEL33" s="98"/>
      <c r="KEM33" s="98"/>
      <c r="KEN33" s="98"/>
      <c r="KEO33" s="98"/>
      <c r="KEP33" s="98"/>
      <c r="KEQ33" s="98"/>
      <c r="KER33" s="98"/>
      <c r="KES33" s="98"/>
      <c r="KET33" s="98"/>
      <c r="KEU33" s="98"/>
      <c r="KEV33" s="98"/>
      <c r="KEW33" s="98"/>
      <c r="KEX33" s="98"/>
      <c r="KEY33" s="98"/>
      <c r="KEZ33" s="98"/>
      <c r="KFA33" s="98"/>
      <c r="KFB33" s="98"/>
      <c r="KFC33" s="98"/>
      <c r="KFD33" s="98"/>
      <c r="KFE33" s="98"/>
      <c r="KFF33" s="98"/>
      <c r="KFG33" s="98"/>
      <c r="KFH33" s="98"/>
      <c r="KFI33" s="98"/>
      <c r="KFJ33" s="98"/>
      <c r="KFK33" s="98"/>
      <c r="KFL33" s="98"/>
      <c r="KFM33" s="98"/>
      <c r="KFN33" s="98"/>
      <c r="KFO33" s="98"/>
      <c r="KFP33" s="98"/>
      <c r="KFQ33" s="98"/>
      <c r="KFR33" s="98"/>
      <c r="KFS33" s="98"/>
      <c r="KFT33" s="98"/>
      <c r="KFU33" s="98"/>
      <c r="KFV33" s="98"/>
      <c r="KFW33" s="98"/>
      <c r="KFX33" s="98"/>
      <c r="KFY33" s="98"/>
      <c r="KFZ33" s="98"/>
      <c r="KGA33" s="98"/>
      <c r="KGB33" s="98"/>
      <c r="KGC33" s="98"/>
      <c r="KGD33" s="98"/>
      <c r="KGE33" s="98"/>
      <c r="KGF33" s="98"/>
      <c r="KGG33" s="98"/>
      <c r="KGH33" s="98"/>
      <c r="KGI33" s="98"/>
      <c r="KGJ33" s="98"/>
      <c r="KGK33" s="98"/>
      <c r="KGL33" s="98"/>
      <c r="KGM33" s="98"/>
      <c r="KGN33" s="98"/>
      <c r="KGO33" s="98"/>
      <c r="KGP33" s="98"/>
      <c r="KGQ33" s="98"/>
      <c r="KGR33" s="98"/>
      <c r="KGS33" s="98"/>
      <c r="KGT33" s="98"/>
      <c r="KGU33" s="98"/>
      <c r="KGV33" s="98"/>
      <c r="KGW33" s="98"/>
      <c r="KGX33" s="98"/>
      <c r="KGY33" s="98"/>
      <c r="KGZ33" s="98"/>
      <c r="KHA33" s="98"/>
      <c r="KHB33" s="98"/>
      <c r="KHC33" s="98"/>
      <c r="KHD33" s="98"/>
      <c r="KHE33" s="98"/>
      <c r="KHF33" s="98"/>
      <c r="KHG33" s="98"/>
      <c r="KHH33" s="98"/>
      <c r="KHI33" s="98"/>
      <c r="KHJ33" s="98"/>
      <c r="KHK33" s="98"/>
      <c r="KHL33" s="98"/>
      <c r="KHM33" s="98"/>
      <c r="KHN33" s="98"/>
      <c r="KHO33" s="98"/>
      <c r="KHP33" s="98"/>
      <c r="KHQ33" s="98"/>
      <c r="KHR33" s="98"/>
      <c r="KHS33" s="98"/>
      <c r="KHT33" s="98"/>
      <c r="KHU33" s="98"/>
      <c r="KHV33" s="98"/>
      <c r="KHW33" s="98"/>
      <c r="KHX33" s="98"/>
      <c r="KHY33" s="98"/>
      <c r="KHZ33" s="98"/>
      <c r="KIA33" s="98"/>
      <c r="KIB33" s="98"/>
      <c r="KIC33" s="98"/>
      <c r="KID33" s="98"/>
      <c r="KIE33" s="98"/>
      <c r="KIF33" s="98"/>
      <c r="KIG33" s="98"/>
      <c r="KIH33" s="98"/>
      <c r="KII33" s="98"/>
      <c r="KIJ33" s="98"/>
      <c r="KIK33" s="98"/>
      <c r="KIL33" s="98"/>
      <c r="KIM33" s="98"/>
      <c r="KIN33" s="98"/>
      <c r="KIO33" s="98"/>
      <c r="KIP33" s="98"/>
      <c r="KIQ33" s="98"/>
      <c r="KIR33" s="98"/>
      <c r="KIS33" s="98"/>
      <c r="KIT33" s="98"/>
      <c r="KIU33" s="98"/>
      <c r="KIV33" s="98"/>
      <c r="KIW33" s="98"/>
      <c r="KIX33" s="98"/>
      <c r="KIY33" s="98"/>
      <c r="KIZ33" s="98"/>
      <c r="KJA33" s="98"/>
      <c r="KJB33" s="98"/>
      <c r="KJC33" s="98"/>
      <c r="KJD33" s="98"/>
      <c r="KJE33" s="98"/>
      <c r="KJF33" s="98"/>
      <c r="KJG33" s="98"/>
      <c r="KJH33" s="98"/>
      <c r="KJI33" s="98"/>
      <c r="KJJ33" s="98"/>
      <c r="KJK33" s="98"/>
      <c r="KJL33" s="98"/>
      <c r="KJM33" s="98"/>
      <c r="KJN33" s="98"/>
      <c r="KJO33" s="98"/>
      <c r="KJP33" s="98"/>
      <c r="KJQ33" s="98"/>
      <c r="KJR33" s="98"/>
      <c r="KJS33" s="98"/>
      <c r="KJT33" s="98"/>
      <c r="KJU33" s="98"/>
      <c r="KJV33" s="98"/>
      <c r="KJW33" s="98"/>
      <c r="KJX33" s="98"/>
      <c r="KJY33" s="98"/>
      <c r="KJZ33" s="98"/>
      <c r="KKA33" s="98"/>
      <c r="KKB33" s="98"/>
      <c r="KKC33" s="98"/>
      <c r="KKD33" s="98"/>
      <c r="KKE33" s="98"/>
      <c r="KKF33" s="98"/>
      <c r="KKG33" s="98"/>
      <c r="KKH33" s="98"/>
      <c r="KKI33" s="98"/>
      <c r="KKJ33" s="98"/>
      <c r="KKK33" s="98"/>
      <c r="KKL33" s="98"/>
      <c r="KKM33" s="98"/>
      <c r="KKN33" s="98"/>
      <c r="KKO33" s="98"/>
      <c r="KKP33" s="98"/>
      <c r="KKQ33" s="98"/>
      <c r="KKR33" s="98"/>
      <c r="KKS33" s="98"/>
      <c r="KKT33" s="98"/>
      <c r="KKU33" s="98"/>
      <c r="KKV33" s="98"/>
      <c r="KKW33" s="98"/>
      <c r="KKX33" s="98"/>
      <c r="KKY33" s="98"/>
      <c r="KKZ33" s="98"/>
      <c r="KLA33" s="98"/>
      <c r="KLB33" s="98"/>
      <c r="KLC33" s="98"/>
      <c r="KLD33" s="98"/>
      <c r="KLE33" s="98"/>
      <c r="KLF33" s="98"/>
      <c r="KLG33" s="98"/>
      <c r="KLH33" s="98"/>
      <c r="KLI33" s="98"/>
      <c r="KLJ33" s="98"/>
      <c r="KLK33" s="98"/>
      <c r="KLL33" s="98"/>
      <c r="KLM33" s="98"/>
      <c r="KLN33" s="98"/>
      <c r="KLO33" s="98"/>
      <c r="KLP33" s="98"/>
      <c r="KLQ33" s="98"/>
      <c r="KLR33" s="98"/>
      <c r="KLS33" s="98"/>
      <c r="KLT33" s="98"/>
      <c r="KLU33" s="98"/>
      <c r="KLV33" s="98"/>
      <c r="KLW33" s="98"/>
      <c r="KLX33" s="98"/>
      <c r="KLY33" s="98"/>
      <c r="KLZ33" s="98"/>
      <c r="KMA33" s="98"/>
      <c r="KMB33" s="98"/>
      <c r="KMC33" s="98"/>
      <c r="KMD33" s="98"/>
      <c r="KME33" s="98"/>
      <c r="KMF33" s="98"/>
      <c r="KMG33" s="98"/>
      <c r="KMH33" s="98"/>
      <c r="KMI33" s="98"/>
      <c r="KMJ33" s="98"/>
      <c r="KMK33" s="98"/>
      <c r="KML33" s="98"/>
      <c r="KMM33" s="98"/>
      <c r="KMN33" s="98"/>
      <c r="KMO33" s="98"/>
      <c r="KMP33" s="98"/>
      <c r="KMQ33" s="98"/>
      <c r="KMR33" s="98"/>
      <c r="KMS33" s="98"/>
      <c r="KMT33" s="98"/>
      <c r="KMU33" s="98"/>
      <c r="KMV33" s="98"/>
      <c r="KMW33" s="98"/>
      <c r="KMX33" s="98"/>
      <c r="KMY33" s="98"/>
      <c r="KMZ33" s="98"/>
      <c r="KNA33" s="98"/>
      <c r="KNB33" s="98"/>
      <c r="KNC33" s="98"/>
      <c r="KND33" s="98"/>
      <c r="KNE33" s="98"/>
      <c r="KNF33" s="98"/>
      <c r="KNG33" s="98"/>
      <c r="KNH33" s="98"/>
      <c r="KNI33" s="98"/>
      <c r="KNJ33" s="98"/>
      <c r="KNK33" s="98"/>
      <c r="KNL33" s="98"/>
      <c r="KNM33" s="98"/>
      <c r="KNN33" s="98"/>
      <c r="KNO33" s="98"/>
      <c r="KNP33" s="98"/>
      <c r="KNQ33" s="98"/>
      <c r="KNR33" s="98"/>
      <c r="KNS33" s="98"/>
      <c r="KNT33" s="98"/>
      <c r="KNU33" s="98"/>
      <c r="KNV33" s="98"/>
      <c r="KNW33" s="98"/>
      <c r="KNX33" s="98"/>
      <c r="KNY33" s="98"/>
      <c r="KNZ33" s="98"/>
      <c r="KOA33" s="98"/>
      <c r="KOB33" s="98"/>
      <c r="KOC33" s="98"/>
      <c r="KOD33" s="98"/>
      <c r="KOE33" s="98"/>
      <c r="KOF33" s="98"/>
      <c r="KOG33" s="98"/>
      <c r="KOH33" s="98"/>
      <c r="KOI33" s="98"/>
      <c r="KOJ33" s="98"/>
      <c r="KOK33" s="98"/>
      <c r="KOL33" s="98"/>
      <c r="KOM33" s="98"/>
      <c r="KON33" s="98"/>
      <c r="KOO33" s="98"/>
      <c r="KOP33" s="98"/>
      <c r="KOQ33" s="98"/>
      <c r="KOR33" s="98"/>
      <c r="KOS33" s="98"/>
      <c r="KOT33" s="98"/>
      <c r="KOU33" s="98"/>
      <c r="KOV33" s="98"/>
      <c r="KOW33" s="98"/>
      <c r="KOX33" s="98"/>
      <c r="KOY33" s="98"/>
      <c r="KOZ33" s="98"/>
      <c r="KPA33" s="98"/>
      <c r="KPB33" s="98"/>
      <c r="KPC33" s="98"/>
      <c r="KPD33" s="98"/>
      <c r="KPE33" s="98"/>
      <c r="KPF33" s="98"/>
      <c r="KPG33" s="98"/>
      <c r="KPH33" s="98"/>
      <c r="KPI33" s="98"/>
      <c r="KPJ33" s="98"/>
      <c r="KPK33" s="98"/>
      <c r="KPL33" s="98"/>
      <c r="KPM33" s="98"/>
      <c r="KPN33" s="98"/>
      <c r="KPO33" s="98"/>
      <c r="KPP33" s="98"/>
      <c r="KPQ33" s="98"/>
      <c r="KPR33" s="98"/>
      <c r="KPS33" s="98"/>
      <c r="KPT33" s="98"/>
      <c r="KPU33" s="98"/>
      <c r="KPV33" s="98"/>
      <c r="KPW33" s="98"/>
      <c r="KPX33" s="98"/>
      <c r="KPY33" s="98"/>
      <c r="KPZ33" s="98"/>
      <c r="KQA33" s="98"/>
      <c r="KQB33" s="98"/>
      <c r="KQC33" s="98"/>
      <c r="KQD33" s="98"/>
      <c r="KQE33" s="98"/>
      <c r="KQF33" s="98"/>
      <c r="KQG33" s="98"/>
      <c r="KQH33" s="98"/>
      <c r="KQI33" s="98"/>
      <c r="KQJ33" s="98"/>
      <c r="KQK33" s="98"/>
      <c r="KQL33" s="98"/>
      <c r="KQM33" s="98"/>
      <c r="KQN33" s="98"/>
      <c r="KQO33" s="98"/>
      <c r="KQP33" s="98"/>
      <c r="KQQ33" s="98"/>
      <c r="KQR33" s="98"/>
      <c r="KQS33" s="98"/>
      <c r="KQT33" s="98"/>
      <c r="KQU33" s="98"/>
      <c r="KQV33" s="98"/>
      <c r="KQW33" s="98"/>
      <c r="KQX33" s="98"/>
      <c r="KQY33" s="98"/>
      <c r="KQZ33" s="98"/>
      <c r="KRA33" s="98"/>
      <c r="KRB33" s="98"/>
      <c r="KRC33" s="98"/>
      <c r="KRD33" s="98"/>
      <c r="KRE33" s="98"/>
      <c r="KRF33" s="98"/>
      <c r="KRG33" s="98"/>
      <c r="KRH33" s="98"/>
      <c r="KRI33" s="98"/>
      <c r="KRJ33" s="98"/>
      <c r="KRK33" s="98"/>
      <c r="KRL33" s="98"/>
      <c r="KRM33" s="98"/>
      <c r="KRN33" s="98"/>
      <c r="KRO33" s="98"/>
      <c r="KRP33" s="98"/>
      <c r="KRQ33" s="98"/>
      <c r="KRR33" s="98"/>
      <c r="KRS33" s="98"/>
      <c r="KRT33" s="98"/>
      <c r="KRU33" s="98"/>
      <c r="KRV33" s="98"/>
      <c r="KRW33" s="98"/>
      <c r="KRX33" s="98"/>
      <c r="KRY33" s="98"/>
      <c r="KRZ33" s="98"/>
      <c r="KSA33" s="98"/>
      <c r="KSB33" s="98"/>
      <c r="KSC33" s="98"/>
      <c r="KSD33" s="98"/>
      <c r="KSE33" s="98"/>
      <c r="KSF33" s="98"/>
      <c r="KSG33" s="98"/>
      <c r="KSH33" s="98"/>
      <c r="KSI33" s="98"/>
      <c r="KSJ33" s="98"/>
      <c r="KSK33" s="98"/>
      <c r="KSL33" s="98"/>
      <c r="KSM33" s="98"/>
      <c r="KSN33" s="98"/>
      <c r="KSO33" s="98"/>
      <c r="KSP33" s="98"/>
      <c r="KSQ33" s="98"/>
      <c r="KSR33" s="98"/>
      <c r="KSS33" s="98"/>
      <c r="KST33" s="98"/>
      <c r="KSU33" s="98"/>
      <c r="KSV33" s="98"/>
      <c r="KSW33" s="98"/>
      <c r="KSX33" s="98"/>
      <c r="KSY33" s="98"/>
      <c r="KSZ33" s="98"/>
      <c r="KTA33" s="98"/>
      <c r="KTB33" s="98"/>
      <c r="KTC33" s="98"/>
      <c r="KTD33" s="98"/>
      <c r="KTE33" s="98"/>
      <c r="KTF33" s="98"/>
      <c r="KTG33" s="98"/>
      <c r="KTH33" s="98"/>
      <c r="KTI33" s="98"/>
      <c r="KTJ33" s="98"/>
      <c r="KTK33" s="98"/>
      <c r="KTL33" s="98"/>
      <c r="KTM33" s="98"/>
      <c r="KTN33" s="98"/>
      <c r="KTO33" s="98"/>
      <c r="KTP33" s="98"/>
      <c r="KTQ33" s="98"/>
      <c r="KTR33" s="98"/>
      <c r="KTS33" s="98"/>
      <c r="KTT33" s="98"/>
      <c r="KTU33" s="98"/>
      <c r="KTV33" s="98"/>
      <c r="KTW33" s="98"/>
      <c r="KTX33" s="98"/>
      <c r="KTY33" s="98"/>
      <c r="KTZ33" s="98"/>
      <c r="KUA33" s="98"/>
      <c r="KUB33" s="98"/>
      <c r="KUC33" s="98"/>
      <c r="KUD33" s="98"/>
      <c r="KUE33" s="98"/>
      <c r="KUF33" s="98"/>
      <c r="KUG33" s="98"/>
      <c r="KUH33" s="98"/>
      <c r="KUI33" s="98"/>
      <c r="KUJ33" s="98"/>
      <c r="KUK33" s="98"/>
      <c r="KUL33" s="98"/>
      <c r="KUM33" s="98"/>
      <c r="KUN33" s="98"/>
      <c r="KUO33" s="98"/>
      <c r="KUP33" s="98"/>
      <c r="KUQ33" s="98"/>
      <c r="KUR33" s="98"/>
      <c r="KUS33" s="98"/>
      <c r="KUT33" s="98"/>
      <c r="KUU33" s="98"/>
      <c r="KUV33" s="98"/>
      <c r="KUW33" s="98"/>
      <c r="KUX33" s="98"/>
      <c r="KUY33" s="98"/>
      <c r="KUZ33" s="98"/>
      <c r="KVA33" s="98"/>
      <c r="KVB33" s="98"/>
      <c r="KVC33" s="98"/>
      <c r="KVD33" s="98"/>
      <c r="KVE33" s="98"/>
      <c r="KVF33" s="98"/>
      <c r="KVG33" s="98"/>
      <c r="KVH33" s="98"/>
      <c r="KVI33" s="98"/>
      <c r="KVJ33" s="98"/>
      <c r="KVK33" s="98"/>
      <c r="KVL33" s="98"/>
      <c r="KVM33" s="98"/>
      <c r="KVN33" s="98"/>
      <c r="KVO33" s="98"/>
      <c r="KVP33" s="98"/>
      <c r="KVQ33" s="98"/>
      <c r="KVR33" s="98"/>
      <c r="KVS33" s="98"/>
      <c r="KVT33" s="98"/>
      <c r="KVU33" s="98"/>
      <c r="KVV33" s="98"/>
      <c r="KVW33" s="98"/>
      <c r="KVX33" s="98"/>
      <c r="KVY33" s="98"/>
      <c r="KVZ33" s="98"/>
      <c r="KWA33" s="98"/>
      <c r="KWB33" s="98"/>
      <c r="KWC33" s="98"/>
      <c r="KWD33" s="98"/>
      <c r="KWE33" s="98"/>
      <c r="KWF33" s="98"/>
      <c r="KWG33" s="98"/>
      <c r="KWH33" s="98"/>
      <c r="KWI33" s="98"/>
      <c r="KWJ33" s="98"/>
      <c r="KWK33" s="98"/>
      <c r="KWL33" s="98"/>
      <c r="KWM33" s="98"/>
      <c r="KWN33" s="98"/>
      <c r="KWO33" s="98"/>
      <c r="KWP33" s="98"/>
      <c r="KWQ33" s="98"/>
      <c r="KWR33" s="98"/>
      <c r="KWS33" s="98"/>
      <c r="KWT33" s="98"/>
      <c r="KWU33" s="98"/>
      <c r="KWV33" s="98"/>
      <c r="KWW33" s="98"/>
      <c r="KWX33" s="98"/>
      <c r="KWY33" s="98"/>
      <c r="KWZ33" s="98"/>
      <c r="KXA33" s="98"/>
      <c r="KXB33" s="98"/>
      <c r="KXC33" s="98"/>
      <c r="KXD33" s="98"/>
      <c r="KXE33" s="98"/>
      <c r="KXF33" s="98"/>
      <c r="KXG33" s="98"/>
      <c r="KXH33" s="98"/>
      <c r="KXI33" s="98"/>
      <c r="KXJ33" s="98"/>
      <c r="KXK33" s="98"/>
      <c r="KXL33" s="98"/>
      <c r="KXM33" s="98"/>
      <c r="KXN33" s="98"/>
      <c r="KXO33" s="98"/>
      <c r="KXP33" s="98"/>
      <c r="KXQ33" s="98"/>
      <c r="KXR33" s="98"/>
      <c r="KXS33" s="98"/>
      <c r="KXT33" s="98"/>
      <c r="KXU33" s="98"/>
      <c r="KXV33" s="98"/>
      <c r="KXW33" s="98"/>
      <c r="KXX33" s="98"/>
      <c r="KXY33" s="98"/>
      <c r="KXZ33" s="98"/>
      <c r="KYA33" s="98"/>
      <c r="KYB33" s="98"/>
      <c r="KYC33" s="98"/>
      <c r="KYD33" s="98"/>
      <c r="KYE33" s="98"/>
      <c r="KYF33" s="98"/>
      <c r="KYG33" s="98"/>
      <c r="KYH33" s="98"/>
      <c r="KYI33" s="98"/>
      <c r="KYJ33" s="98"/>
      <c r="KYK33" s="98"/>
      <c r="KYL33" s="98"/>
      <c r="KYM33" s="98"/>
      <c r="KYN33" s="98"/>
      <c r="KYO33" s="98"/>
      <c r="KYP33" s="98"/>
      <c r="KYQ33" s="98"/>
      <c r="KYR33" s="98"/>
      <c r="KYS33" s="98"/>
      <c r="KYT33" s="98"/>
      <c r="KYU33" s="98"/>
      <c r="KYV33" s="98"/>
      <c r="KYW33" s="98"/>
      <c r="KYX33" s="98"/>
      <c r="KYY33" s="98"/>
      <c r="KYZ33" s="98"/>
      <c r="KZA33" s="98"/>
      <c r="KZB33" s="98"/>
      <c r="KZC33" s="98"/>
      <c r="KZD33" s="98"/>
      <c r="KZE33" s="98"/>
      <c r="KZF33" s="98"/>
      <c r="KZG33" s="98"/>
      <c r="KZH33" s="98"/>
      <c r="KZI33" s="98"/>
      <c r="KZJ33" s="98"/>
      <c r="KZK33" s="98"/>
      <c r="KZL33" s="98"/>
      <c r="KZM33" s="98"/>
      <c r="KZN33" s="98"/>
      <c r="KZO33" s="98"/>
      <c r="KZP33" s="98"/>
      <c r="KZQ33" s="98"/>
      <c r="KZR33" s="98"/>
      <c r="KZS33" s="98"/>
      <c r="KZT33" s="98"/>
      <c r="KZU33" s="98"/>
      <c r="KZV33" s="98"/>
      <c r="KZW33" s="98"/>
      <c r="KZX33" s="98"/>
      <c r="KZY33" s="98"/>
      <c r="KZZ33" s="98"/>
      <c r="LAA33" s="98"/>
      <c r="LAB33" s="98"/>
      <c r="LAC33" s="98"/>
      <c r="LAD33" s="98"/>
      <c r="LAE33" s="98"/>
      <c r="LAF33" s="98"/>
      <c r="LAG33" s="98"/>
      <c r="LAH33" s="98"/>
      <c r="LAI33" s="98"/>
      <c r="LAJ33" s="98"/>
      <c r="LAK33" s="98"/>
      <c r="LAL33" s="98"/>
      <c r="LAM33" s="98"/>
      <c r="LAN33" s="98"/>
      <c r="LAO33" s="98"/>
      <c r="LAP33" s="98"/>
      <c r="LAQ33" s="98"/>
      <c r="LAR33" s="98"/>
      <c r="LAS33" s="98"/>
      <c r="LAT33" s="98"/>
      <c r="LAU33" s="98"/>
      <c r="LAV33" s="98"/>
      <c r="LAW33" s="98"/>
      <c r="LAX33" s="98"/>
      <c r="LAY33" s="98"/>
      <c r="LAZ33" s="98"/>
      <c r="LBA33" s="98"/>
      <c r="LBB33" s="98"/>
      <c r="LBC33" s="98"/>
      <c r="LBD33" s="98"/>
      <c r="LBE33" s="98"/>
      <c r="LBF33" s="98"/>
      <c r="LBG33" s="98"/>
      <c r="LBH33" s="98"/>
      <c r="LBI33" s="98"/>
      <c r="LBJ33" s="98"/>
      <c r="LBK33" s="98"/>
      <c r="LBL33" s="98"/>
      <c r="LBM33" s="98"/>
      <c r="LBN33" s="98"/>
      <c r="LBO33" s="98"/>
      <c r="LBP33" s="98"/>
      <c r="LBQ33" s="98"/>
      <c r="LBR33" s="98"/>
      <c r="LBS33" s="98"/>
      <c r="LBT33" s="98"/>
      <c r="LBU33" s="98"/>
      <c r="LBV33" s="98"/>
      <c r="LBW33" s="98"/>
      <c r="LBX33" s="98"/>
      <c r="LBY33" s="98"/>
      <c r="LBZ33" s="98"/>
      <c r="LCA33" s="98"/>
      <c r="LCB33" s="98"/>
      <c r="LCC33" s="98"/>
      <c r="LCD33" s="98"/>
      <c r="LCE33" s="98"/>
      <c r="LCF33" s="98"/>
      <c r="LCG33" s="98"/>
      <c r="LCH33" s="98"/>
      <c r="LCI33" s="98"/>
      <c r="LCJ33" s="98"/>
      <c r="LCK33" s="98"/>
      <c r="LCL33" s="98"/>
      <c r="LCM33" s="98"/>
      <c r="LCN33" s="98"/>
      <c r="LCO33" s="98"/>
      <c r="LCP33" s="98"/>
      <c r="LCQ33" s="98"/>
      <c r="LCR33" s="98"/>
      <c r="LCS33" s="98"/>
      <c r="LCT33" s="98"/>
      <c r="LCU33" s="98"/>
      <c r="LCV33" s="98"/>
      <c r="LCW33" s="98"/>
      <c r="LCX33" s="98"/>
      <c r="LCY33" s="98"/>
      <c r="LCZ33" s="98"/>
      <c r="LDA33" s="98"/>
      <c r="LDB33" s="98"/>
      <c r="LDC33" s="98"/>
      <c r="LDD33" s="98"/>
      <c r="LDE33" s="98"/>
      <c r="LDF33" s="98"/>
      <c r="LDG33" s="98"/>
      <c r="LDH33" s="98"/>
      <c r="LDI33" s="98"/>
      <c r="LDJ33" s="98"/>
      <c r="LDK33" s="98"/>
      <c r="LDL33" s="98"/>
      <c r="LDM33" s="98"/>
      <c r="LDN33" s="98"/>
      <c r="LDO33" s="98"/>
      <c r="LDP33" s="98"/>
      <c r="LDQ33" s="98"/>
      <c r="LDR33" s="98"/>
      <c r="LDS33" s="98"/>
      <c r="LDT33" s="98"/>
      <c r="LDU33" s="98"/>
      <c r="LDV33" s="98"/>
      <c r="LDW33" s="98"/>
      <c r="LDX33" s="98"/>
      <c r="LDY33" s="98"/>
      <c r="LDZ33" s="98"/>
      <c r="LEA33" s="98"/>
      <c r="LEB33" s="98"/>
      <c r="LEC33" s="98"/>
      <c r="LED33" s="98"/>
      <c r="LEE33" s="98"/>
      <c r="LEF33" s="98"/>
      <c r="LEG33" s="98"/>
      <c r="LEH33" s="98"/>
      <c r="LEI33" s="98"/>
      <c r="LEJ33" s="98"/>
      <c r="LEK33" s="98"/>
      <c r="LEL33" s="98"/>
      <c r="LEM33" s="98"/>
      <c r="LEN33" s="98"/>
      <c r="LEO33" s="98"/>
      <c r="LEP33" s="98"/>
      <c r="LEQ33" s="98"/>
      <c r="LER33" s="98"/>
      <c r="LES33" s="98"/>
      <c r="LET33" s="98"/>
      <c r="LEU33" s="98"/>
      <c r="LEV33" s="98"/>
      <c r="LEW33" s="98"/>
      <c r="LEX33" s="98"/>
      <c r="LEY33" s="98"/>
      <c r="LEZ33" s="98"/>
      <c r="LFA33" s="98"/>
      <c r="LFB33" s="98"/>
      <c r="LFC33" s="98"/>
      <c r="LFD33" s="98"/>
      <c r="LFE33" s="98"/>
      <c r="LFF33" s="98"/>
      <c r="LFG33" s="98"/>
      <c r="LFH33" s="98"/>
      <c r="LFI33" s="98"/>
      <c r="LFJ33" s="98"/>
      <c r="LFK33" s="98"/>
      <c r="LFL33" s="98"/>
      <c r="LFM33" s="98"/>
      <c r="LFN33" s="98"/>
      <c r="LFO33" s="98"/>
      <c r="LFP33" s="98"/>
      <c r="LFQ33" s="98"/>
      <c r="LFR33" s="98"/>
      <c r="LFS33" s="98"/>
      <c r="LFT33" s="98"/>
      <c r="LFU33" s="98"/>
      <c r="LFV33" s="98"/>
      <c r="LFW33" s="98"/>
      <c r="LFX33" s="98"/>
      <c r="LFY33" s="98"/>
      <c r="LFZ33" s="98"/>
      <c r="LGA33" s="98"/>
      <c r="LGB33" s="98"/>
      <c r="LGC33" s="98"/>
      <c r="LGD33" s="98"/>
      <c r="LGE33" s="98"/>
      <c r="LGF33" s="98"/>
      <c r="LGG33" s="98"/>
      <c r="LGH33" s="98"/>
      <c r="LGI33" s="98"/>
      <c r="LGJ33" s="98"/>
      <c r="LGK33" s="98"/>
      <c r="LGL33" s="98"/>
      <c r="LGM33" s="98"/>
      <c r="LGN33" s="98"/>
      <c r="LGO33" s="98"/>
      <c r="LGP33" s="98"/>
      <c r="LGQ33" s="98"/>
      <c r="LGR33" s="98"/>
      <c r="LGS33" s="98"/>
      <c r="LGT33" s="98"/>
      <c r="LGU33" s="98"/>
      <c r="LGV33" s="98"/>
      <c r="LGW33" s="98"/>
      <c r="LGX33" s="98"/>
      <c r="LGY33" s="98"/>
      <c r="LGZ33" s="98"/>
      <c r="LHA33" s="98"/>
      <c r="LHB33" s="98"/>
      <c r="LHC33" s="98"/>
      <c r="LHD33" s="98"/>
      <c r="LHE33" s="98"/>
      <c r="LHF33" s="98"/>
      <c r="LHG33" s="98"/>
      <c r="LHH33" s="98"/>
      <c r="LHI33" s="98"/>
      <c r="LHJ33" s="98"/>
      <c r="LHK33" s="98"/>
      <c r="LHL33" s="98"/>
      <c r="LHM33" s="98"/>
      <c r="LHN33" s="98"/>
      <c r="LHO33" s="98"/>
      <c r="LHP33" s="98"/>
      <c r="LHQ33" s="98"/>
      <c r="LHR33" s="98"/>
      <c r="LHS33" s="98"/>
      <c r="LHT33" s="98"/>
      <c r="LHU33" s="98"/>
      <c r="LHV33" s="98"/>
      <c r="LHW33" s="98"/>
      <c r="LHX33" s="98"/>
      <c r="LHY33" s="98"/>
      <c r="LHZ33" s="98"/>
      <c r="LIA33" s="98"/>
      <c r="LIB33" s="98"/>
      <c r="LIC33" s="98"/>
      <c r="LID33" s="98"/>
      <c r="LIE33" s="98"/>
      <c r="LIF33" s="98"/>
      <c r="LIG33" s="98"/>
      <c r="LIH33" s="98"/>
      <c r="LII33" s="98"/>
      <c r="LIJ33" s="98"/>
      <c r="LIK33" s="98"/>
      <c r="LIL33" s="98"/>
      <c r="LIM33" s="98"/>
      <c r="LIN33" s="98"/>
      <c r="LIO33" s="98"/>
      <c r="LIP33" s="98"/>
      <c r="LIQ33" s="98"/>
      <c r="LIR33" s="98"/>
      <c r="LIS33" s="98"/>
      <c r="LIT33" s="98"/>
      <c r="LIU33" s="98"/>
      <c r="LIV33" s="98"/>
      <c r="LIW33" s="98"/>
      <c r="LIX33" s="98"/>
      <c r="LIY33" s="98"/>
      <c r="LIZ33" s="98"/>
      <c r="LJA33" s="98"/>
      <c r="LJB33" s="98"/>
      <c r="LJC33" s="98"/>
      <c r="LJD33" s="98"/>
      <c r="LJE33" s="98"/>
      <c r="LJF33" s="98"/>
      <c r="LJG33" s="98"/>
      <c r="LJH33" s="98"/>
      <c r="LJI33" s="98"/>
      <c r="LJJ33" s="98"/>
      <c r="LJK33" s="98"/>
      <c r="LJL33" s="98"/>
      <c r="LJM33" s="98"/>
      <c r="LJN33" s="98"/>
      <c r="LJO33" s="98"/>
      <c r="LJP33" s="98"/>
      <c r="LJQ33" s="98"/>
      <c r="LJR33" s="98"/>
      <c r="LJS33" s="98"/>
      <c r="LJT33" s="98"/>
      <c r="LJU33" s="98"/>
      <c r="LJV33" s="98"/>
      <c r="LJW33" s="98"/>
      <c r="LJX33" s="98"/>
      <c r="LJY33" s="98"/>
      <c r="LJZ33" s="98"/>
      <c r="LKA33" s="98"/>
      <c r="LKB33" s="98"/>
      <c r="LKC33" s="98"/>
      <c r="LKD33" s="98"/>
      <c r="LKE33" s="98"/>
      <c r="LKF33" s="98"/>
      <c r="LKG33" s="98"/>
      <c r="LKH33" s="98"/>
      <c r="LKI33" s="98"/>
      <c r="LKJ33" s="98"/>
      <c r="LKK33" s="98"/>
      <c r="LKL33" s="98"/>
      <c r="LKM33" s="98"/>
      <c r="LKN33" s="98"/>
      <c r="LKO33" s="98"/>
      <c r="LKP33" s="98"/>
      <c r="LKQ33" s="98"/>
      <c r="LKR33" s="98"/>
      <c r="LKS33" s="98"/>
      <c r="LKT33" s="98"/>
      <c r="LKU33" s="98"/>
      <c r="LKV33" s="98"/>
      <c r="LKW33" s="98"/>
      <c r="LKX33" s="98"/>
      <c r="LKY33" s="98"/>
      <c r="LKZ33" s="98"/>
      <c r="LLA33" s="98"/>
      <c r="LLB33" s="98"/>
      <c r="LLC33" s="98"/>
      <c r="LLD33" s="98"/>
      <c r="LLE33" s="98"/>
      <c r="LLF33" s="98"/>
      <c r="LLG33" s="98"/>
      <c r="LLH33" s="98"/>
      <c r="LLI33" s="98"/>
      <c r="LLJ33" s="98"/>
      <c r="LLK33" s="98"/>
      <c r="LLL33" s="98"/>
      <c r="LLM33" s="98"/>
      <c r="LLN33" s="98"/>
      <c r="LLO33" s="98"/>
      <c r="LLP33" s="98"/>
      <c r="LLQ33" s="98"/>
      <c r="LLR33" s="98"/>
      <c r="LLS33" s="98"/>
      <c r="LLT33" s="98"/>
      <c r="LLU33" s="98"/>
      <c r="LLV33" s="98"/>
      <c r="LLW33" s="98"/>
      <c r="LLX33" s="98"/>
      <c r="LLY33" s="98"/>
      <c r="LLZ33" s="98"/>
      <c r="LMA33" s="98"/>
      <c r="LMB33" s="98"/>
      <c r="LMC33" s="98"/>
      <c r="LMD33" s="98"/>
      <c r="LME33" s="98"/>
      <c r="LMF33" s="98"/>
      <c r="LMG33" s="98"/>
      <c r="LMH33" s="98"/>
      <c r="LMI33" s="98"/>
      <c r="LMJ33" s="98"/>
      <c r="LMK33" s="98"/>
      <c r="LML33" s="98"/>
      <c r="LMM33" s="98"/>
      <c r="LMN33" s="98"/>
      <c r="LMO33" s="98"/>
      <c r="LMP33" s="98"/>
      <c r="LMQ33" s="98"/>
      <c r="LMR33" s="98"/>
      <c r="LMS33" s="98"/>
      <c r="LMT33" s="98"/>
      <c r="LMU33" s="98"/>
      <c r="LMV33" s="98"/>
      <c r="LMW33" s="98"/>
      <c r="LMX33" s="98"/>
      <c r="LMY33" s="98"/>
      <c r="LMZ33" s="98"/>
      <c r="LNA33" s="98"/>
      <c r="LNB33" s="98"/>
      <c r="LNC33" s="98"/>
      <c r="LND33" s="98"/>
      <c r="LNE33" s="98"/>
      <c r="LNF33" s="98"/>
      <c r="LNG33" s="98"/>
      <c r="LNH33" s="98"/>
      <c r="LNI33" s="98"/>
      <c r="LNJ33" s="98"/>
      <c r="LNK33" s="98"/>
      <c r="LNL33" s="98"/>
      <c r="LNM33" s="98"/>
      <c r="LNN33" s="98"/>
      <c r="LNO33" s="98"/>
      <c r="LNP33" s="98"/>
      <c r="LNQ33" s="98"/>
      <c r="LNR33" s="98"/>
      <c r="LNS33" s="98"/>
      <c r="LNT33" s="98"/>
      <c r="LNU33" s="98"/>
      <c r="LNV33" s="98"/>
      <c r="LNW33" s="98"/>
      <c r="LNX33" s="98"/>
      <c r="LNY33" s="98"/>
      <c r="LNZ33" s="98"/>
      <c r="LOA33" s="98"/>
      <c r="LOB33" s="98"/>
      <c r="LOC33" s="98"/>
      <c r="LOD33" s="98"/>
      <c r="LOE33" s="98"/>
      <c r="LOF33" s="98"/>
      <c r="LOG33" s="98"/>
      <c r="LOH33" s="98"/>
      <c r="LOI33" s="98"/>
      <c r="LOJ33" s="98"/>
      <c r="LOK33" s="98"/>
      <c r="LOL33" s="98"/>
      <c r="LOM33" s="98"/>
      <c r="LON33" s="98"/>
      <c r="LOO33" s="98"/>
      <c r="LOP33" s="98"/>
      <c r="LOQ33" s="98"/>
      <c r="LOR33" s="98"/>
      <c r="LOS33" s="98"/>
      <c r="LOT33" s="98"/>
      <c r="LOU33" s="98"/>
      <c r="LOV33" s="98"/>
      <c r="LOW33" s="98"/>
      <c r="LOX33" s="98"/>
      <c r="LOY33" s="98"/>
      <c r="LOZ33" s="98"/>
      <c r="LPA33" s="98"/>
      <c r="LPB33" s="98"/>
      <c r="LPC33" s="98"/>
      <c r="LPD33" s="98"/>
      <c r="LPE33" s="98"/>
      <c r="LPF33" s="98"/>
      <c r="LPG33" s="98"/>
      <c r="LPH33" s="98"/>
      <c r="LPI33" s="98"/>
      <c r="LPJ33" s="98"/>
      <c r="LPK33" s="98"/>
      <c r="LPL33" s="98"/>
      <c r="LPM33" s="98"/>
      <c r="LPN33" s="98"/>
      <c r="LPO33" s="98"/>
      <c r="LPP33" s="98"/>
      <c r="LPQ33" s="98"/>
      <c r="LPR33" s="98"/>
      <c r="LPS33" s="98"/>
      <c r="LPT33" s="98"/>
      <c r="LPU33" s="98"/>
      <c r="LPV33" s="98"/>
      <c r="LPW33" s="98"/>
      <c r="LPX33" s="98"/>
      <c r="LPY33" s="98"/>
      <c r="LPZ33" s="98"/>
      <c r="LQA33" s="98"/>
      <c r="LQB33" s="98"/>
      <c r="LQC33" s="98"/>
      <c r="LQD33" s="98"/>
      <c r="LQE33" s="98"/>
      <c r="LQF33" s="98"/>
      <c r="LQG33" s="98"/>
      <c r="LQH33" s="98"/>
      <c r="LQI33" s="98"/>
      <c r="LQJ33" s="98"/>
      <c r="LQK33" s="98"/>
      <c r="LQL33" s="98"/>
      <c r="LQM33" s="98"/>
      <c r="LQN33" s="98"/>
      <c r="LQO33" s="98"/>
      <c r="LQP33" s="98"/>
      <c r="LQQ33" s="98"/>
      <c r="LQR33" s="98"/>
      <c r="LQS33" s="98"/>
      <c r="LQT33" s="98"/>
      <c r="LQU33" s="98"/>
      <c r="LQV33" s="98"/>
      <c r="LQW33" s="98"/>
      <c r="LQX33" s="98"/>
      <c r="LQY33" s="98"/>
      <c r="LQZ33" s="98"/>
      <c r="LRA33" s="98"/>
      <c r="LRB33" s="98"/>
      <c r="LRC33" s="98"/>
      <c r="LRD33" s="98"/>
      <c r="LRE33" s="98"/>
      <c r="LRF33" s="98"/>
      <c r="LRG33" s="98"/>
      <c r="LRH33" s="98"/>
      <c r="LRI33" s="98"/>
      <c r="LRJ33" s="98"/>
      <c r="LRK33" s="98"/>
      <c r="LRL33" s="98"/>
      <c r="LRM33" s="98"/>
      <c r="LRN33" s="98"/>
      <c r="LRO33" s="98"/>
      <c r="LRP33" s="98"/>
      <c r="LRQ33" s="98"/>
      <c r="LRR33" s="98"/>
      <c r="LRS33" s="98"/>
      <c r="LRT33" s="98"/>
      <c r="LRU33" s="98"/>
      <c r="LRV33" s="98"/>
      <c r="LRW33" s="98"/>
      <c r="LRX33" s="98"/>
      <c r="LRY33" s="98"/>
      <c r="LRZ33" s="98"/>
      <c r="LSA33" s="98"/>
      <c r="LSB33" s="98"/>
      <c r="LSC33" s="98"/>
      <c r="LSD33" s="98"/>
      <c r="LSE33" s="98"/>
      <c r="LSF33" s="98"/>
      <c r="LSG33" s="98"/>
      <c r="LSH33" s="98"/>
      <c r="LSI33" s="98"/>
      <c r="LSJ33" s="98"/>
      <c r="LSK33" s="98"/>
      <c r="LSL33" s="98"/>
      <c r="LSM33" s="98"/>
      <c r="LSN33" s="98"/>
      <c r="LSO33" s="98"/>
      <c r="LSP33" s="98"/>
      <c r="LSQ33" s="98"/>
      <c r="LSR33" s="98"/>
      <c r="LSS33" s="98"/>
      <c r="LST33" s="98"/>
      <c r="LSU33" s="98"/>
      <c r="LSV33" s="98"/>
      <c r="LSW33" s="98"/>
      <c r="LSX33" s="98"/>
      <c r="LSY33" s="98"/>
      <c r="LSZ33" s="98"/>
      <c r="LTA33" s="98"/>
      <c r="LTB33" s="98"/>
      <c r="LTC33" s="98"/>
      <c r="LTD33" s="98"/>
      <c r="LTE33" s="98"/>
      <c r="LTF33" s="98"/>
      <c r="LTG33" s="98"/>
      <c r="LTH33" s="98"/>
      <c r="LTI33" s="98"/>
      <c r="LTJ33" s="98"/>
      <c r="LTK33" s="98"/>
      <c r="LTL33" s="98"/>
      <c r="LTM33" s="98"/>
      <c r="LTN33" s="98"/>
      <c r="LTO33" s="98"/>
      <c r="LTP33" s="98"/>
      <c r="LTQ33" s="98"/>
      <c r="LTR33" s="98"/>
      <c r="LTS33" s="98"/>
      <c r="LTT33" s="98"/>
      <c r="LTU33" s="98"/>
      <c r="LTV33" s="98"/>
      <c r="LTW33" s="98"/>
      <c r="LTX33" s="98"/>
      <c r="LTY33" s="98"/>
      <c r="LTZ33" s="98"/>
      <c r="LUA33" s="98"/>
      <c r="LUB33" s="98"/>
      <c r="LUC33" s="98"/>
      <c r="LUD33" s="98"/>
      <c r="LUE33" s="98"/>
      <c r="LUF33" s="98"/>
      <c r="LUG33" s="98"/>
      <c r="LUH33" s="98"/>
      <c r="LUI33" s="98"/>
      <c r="LUJ33" s="98"/>
      <c r="LUK33" s="98"/>
      <c r="LUL33" s="98"/>
      <c r="LUM33" s="98"/>
      <c r="LUN33" s="98"/>
      <c r="LUO33" s="98"/>
      <c r="LUP33" s="98"/>
      <c r="LUQ33" s="98"/>
      <c r="LUR33" s="98"/>
      <c r="LUS33" s="98"/>
      <c r="LUT33" s="98"/>
      <c r="LUU33" s="98"/>
      <c r="LUV33" s="98"/>
      <c r="LUW33" s="98"/>
      <c r="LUX33" s="98"/>
      <c r="LUY33" s="98"/>
      <c r="LUZ33" s="98"/>
      <c r="LVA33" s="98"/>
      <c r="LVB33" s="98"/>
      <c r="LVC33" s="98"/>
      <c r="LVD33" s="98"/>
      <c r="LVE33" s="98"/>
      <c r="LVF33" s="98"/>
      <c r="LVG33" s="98"/>
      <c r="LVH33" s="98"/>
      <c r="LVI33" s="98"/>
      <c r="LVJ33" s="98"/>
      <c r="LVK33" s="98"/>
      <c r="LVL33" s="98"/>
      <c r="LVM33" s="98"/>
      <c r="LVN33" s="98"/>
      <c r="LVO33" s="98"/>
      <c r="LVP33" s="98"/>
      <c r="LVQ33" s="98"/>
      <c r="LVR33" s="98"/>
      <c r="LVS33" s="98"/>
      <c r="LVT33" s="98"/>
      <c r="LVU33" s="98"/>
      <c r="LVV33" s="98"/>
      <c r="LVW33" s="98"/>
      <c r="LVX33" s="98"/>
      <c r="LVY33" s="98"/>
      <c r="LVZ33" s="98"/>
      <c r="LWA33" s="98"/>
      <c r="LWB33" s="98"/>
      <c r="LWC33" s="98"/>
      <c r="LWD33" s="98"/>
      <c r="LWE33" s="98"/>
      <c r="LWF33" s="98"/>
      <c r="LWG33" s="98"/>
      <c r="LWH33" s="98"/>
      <c r="LWI33" s="98"/>
      <c r="LWJ33" s="98"/>
      <c r="LWK33" s="98"/>
      <c r="LWL33" s="98"/>
      <c r="LWM33" s="98"/>
      <c r="LWN33" s="98"/>
      <c r="LWO33" s="98"/>
      <c r="LWP33" s="98"/>
      <c r="LWQ33" s="98"/>
      <c r="LWR33" s="98"/>
      <c r="LWS33" s="98"/>
      <c r="LWT33" s="98"/>
      <c r="LWU33" s="98"/>
      <c r="LWV33" s="98"/>
      <c r="LWW33" s="98"/>
      <c r="LWX33" s="98"/>
      <c r="LWY33" s="98"/>
      <c r="LWZ33" s="98"/>
      <c r="LXA33" s="98"/>
      <c r="LXB33" s="98"/>
      <c r="LXC33" s="98"/>
      <c r="LXD33" s="98"/>
      <c r="LXE33" s="98"/>
      <c r="LXF33" s="98"/>
      <c r="LXG33" s="98"/>
      <c r="LXH33" s="98"/>
      <c r="LXI33" s="98"/>
      <c r="LXJ33" s="98"/>
      <c r="LXK33" s="98"/>
      <c r="LXL33" s="98"/>
      <c r="LXM33" s="98"/>
      <c r="LXN33" s="98"/>
      <c r="LXO33" s="98"/>
      <c r="LXP33" s="98"/>
      <c r="LXQ33" s="98"/>
      <c r="LXR33" s="98"/>
      <c r="LXS33" s="98"/>
      <c r="LXT33" s="98"/>
      <c r="LXU33" s="98"/>
      <c r="LXV33" s="98"/>
      <c r="LXW33" s="98"/>
      <c r="LXX33" s="98"/>
      <c r="LXY33" s="98"/>
      <c r="LXZ33" s="98"/>
      <c r="LYA33" s="98"/>
      <c r="LYB33" s="98"/>
      <c r="LYC33" s="98"/>
      <c r="LYD33" s="98"/>
      <c r="LYE33" s="98"/>
      <c r="LYF33" s="98"/>
      <c r="LYG33" s="98"/>
      <c r="LYH33" s="98"/>
      <c r="LYI33" s="98"/>
      <c r="LYJ33" s="98"/>
      <c r="LYK33" s="98"/>
      <c r="LYL33" s="98"/>
      <c r="LYM33" s="98"/>
      <c r="LYN33" s="98"/>
      <c r="LYO33" s="98"/>
      <c r="LYP33" s="98"/>
      <c r="LYQ33" s="98"/>
      <c r="LYR33" s="98"/>
      <c r="LYS33" s="98"/>
      <c r="LYT33" s="98"/>
      <c r="LYU33" s="98"/>
      <c r="LYV33" s="98"/>
      <c r="LYW33" s="98"/>
      <c r="LYX33" s="98"/>
      <c r="LYY33" s="98"/>
      <c r="LYZ33" s="98"/>
      <c r="LZA33" s="98"/>
      <c r="LZB33" s="98"/>
      <c r="LZC33" s="98"/>
      <c r="LZD33" s="98"/>
      <c r="LZE33" s="98"/>
      <c r="LZF33" s="98"/>
      <c r="LZG33" s="98"/>
      <c r="LZH33" s="98"/>
      <c r="LZI33" s="98"/>
      <c r="LZJ33" s="98"/>
      <c r="LZK33" s="98"/>
      <c r="LZL33" s="98"/>
      <c r="LZM33" s="98"/>
      <c r="LZN33" s="98"/>
      <c r="LZO33" s="98"/>
      <c r="LZP33" s="98"/>
      <c r="LZQ33" s="98"/>
      <c r="LZR33" s="98"/>
      <c r="LZS33" s="98"/>
      <c r="LZT33" s="98"/>
      <c r="LZU33" s="98"/>
      <c r="LZV33" s="98"/>
      <c r="LZW33" s="98"/>
      <c r="LZX33" s="98"/>
      <c r="LZY33" s="98"/>
      <c r="LZZ33" s="98"/>
      <c r="MAA33" s="98"/>
      <c r="MAB33" s="98"/>
      <c r="MAC33" s="98"/>
      <c r="MAD33" s="98"/>
      <c r="MAE33" s="98"/>
      <c r="MAF33" s="98"/>
      <c r="MAG33" s="98"/>
      <c r="MAH33" s="98"/>
      <c r="MAI33" s="98"/>
      <c r="MAJ33" s="98"/>
      <c r="MAK33" s="98"/>
      <c r="MAL33" s="98"/>
      <c r="MAM33" s="98"/>
      <c r="MAN33" s="98"/>
      <c r="MAO33" s="98"/>
      <c r="MAP33" s="98"/>
      <c r="MAQ33" s="98"/>
      <c r="MAR33" s="98"/>
      <c r="MAS33" s="98"/>
      <c r="MAT33" s="98"/>
      <c r="MAU33" s="98"/>
      <c r="MAV33" s="98"/>
      <c r="MAW33" s="98"/>
      <c r="MAX33" s="98"/>
      <c r="MAY33" s="98"/>
      <c r="MAZ33" s="98"/>
      <c r="MBA33" s="98"/>
      <c r="MBB33" s="98"/>
      <c r="MBC33" s="98"/>
      <c r="MBD33" s="98"/>
      <c r="MBE33" s="98"/>
      <c r="MBF33" s="98"/>
      <c r="MBG33" s="98"/>
      <c r="MBH33" s="98"/>
      <c r="MBI33" s="98"/>
      <c r="MBJ33" s="98"/>
      <c r="MBK33" s="98"/>
      <c r="MBL33" s="98"/>
      <c r="MBM33" s="98"/>
      <c r="MBN33" s="98"/>
      <c r="MBO33" s="98"/>
      <c r="MBP33" s="98"/>
      <c r="MBQ33" s="98"/>
      <c r="MBR33" s="98"/>
      <c r="MBS33" s="98"/>
      <c r="MBT33" s="98"/>
      <c r="MBU33" s="98"/>
      <c r="MBV33" s="98"/>
      <c r="MBW33" s="98"/>
      <c r="MBX33" s="98"/>
      <c r="MBY33" s="98"/>
      <c r="MBZ33" s="98"/>
      <c r="MCA33" s="98"/>
      <c r="MCB33" s="98"/>
      <c r="MCC33" s="98"/>
      <c r="MCD33" s="98"/>
      <c r="MCE33" s="98"/>
      <c r="MCF33" s="98"/>
      <c r="MCG33" s="98"/>
      <c r="MCH33" s="98"/>
      <c r="MCI33" s="98"/>
      <c r="MCJ33" s="98"/>
      <c r="MCK33" s="98"/>
      <c r="MCL33" s="98"/>
      <c r="MCM33" s="98"/>
      <c r="MCN33" s="98"/>
      <c r="MCO33" s="98"/>
      <c r="MCP33" s="98"/>
      <c r="MCQ33" s="98"/>
      <c r="MCR33" s="98"/>
      <c r="MCS33" s="98"/>
      <c r="MCT33" s="98"/>
      <c r="MCU33" s="98"/>
      <c r="MCV33" s="98"/>
      <c r="MCW33" s="98"/>
      <c r="MCX33" s="98"/>
      <c r="MCY33" s="98"/>
      <c r="MCZ33" s="98"/>
      <c r="MDA33" s="98"/>
      <c r="MDB33" s="98"/>
      <c r="MDC33" s="98"/>
      <c r="MDD33" s="98"/>
      <c r="MDE33" s="98"/>
      <c r="MDF33" s="98"/>
      <c r="MDG33" s="98"/>
      <c r="MDH33" s="98"/>
      <c r="MDI33" s="98"/>
      <c r="MDJ33" s="98"/>
      <c r="MDK33" s="98"/>
      <c r="MDL33" s="98"/>
      <c r="MDM33" s="98"/>
      <c r="MDN33" s="98"/>
      <c r="MDO33" s="98"/>
      <c r="MDP33" s="98"/>
      <c r="MDQ33" s="98"/>
      <c r="MDR33" s="98"/>
      <c r="MDS33" s="98"/>
      <c r="MDT33" s="98"/>
      <c r="MDU33" s="98"/>
      <c r="MDV33" s="98"/>
      <c r="MDW33" s="98"/>
      <c r="MDX33" s="98"/>
      <c r="MDY33" s="98"/>
      <c r="MDZ33" s="98"/>
      <c r="MEA33" s="98"/>
      <c r="MEB33" s="98"/>
      <c r="MEC33" s="98"/>
      <c r="MED33" s="98"/>
      <c r="MEE33" s="98"/>
      <c r="MEF33" s="98"/>
      <c r="MEG33" s="98"/>
      <c r="MEH33" s="98"/>
      <c r="MEI33" s="98"/>
      <c r="MEJ33" s="98"/>
      <c r="MEK33" s="98"/>
      <c r="MEL33" s="98"/>
      <c r="MEM33" s="98"/>
      <c r="MEN33" s="98"/>
      <c r="MEO33" s="98"/>
      <c r="MEP33" s="98"/>
      <c r="MEQ33" s="98"/>
      <c r="MER33" s="98"/>
      <c r="MES33" s="98"/>
      <c r="MET33" s="98"/>
      <c r="MEU33" s="98"/>
      <c r="MEV33" s="98"/>
      <c r="MEW33" s="98"/>
      <c r="MEX33" s="98"/>
      <c r="MEY33" s="98"/>
      <c r="MEZ33" s="98"/>
      <c r="MFA33" s="98"/>
      <c r="MFB33" s="98"/>
      <c r="MFC33" s="98"/>
      <c r="MFD33" s="98"/>
      <c r="MFE33" s="98"/>
      <c r="MFF33" s="98"/>
      <c r="MFG33" s="98"/>
      <c r="MFH33" s="98"/>
      <c r="MFI33" s="98"/>
      <c r="MFJ33" s="98"/>
      <c r="MFK33" s="98"/>
      <c r="MFL33" s="98"/>
      <c r="MFM33" s="98"/>
      <c r="MFN33" s="98"/>
      <c r="MFO33" s="98"/>
      <c r="MFP33" s="98"/>
      <c r="MFQ33" s="98"/>
      <c r="MFR33" s="98"/>
      <c r="MFS33" s="98"/>
      <c r="MFT33" s="98"/>
      <c r="MFU33" s="98"/>
      <c r="MFV33" s="98"/>
      <c r="MFW33" s="98"/>
      <c r="MFX33" s="98"/>
      <c r="MFY33" s="98"/>
      <c r="MFZ33" s="98"/>
      <c r="MGA33" s="98"/>
      <c r="MGB33" s="98"/>
      <c r="MGC33" s="98"/>
      <c r="MGD33" s="98"/>
      <c r="MGE33" s="98"/>
      <c r="MGF33" s="98"/>
      <c r="MGG33" s="98"/>
      <c r="MGH33" s="98"/>
      <c r="MGI33" s="98"/>
      <c r="MGJ33" s="98"/>
      <c r="MGK33" s="98"/>
      <c r="MGL33" s="98"/>
      <c r="MGM33" s="98"/>
      <c r="MGN33" s="98"/>
      <c r="MGO33" s="98"/>
      <c r="MGP33" s="98"/>
      <c r="MGQ33" s="98"/>
      <c r="MGR33" s="98"/>
      <c r="MGS33" s="98"/>
      <c r="MGT33" s="98"/>
      <c r="MGU33" s="98"/>
      <c r="MGV33" s="98"/>
      <c r="MGW33" s="98"/>
      <c r="MGX33" s="98"/>
      <c r="MGY33" s="98"/>
      <c r="MGZ33" s="98"/>
      <c r="MHA33" s="98"/>
      <c r="MHB33" s="98"/>
      <c r="MHC33" s="98"/>
      <c r="MHD33" s="98"/>
      <c r="MHE33" s="98"/>
      <c r="MHF33" s="98"/>
      <c r="MHG33" s="98"/>
      <c r="MHH33" s="98"/>
      <c r="MHI33" s="98"/>
      <c r="MHJ33" s="98"/>
      <c r="MHK33" s="98"/>
      <c r="MHL33" s="98"/>
      <c r="MHM33" s="98"/>
      <c r="MHN33" s="98"/>
      <c r="MHO33" s="98"/>
      <c r="MHP33" s="98"/>
      <c r="MHQ33" s="98"/>
      <c r="MHR33" s="98"/>
      <c r="MHS33" s="98"/>
      <c r="MHT33" s="98"/>
      <c r="MHU33" s="98"/>
      <c r="MHV33" s="98"/>
      <c r="MHW33" s="98"/>
      <c r="MHX33" s="98"/>
      <c r="MHY33" s="98"/>
      <c r="MHZ33" s="98"/>
      <c r="MIA33" s="98"/>
      <c r="MIB33" s="98"/>
      <c r="MIC33" s="98"/>
      <c r="MID33" s="98"/>
      <c r="MIE33" s="98"/>
      <c r="MIF33" s="98"/>
      <c r="MIG33" s="98"/>
      <c r="MIH33" s="98"/>
      <c r="MII33" s="98"/>
      <c r="MIJ33" s="98"/>
      <c r="MIK33" s="98"/>
      <c r="MIL33" s="98"/>
      <c r="MIM33" s="98"/>
      <c r="MIN33" s="98"/>
      <c r="MIO33" s="98"/>
      <c r="MIP33" s="98"/>
      <c r="MIQ33" s="98"/>
      <c r="MIR33" s="98"/>
      <c r="MIS33" s="98"/>
      <c r="MIT33" s="98"/>
      <c r="MIU33" s="98"/>
      <c r="MIV33" s="98"/>
      <c r="MIW33" s="98"/>
      <c r="MIX33" s="98"/>
      <c r="MIY33" s="98"/>
      <c r="MIZ33" s="98"/>
      <c r="MJA33" s="98"/>
      <c r="MJB33" s="98"/>
      <c r="MJC33" s="98"/>
      <c r="MJD33" s="98"/>
      <c r="MJE33" s="98"/>
      <c r="MJF33" s="98"/>
      <c r="MJG33" s="98"/>
      <c r="MJH33" s="98"/>
      <c r="MJI33" s="98"/>
      <c r="MJJ33" s="98"/>
      <c r="MJK33" s="98"/>
      <c r="MJL33" s="98"/>
      <c r="MJM33" s="98"/>
      <c r="MJN33" s="98"/>
      <c r="MJO33" s="98"/>
      <c r="MJP33" s="98"/>
      <c r="MJQ33" s="98"/>
      <c r="MJR33" s="98"/>
      <c r="MJS33" s="98"/>
      <c r="MJT33" s="98"/>
      <c r="MJU33" s="98"/>
      <c r="MJV33" s="98"/>
      <c r="MJW33" s="98"/>
      <c r="MJX33" s="98"/>
      <c r="MJY33" s="98"/>
      <c r="MJZ33" s="98"/>
      <c r="MKA33" s="98"/>
      <c r="MKB33" s="98"/>
      <c r="MKC33" s="98"/>
      <c r="MKD33" s="98"/>
      <c r="MKE33" s="98"/>
      <c r="MKF33" s="98"/>
      <c r="MKG33" s="98"/>
      <c r="MKH33" s="98"/>
      <c r="MKI33" s="98"/>
      <c r="MKJ33" s="98"/>
      <c r="MKK33" s="98"/>
      <c r="MKL33" s="98"/>
      <c r="MKM33" s="98"/>
      <c r="MKN33" s="98"/>
      <c r="MKO33" s="98"/>
      <c r="MKP33" s="98"/>
      <c r="MKQ33" s="98"/>
      <c r="MKR33" s="98"/>
      <c r="MKS33" s="98"/>
      <c r="MKT33" s="98"/>
      <c r="MKU33" s="98"/>
      <c r="MKV33" s="98"/>
      <c r="MKW33" s="98"/>
      <c r="MKX33" s="98"/>
      <c r="MKY33" s="98"/>
      <c r="MKZ33" s="98"/>
      <c r="MLA33" s="98"/>
      <c r="MLB33" s="98"/>
      <c r="MLC33" s="98"/>
      <c r="MLD33" s="98"/>
      <c r="MLE33" s="98"/>
      <c r="MLF33" s="98"/>
      <c r="MLG33" s="98"/>
      <c r="MLH33" s="98"/>
      <c r="MLI33" s="98"/>
      <c r="MLJ33" s="98"/>
      <c r="MLK33" s="98"/>
      <c r="MLL33" s="98"/>
      <c r="MLM33" s="98"/>
      <c r="MLN33" s="98"/>
      <c r="MLO33" s="98"/>
      <c r="MLP33" s="98"/>
      <c r="MLQ33" s="98"/>
      <c r="MLR33" s="98"/>
      <c r="MLS33" s="98"/>
      <c r="MLT33" s="98"/>
      <c r="MLU33" s="98"/>
      <c r="MLV33" s="98"/>
      <c r="MLW33" s="98"/>
      <c r="MLX33" s="98"/>
      <c r="MLY33" s="98"/>
      <c r="MLZ33" s="98"/>
      <c r="MMA33" s="98"/>
      <c r="MMB33" s="98"/>
      <c r="MMC33" s="98"/>
      <c r="MMD33" s="98"/>
      <c r="MME33" s="98"/>
      <c r="MMF33" s="98"/>
      <c r="MMG33" s="98"/>
      <c r="MMH33" s="98"/>
      <c r="MMI33" s="98"/>
      <c r="MMJ33" s="98"/>
      <c r="MMK33" s="98"/>
      <c r="MML33" s="98"/>
      <c r="MMM33" s="98"/>
      <c r="MMN33" s="98"/>
      <c r="MMO33" s="98"/>
      <c r="MMP33" s="98"/>
      <c r="MMQ33" s="98"/>
      <c r="MMR33" s="98"/>
      <c r="MMS33" s="98"/>
      <c r="MMT33" s="98"/>
      <c r="MMU33" s="98"/>
      <c r="MMV33" s="98"/>
      <c r="MMW33" s="98"/>
      <c r="MMX33" s="98"/>
      <c r="MMY33" s="98"/>
      <c r="MMZ33" s="98"/>
      <c r="MNA33" s="98"/>
      <c r="MNB33" s="98"/>
      <c r="MNC33" s="98"/>
      <c r="MND33" s="98"/>
      <c r="MNE33" s="98"/>
      <c r="MNF33" s="98"/>
      <c r="MNG33" s="98"/>
      <c r="MNH33" s="98"/>
      <c r="MNI33" s="98"/>
      <c r="MNJ33" s="98"/>
      <c r="MNK33" s="98"/>
      <c r="MNL33" s="98"/>
      <c r="MNM33" s="98"/>
      <c r="MNN33" s="98"/>
      <c r="MNO33" s="98"/>
      <c r="MNP33" s="98"/>
      <c r="MNQ33" s="98"/>
      <c r="MNR33" s="98"/>
      <c r="MNS33" s="98"/>
      <c r="MNT33" s="98"/>
      <c r="MNU33" s="98"/>
      <c r="MNV33" s="98"/>
      <c r="MNW33" s="98"/>
      <c r="MNX33" s="98"/>
      <c r="MNY33" s="98"/>
      <c r="MNZ33" s="98"/>
      <c r="MOA33" s="98"/>
      <c r="MOB33" s="98"/>
      <c r="MOC33" s="98"/>
      <c r="MOD33" s="98"/>
      <c r="MOE33" s="98"/>
      <c r="MOF33" s="98"/>
      <c r="MOG33" s="98"/>
      <c r="MOH33" s="98"/>
      <c r="MOI33" s="98"/>
      <c r="MOJ33" s="98"/>
      <c r="MOK33" s="98"/>
      <c r="MOL33" s="98"/>
      <c r="MOM33" s="98"/>
      <c r="MON33" s="98"/>
      <c r="MOO33" s="98"/>
      <c r="MOP33" s="98"/>
      <c r="MOQ33" s="98"/>
      <c r="MOR33" s="98"/>
      <c r="MOS33" s="98"/>
      <c r="MOT33" s="98"/>
      <c r="MOU33" s="98"/>
      <c r="MOV33" s="98"/>
      <c r="MOW33" s="98"/>
      <c r="MOX33" s="98"/>
      <c r="MOY33" s="98"/>
      <c r="MOZ33" s="98"/>
      <c r="MPA33" s="98"/>
      <c r="MPB33" s="98"/>
      <c r="MPC33" s="98"/>
      <c r="MPD33" s="98"/>
      <c r="MPE33" s="98"/>
      <c r="MPF33" s="98"/>
      <c r="MPG33" s="98"/>
      <c r="MPH33" s="98"/>
      <c r="MPI33" s="98"/>
      <c r="MPJ33" s="98"/>
      <c r="MPK33" s="98"/>
      <c r="MPL33" s="98"/>
      <c r="MPM33" s="98"/>
      <c r="MPN33" s="98"/>
      <c r="MPO33" s="98"/>
      <c r="MPP33" s="98"/>
      <c r="MPQ33" s="98"/>
      <c r="MPR33" s="98"/>
      <c r="MPS33" s="98"/>
      <c r="MPT33" s="98"/>
      <c r="MPU33" s="98"/>
      <c r="MPV33" s="98"/>
      <c r="MPW33" s="98"/>
      <c r="MPX33" s="98"/>
      <c r="MPY33" s="98"/>
      <c r="MPZ33" s="98"/>
      <c r="MQA33" s="98"/>
      <c r="MQB33" s="98"/>
      <c r="MQC33" s="98"/>
      <c r="MQD33" s="98"/>
      <c r="MQE33" s="98"/>
      <c r="MQF33" s="98"/>
      <c r="MQG33" s="98"/>
      <c r="MQH33" s="98"/>
      <c r="MQI33" s="98"/>
      <c r="MQJ33" s="98"/>
      <c r="MQK33" s="98"/>
      <c r="MQL33" s="98"/>
      <c r="MQM33" s="98"/>
      <c r="MQN33" s="98"/>
      <c r="MQO33" s="98"/>
      <c r="MQP33" s="98"/>
      <c r="MQQ33" s="98"/>
      <c r="MQR33" s="98"/>
      <c r="MQS33" s="98"/>
      <c r="MQT33" s="98"/>
      <c r="MQU33" s="98"/>
      <c r="MQV33" s="98"/>
      <c r="MQW33" s="98"/>
      <c r="MQX33" s="98"/>
      <c r="MQY33" s="98"/>
      <c r="MQZ33" s="98"/>
      <c r="MRA33" s="98"/>
      <c r="MRB33" s="98"/>
      <c r="MRC33" s="98"/>
      <c r="MRD33" s="98"/>
      <c r="MRE33" s="98"/>
      <c r="MRF33" s="98"/>
      <c r="MRG33" s="98"/>
      <c r="MRH33" s="98"/>
      <c r="MRI33" s="98"/>
      <c r="MRJ33" s="98"/>
      <c r="MRK33" s="98"/>
      <c r="MRL33" s="98"/>
      <c r="MRM33" s="98"/>
      <c r="MRN33" s="98"/>
      <c r="MRO33" s="98"/>
      <c r="MRP33" s="98"/>
      <c r="MRQ33" s="98"/>
      <c r="MRR33" s="98"/>
      <c r="MRS33" s="98"/>
      <c r="MRT33" s="98"/>
      <c r="MRU33" s="98"/>
      <c r="MRV33" s="98"/>
      <c r="MRW33" s="98"/>
      <c r="MRX33" s="98"/>
      <c r="MRY33" s="98"/>
      <c r="MRZ33" s="98"/>
      <c r="MSA33" s="98"/>
      <c r="MSB33" s="98"/>
      <c r="MSC33" s="98"/>
      <c r="MSD33" s="98"/>
      <c r="MSE33" s="98"/>
      <c r="MSF33" s="98"/>
      <c r="MSG33" s="98"/>
      <c r="MSH33" s="98"/>
      <c r="MSI33" s="98"/>
      <c r="MSJ33" s="98"/>
      <c r="MSK33" s="98"/>
      <c r="MSL33" s="98"/>
      <c r="MSM33" s="98"/>
      <c r="MSN33" s="98"/>
      <c r="MSO33" s="98"/>
      <c r="MSP33" s="98"/>
      <c r="MSQ33" s="98"/>
      <c r="MSR33" s="98"/>
      <c r="MSS33" s="98"/>
      <c r="MST33" s="98"/>
      <c r="MSU33" s="98"/>
      <c r="MSV33" s="98"/>
      <c r="MSW33" s="98"/>
      <c r="MSX33" s="98"/>
      <c r="MSY33" s="98"/>
      <c r="MSZ33" s="98"/>
      <c r="MTA33" s="98"/>
      <c r="MTB33" s="98"/>
      <c r="MTC33" s="98"/>
      <c r="MTD33" s="98"/>
      <c r="MTE33" s="98"/>
      <c r="MTF33" s="98"/>
      <c r="MTG33" s="98"/>
      <c r="MTH33" s="98"/>
      <c r="MTI33" s="98"/>
      <c r="MTJ33" s="98"/>
      <c r="MTK33" s="98"/>
      <c r="MTL33" s="98"/>
      <c r="MTM33" s="98"/>
      <c r="MTN33" s="98"/>
      <c r="MTO33" s="98"/>
      <c r="MTP33" s="98"/>
      <c r="MTQ33" s="98"/>
      <c r="MTR33" s="98"/>
      <c r="MTS33" s="98"/>
      <c r="MTT33" s="98"/>
      <c r="MTU33" s="98"/>
      <c r="MTV33" s="98"/>
      <c r="MTW33" s="98"/>
      <c r="MTX33" s="98"/>
      <c r="MTY33" s="98"/>
      <c r="MTZ33" s="98"/>
      <c r="MUA33" s="98"/>
      <c r="MUB33" s="98"/>
      <c r="MUC33" s="98"/>
      <c r="MUD33" s="98"/>
      <c r="MUE33" s="98"/>
      <c r="MUF33" s="98"/>
      <c r="MUG33" s="98"/>
      <c r="MUH33" s="98"/>
      <c r="MUI33" s="98"/>
      <c r="MUJ33" s="98"/>
      <c r="MUK33" s="98"/>
      <c r="MUL33" s="98"/>
      <c r="MUM33" s="98"/>
      <c r="MUN33" s="98"/>
      <c r="MUO33" s="98"/>
      <c r="MUP33" s="98"/>
      <c r="MUQ33" s="98"/>
      <c r="MUR33" s="98"/>
      <c r="MUS33" s="98"/>
      <c r="MUT33" s="98"/>
      <c r="MUU33" s="98"/>
      <c r="MUV33" s="98"/>
      <c r="MUW33" s="98"/>
      <c r="MUX33" s="98"/>
      <c r="MUY33" s="98"/>
      <c r="MUZ33" s="98"/>
      <c r="MVA33" s="98"/>
      <c r="MVB33" s="98"/>
      <c r="MVC33" s="98"/>
      <c r="MVD33" s="98"/>
      <c r="MVE33" s="98"/>
      <c r="MVF33" s="98"/>
      <c r="MVG33" s="98"/>
      <c r="MVH33" s="98"/>
      <c r="MVI33" s="98"/>
      <c r="MVJ33" s="98"/>
      <c r="MVK33" s="98"/>
      <c r="MVL33" s="98"/>
      <c r="MVM33" s="98"/>
      <c r="MVN33" s="98"/>
      <c r="MVO33" s="98"/>
      <c r="MVP33" s="98"/>
      <c r="MVQ33" s="98"/>
      <c r="MVR33" s="98"/>
      <c r="MVS33" s="98"/>
      <c r="MVT33" s="98"/>
      <c r="MVU33" s="98"/>
      <c r="MVV33" s="98"/>
      <c r="MVW33" s="98"/>
      <c r="MVX33" s="98"/>
      <c r="MVY33" s="98"/>
      <c r="MVZ33" s="98"/>
      <c r="MWA33" s="98"/>
      <c r="MWB33" s="98"/>
      <c r="MWC33" s="98"/>
      <c r="MWD33" s="98"/>
      <c r="MWE33" s="98"/>
      <c r="MWF33" s="98"/>
      <c r="MWG33" s="98"/>
      <c r="MWH33" s="98"/>
      <c r="MWI33" s="98"/>
      <c r="MWJ33" s="98"/>
      <c r="MWK33" s="98"/>
      <c r="MWL33" s="98"/>
      <c r="MWM33" s="98"/>
      <c r="MWN33" s="98"/>
      <c r="MWO33" s="98"/>
      <c r="MWP33" s="98"/>
      <c r="MWQ33" s="98"/>
      <c r="MWR33" s="98"/>
      <c r="MWS33" s="98"/>
      <c r="MWT33" s="98"/>
      <c r="MWU33" s="98"/>
      <c r="MWV33" s="98"/>
      <c r="MWW33" s="98"/>
      <c r="MWX33" s="98"/>
      <c r="MWY33" s="98"/>
      <c r="MWZ33" s="98"/>
      <c r="MXA33" s="98"/>
      <c r="MXB33" s="98"/>
      <c r="MXC33" s="98"/>
      <c r="MXD33" s="98"/>
      <c r="MXE33" s="98"/>
      <c r="MXF33" s="98"/>
      <c r="MXG33" s="98"/>
      <c r="MXH33" s="98"/>
      <c r="MXI33" s="98"/>
      <c r="MXJ33" s="98"/>
      <c r="MXK33" s="98"/>
      <c r="MXL33" s="98"/>
      <c r="MXM33" s="98"/>
      <c r="MXN33" s="98"/>
      <c r="MXO33" s="98"/>
      <c r="MXP33" s="98"/>
      <c r="MXQ33" s="98"/>
      <c r="MXR33" s="98"/>
      <c r="MXS33" s="98"/>
      <c r="MXT33" s="98"/>
      <c r="MXU33" s="98"/>
      <c r="MXV33" s="98"/>
      <c r="MXW33" s="98"/>
      <c r="MXX33" s="98"/>
      <c r="MXY33" s="98"/>
      <c r="MXZ33" s="98"/>
      <c r="MYA33" s="98"/>
      <c r="MYB33" s="98"/>
      <c r="MYC33" s="98"/>
      <c r="MYD33" s="98"/>
      <c r="MYE33" s="98"/>
      <c r="MYF33" s="98"/>
      <c r="MYG33" s="98"/>
      <c r="MYH33" s="98"/>
      <c r="MYI33" s="98"/>
      <c r="MYJ33" s="98"/>
      <c r="MYK33" s="98"/>
      <c r="MYL33" s="98"/>
      <c r="MYM33" s="98"/>
      <c r="MYN33" s="98"/>
      <c r="MYO33" s="98"/>
      <c r="MYP33" s="98"/>
      <c r="MYQ33" s="98"/>
      <c r="MYR33" s="98"/>
      <c r="MYS33" s="98"/>
      <c r="MYT33" s="98"/>
      <c r="MYU33" s="98"/>
      <c r="MYV33" s="98"/>
      <c r="MYW33" s="98"/>
      <c r="MYX33" s="98"/>
      <c r="MYY33" s="98"/>
      <c r="MYZ33" s="98"/>
      <c r="MZA33" s="98"/>
      <c r="MZB33" s="98"/>
      <c r="MZC33" s="98"/>
      <c r="MZD33" s="98"/>
      <c r="MZE33" s="98"/>
      <c r="MZF33" s="98"/>
      <c r="MZG33" s="98"/>
      <c r="MZH33" s="98"/>
      <c r="MZI33" s="98"/>
      <c r="MZJ33" s="98"/>
      <c r="MZK33" s="98"/>
      <c r="MZL33" s="98"/>
      <c r="MZM33" s="98"/>
      <c r="MZN33" s="98"/>
      <c r="MZO33" s="98"/>
      <c r="MZP33" s="98"/>
      <c r="MZQ33" s="98"/>
      <c r="MZR33" s="98"/>
      <c r="MZS33" s="98"/>
      <c r="MZT33" s="98"/>
      <c r="MZU33" s="98"/>
      <c r="MZV33" s="98"/>
      <c r="MZW33" s="98"/>
      <c r="MZX33" s="98"/>
      <c r="MZY33" s="98"/>
      <c r="MZZ33" s="98"/>
      <c r="NAA33" s="98"/>
      <c r="NAB33" s="98"/>
      <c r="NAC33" s="98"/>
      <c r="NAD33" s="98"/>
      <c r="NAE33" s="98"/>
      <c r="NAF33" s="98"/>
      <c r="NAG33" s="98"/>
      <c r="NAH33" s="98"/>
      <c r="NAI33" s="98"/>
      <c r="NAJ33" s="98"/>
      <c r="NAK33" s="98"/>
      <c r="NAL33" s="98"/>
      <c r="NAM33" s="98"/>
      <c r="NAN33" s="98"/>
      <c r="NAO33" s="98"/>
      <c r="NAP33" s="98"/>
      <c r="NAQ33" s="98"/>
      <c r="NAR33" s="98"/>
      <c r="NAS33" s="98"/>
      <c r="NAT33" s="98"/>
      <c r="NAU33" s="98"/>
      <c r="NAV33" s="98"/>
      <c r="NAW33" s="98"/>
      <c r="NAX33" s="98"/>
      <c r="NAY33" s="98"/>
      <c r="NAZ33" s="98"/>
      <c r="NBA33" s="98"/>
      <c r="NBB33" s="98"/>
      <c r="NBC33" s="98"/>
      <c r="NBD33" s="98"/>
      <c r="NBE33" s="98"/>
      <c r="NBF33" s="98"/>
      <c r="NBG33" s="98"/>
      <c r="NBH33" s="98"/>
      <c r="NBI33" s="98"/>
      <c r="NBJ33" s="98"/>
      <c r="NBK33" s="98"/>
      <c r="NBL33" s="98"/>
      <c r="NBM33" s="98"/>
      <c r="NBN33" s="98"/>
      <c r="NBO33" s="98"/>
      <c r="NBP33" s="98"/>
      <c r="NBQ33" s="98"/>
      <c r="NBR33" s="98"/>
      <c r="NBS33" s="98"/>
      <c r="NBT33" s="98"/>
      <c r="NBU33" s="98"/>
      <c r="NBV33" s="98"/>
      <c r="NBW33" s="98"/>
      <c r="NBX33" s="98"/>
      <c r="NBY33" s="98"/>
      <c r="NBZ33" s="98"/>
      <c r="NCA33" s="98"/>
      <c r="NCB33" s="98"/>
      <c r="NCC33" s="98"/>
      <c r="NCD33" s="98"/>
      <c r="NCE33" s="98"/>
      <c r="NCF33" s="98"/>
      <c r="NCG33" s="98"/>
      <c r="NCH33" s="98"/>
      <c r="NCI33" s="98"/>
      <c r="NCJ33" s="98"/>
      <c r="NCK33" s="98"/>
      <c r="NCL33" s="98"/>
      <c r="NCM33" s="98"/>
      <c r="NCN33" s="98"/>
      <c r="NCO33" s="98"/>
      <c r="NCP33" s="98"/>
      <c r="NCQ33" s="98"/>
      <c r="NCR33" s="98"/>
      <c r="NCS33" s="98"/>
      <c r="NCT33" s="98"/>
      <c r="NCU33" s="98"/>
      <c r="NCV33" s="98"/>
      <c r="NCW33" s="98"/>
      <c r="NCX33" s="98"/>
      <c r="NCY33" s="98"/>
      <c r="NCZ33" s="98"/>
      <c r="NDA33" s="98"/>
      <c r="NDB33" s="98"/>
      <c r="NDC33" s="98"/>
      <c r="NDD33" s="98"/>
      <c r="NDE33" s="98"/>
      <c r="NDF33" s="98"/>
      <c r="NDG33" s="98"/>
      <c r="NDH33" s="98"/>
      <c r="NDI33" s="98"/>
      <c r="NDJ33" s="98"/>
      <c r="NDK33" s="98"/>
      <c r="NDL33" s="98"/>
      <c r="NDM33" s="98"/>
      <c r="NDN33" s="98"/>
      <c r="NDO33" s="98"/>
      <c r="NDP33" s="98"/>
      <c r="NDQ33" s="98"/>
      <c r="NDR33" s="98"/>
      <c r="NDS33" s="98"/>
      <c r="NDT33" s="98"/>
      <c r="NDU33" s="98"/>
      <c r="NDV33" s="98"/>
      <c r="NDW33" s="98"/>
      <c r="NDX33" s="98"/>
      <c r="NDY33" s="98"/>
      <c r="NDZ33" s="98"/>
      <c r="NEA33" s="98"/>
      <c r="NEB33" s="98"/>
      <c r="NEC33" s="98"/>
      <c r="NED33" s="98"/>
      <c r="NEE33" s="98"/>
      <c r="NEF33" s="98"/>
      <c r="NEG33" s="98"/>
      <c r="NEH33" s="98"/>
      <c r="NEI33" s="98"/>
      <c r="NEJ33" s="98"/>
      <c r="NEK33" s="98"/>
      <c r="NEL33" s="98"/>
      <c r="NEM33" s="98"/>
      <c r="NEN33" s="98"/>
      <c r="NEO33" s="98"/>
      <c r="NEP33" s="98"/>
      <c r="NEQ33" s="98"/>
      <c r="NER33" s="98"/>
      <c r="NES33" s="98"/>
      <c r="NET33" s="98"/>
      <c r="NEU33" s="98"/>
      <c r="NEV33" s="98"/>
      <c r="NEW33" s="98"/>
      <c r="NEX33" s="98"/>
      <c r="NEY33" s="98"/>
      <c r="NEZ33" s="98"/>
      <c r="NFA33" s="98"/>
      <c r="NFB33" s="98"/>
      <c r="NFC33" s="98"/>
      <c r="NFD33" s="98"/>
      <c r="NFE33" s="98"/>
      <c r="NFF33" s="98"/>
      <c r="NFG33" s="98"/>
      <c r="NFH33" s="98"/>
      <c r="NFI33" s="98"/>
      <c r="NFJ33" s="98"/>
      <c r="NFK33" s="98"/>
      <c r="NFL33" s="98"/>
      <c r="NFM33" s="98"/>
      <c r="NFN33" s="98"/>
      <c r="NFO33" s="98"/>
      <c r="NFP33" s="98"/>
      <c r="NFQ33" s="98"/>
      <c r="NFR33" s="98"/>
      <c r="NFS33" s="98"/>
      <c r="NFT33" s="98"/>
      <c r="NFU33" s="98"/>
      <c r="NFV33" s="98"/>
      <c r="NFW33" s="98"/>
      <c r="NFX33" s="98"/>
      <c r="NFY33" s="98"/>
      <c r="NFZ33" s="98"/>
      <c r="NGA33" s="98"/>
      <c r="NGB33" s="98"/>
      <c r="NGC33" s="98"/>
      <c r="NGD33" s="98"/>
      <c r="NGE33" s="98"/>
      <c r="NGF33" s="98"/>
      <c r="NGG33" s="98"/>
      <c r="NGH33" s="98"/>
      <c r="NGI33" s="98"/>
      <c r="NGJ33" s="98"/>
      <c r="NGK33" s="98"/>
      <c r="NGL33" s="98"/>
      <c r="NGM33" s="98"/>
      <c r="NGN33" s="98"/>
      <c r="NGO33" s="98"/>
      <c r="NGP33" s="98"/>
      <c r="NGQ33" s="98"/>
      <c r="NGR33" s="98"/>
      <c r="NGS33" s="98"/>
      <c r="NGT33" s="98"/>
      <c r="NGU33" s="98"/>
      <c r="NGV33" s="98"/>
      <c r="NGW33" s="98"/>
      <c r="NGX33" s="98"/>
      <c r="NGY33" s="98"/>
      <c r="NGZ33" s="98"/>
      <c r="NHA33" s="98"/>
      <c r="NHB33" s="98"/>
      <c r="NHC33" s="98"/>
      <c r="NHD33" s="98"/>
      <c r="NHE33" s="98"/>
      <c r="NHF33" s="98"/>
      <c r="NHG33" s="98"/>
      <c r="NHH33" s="98"/>
      <c r="NHI33" s="98"/>
      <c r="NHJ33" s="98"/>
      <c r="NHK33" s="98"/>
      <c r="NHL33" s="98"/>
      <c r="NHM33" s="98"/>
      <c r="NHN33" s="98"/>
      <c r="NHO33" s="98"/>
      <c r="NHP33" s="98"/>
      <c r="NHQ33" s="98"/>
      <c r="NHR33" s="98"/>
      <c r="NHS33" s="98"/>
      <c r="NHT33" s="98"/>
      <c r="NHU33" s="98"/>
      <c r="NHV33" s="98"/>
      <c r="NHW33" s="98"/>
      <c r="NHX33" s="98"/>
      <c r="NHY33" s="98"/>
      <c r="NHZ33" s="98"/>
      <c r="NIA33" s="98"/>
      <c r="NIB33" s="98"/>
      <c r="NIC33" s="98"/>
      <c r="NID33" s="98"/>
      <c r="NIE33" s="98"/>
      <c r="NIF33" s="98"/>
      <c r="NIG33" s="98"/>
      <c r="NIH33" s="98"/>
      <c r="NII33" s="98"/>
      <c r="NIJ33" s="98"/>
      <c r="NIK33" s="98"/>
      <c r="NIL33" s="98"/>
      <c r="NIM33" s="98"/>
      <c r="NIN33" s="98"/>
      <c r="NIO33" s="98"/>
      <c r="NIP33" s="98"/>
      <c r="NIQ33" s="98"/>
      <c r="NIR33" s="98"/>
      <c r="NIS33" s="98"/>
      <c r="NIT33" s="98"/>
      <c r="NIU33" s="98"/>
      <c r="NIV33" s="98"/>
      <c r="NIW33" s="98"/>
      <c r="NIX33" s="98"/>
      <c r="NIY33" s="98"/>
      <c r="NIZ33" s="98"/>
      <c r="NJA33" s="98"/>
      <c r="NJB33" s="98"/>
      <c r="NJC33" s="98"/>
      <c r="NJD33" s="98"/>
      <c r="NJE33" s="98"/>
      <c r="NJF33" s="98"/>
      <c r="NJG33" s="98"/>
      <c r="NJH33" s="98"/>
      <c r="NJI33" s="98"/>
      <c r="NJJ33" s="98"/>
      <c r="NJK33" s="98"/>
      <c r="NJL33" s="98"/>
      <c r="NJM33" s="98"/>
      <c r="NJN33" s="98"/>
      <c r="NJO33" s="98"/>
      <c r="NJP33" s="98"/>
      <c r="NJQ33" s="98"/>
      <c r="NJR33" s="98"/>
      <c r="NJS33" s="98"/>
      <c r="NJT33" s="98"/>
      <c r="NJU33" s="98"/>
      <c r="NJV33" s="98"/>
      <c r="NJW33" s="98"/>
      <c r="NJX33" s="98"/>
      <c r="NJY33" s="98"/>
      <c r="NJZ33" s="98"/>
      <c r="NKA33" s="98"/>
      <c r="NKB33" s="98"/>
      <c r="NKC33" s="98"/>
      <c r="NKD33" s="98"/>
      <c r="NKE33" s="98"/>
      <c r="NKF33" s="98"/>
      <c r="NKG33" s="98"/>
      <c r="NKH33" s="98"/>
      <c r="NKI33" s="98"/>
      <c r="NKJ33" s="98"/>
      <c r="NKK33" s="98"/>
      <c r="NKL33" s="98"/>
      <c r="NKM33" s="98"/>
      <c r="NKN33" s="98"/>
      <c r="NKO33" s="98"/>
      <c r="NKP33" s="98"/>
      <c r="NKQ33" s="98"/>
      <c r="NKR33" s="98"/>
      <c r="NKS33" s="98"/>
      <c r="NKT33" s="98"/>
      <c r="NKU33" s="98"/>
      <c r="NKV33" s="98"/>
      <c r="NKW33" s="98"/>
      <c r="NKX33" s="98"/>
      <c r="NKY33" s="98"/>
      <c r="NKZ33" s="98"/>
      <c r="NLA33" s="98"/>
      <c r="NLB33" s="98"/>
      <c r="NLC33" s="98"/>
      <c r="NLD33" s="98"/>
      <c r="NLE33" s="98"/>
      <c r="NLF33" s="98"/>
      <c r="NLG33" s="98"/>
      <c r="NLH33" s="98"/>
      <c r="NLI33" s="98"/>
      <c r="NLJ33" s="98"/>
      <c r="NLK33" s="98"/>
      <c r="NLL33" s="98"/>
      <c r="NLM33" s="98"/>
      <c r="NLN33" s="98"/>
      <c r="NLO33" s="98"/>
      <c r="NLP33" s="98"/>
      <c r="NLQ33" s="98"/>
      <c r="NLR33" s="98"/>
      <c r="NLS33" s="98"/>
      <c r="NLT33" s="98"/>
      <c r="NLU33" s="98"/>
      <c r="NLV33" s="98"/>
      <c r="NLW33" s="98"/>
      <c r="NLX33" s="98"/>
      <c r="NLY33" s="98"/>
      <c r="NLZ33" s="98"/>
      <c r="NMA33" s="98"/>
      <c r="NMB33" s="98"/>
      <c r="NMC33" s="98"/>
      <c r="NMD33" s="98"/>
      <c r="NME33" s="98"/>
      <c r="NMF33" s="98"/>
      <c r="NMG33" s="98"/>
      <c r="NMH33" s="98"/>
      <c r="NMI33" s="98"/>
      <c r="NMJ33" s="98"/>
      <c r="NMK33" s="98"/>
      <c r="NML33" s="98"/>
      <c r="NMM33" s="98"/>
      <c r="NMN33" s="98"/>
      <c r="NMO33" s="98"/>
      <c r="NMP33" s="98"/>
      <c r="NMQ33" s="98"/>
      <c r="NMR33" s="98"/>
      <c r="NMS33" s="98"/>
      <c r="NMT33" s="98"/>
      <c r="NMU33" s="98"/>
      <c r="NMV33" s="98"/>
      <c r="NMW33" s="98"/>
      <c r="NMX33" s="98"/>
      <c r="NMY33" s="98"/>
      <c r="NMZ33" s="98"/>
      <c r="NNA33" s="98"/>
      <c r="NNB33" s="98"/>
      <c r="NNC33" s="98"/>
      <c r="NND33" s="98"/>
      <c r="NNE33" s="98"/>
      <c r="NNF33" s="98"/>
      <c r="NNG33" s="98"/>
      <c r="NNH33" s="98"/>
      <c r="NNI33" s="98"/>
      <c r="NNJ33" s="98"/>
      <c r="NNK33" s="98"/>
      <c r="NNL33" s="98"/>
      <c r="NNM33" s="98"/>
      <c r="NNN33" s="98"/>
      <c r="NNO33" s="98"/>
      <c r="NNP33" s="98"/>
      <c r="NNQ33" s="98"/>
      <c r="NNR33" s="98"/>
      <c r="NNS33" s="98"/>
      <c r="NNT33" s="98"/>
      <c r="NNU33" s="98"/>
      <c r="NNV33" s="98"/>
      <c r="NNW33" s="98"/>
      <c r="NNX33" s="98"/>
      <c r="NNY33" s="98"/>
      <c r="NNZ33" s="98"/>
      <c r="NOA33" s="98"/>
      <c r="NOB33" s="98"/>
      <c r="NOC33" s="98"/>
      <c r="NOD33" s="98"/>
      <c r="NOE33" s="98"/>
      <c r="NOF33" s="98"/>
      <c r="NOG33" s="98"/>
      <c r="NOH33" s="98"/>
      <c r="NOI33" s="98"/>
      <c r="NOJ33" s="98"/>
      <c r="NOK33" s="98"/>
      <c r="NOL33" s="98"/>
      <c r="NOM33" s="98"/>
      <c r="NON33" s="98"/>
      <c r="NOO33" s="98"/>
      <c r="NOP33" s="98"/>
      <c r="NOQ33" s="98"/>
      <c r="NOR33" s="98"/>
      <c r="NOS33" s="98"/>
      <c r="NOT33" s="98"/>
      <c r="NOU33" s="98"/>
      <c r="NOV33" s="98"/>
      <c r="NOW33" s="98"/>
      <c r="NOX33" s="98"/>
      <c r="NOY33" s="98"/>
      <c r="NOZ33" s="98"/>
      <c r="NPA33" s="98"/>
      <c r="NPB33" s="98"/>
      <c r="NPC33" s="98"/>
      <c r="NPD33" s="98"/>
      <c r="NPE33" s="98"/>
      <c r="NPF33" s="98"/>
      <c r="NPG33" s="98"/>
      <c r="NPH33" s="98"/>
      <c r="NPI33" s="98"/>
      <c r="NPJ33" s="98"/>
      <c r="NPK33" s="98"/>
      <c r="NPL33" s="98"/>
      <c r="NPM33" s="98"/>
      <c r="NPN33" s="98"/>
      <c r="NPO33" s="98"/>
      <c r="NPP33" s="98"/>
      <c r="NPQ33" s="98"/>
      <c r="NPR33" s="98"/>
      <c r="NPS33" s="98"/>
      <c r="NPT33" s="98"/>
      <c r="NPU33" s="98"/>
      <c r="NPV33" s="98"/>
      <c r="NPW33" s="98"/>
      <c r="NPX33" s="98"/>
      <c r="NPY33" s="98"/>
      <c r="NPZ33" s="98"/>
      <c r="NQA33" s="98"/>
      <c r="NQB33" s="98"/>
      <c r="NQC33" s="98"/>
      <c r="NQD33" s="98"/>
      <c r="NQE33" s="98"/>
      <c r="NQF33" s="98"/>
      <c r="NQG33" s="98"/>
      <c r="NQH33" s="98"/>
      <c r="NQI33" s="98"/>
      <c r="NQJ33" s="98"/>
      <c r="NQK33" s="98"/>
      <c r="NQL33" s="98"/>
      <c r="NQM33" s="98"/>
      <c r="NQN33" s="98"/>
      <c r="NQO33" s="98"/>
      <c r="NQP33" s="98"/>
      <c r="NQQ33" s="98"/>
      <c r="NQR33" s="98"/>
      <c r="NQS33" s="98"/>
      <c r="NQT33" s="98"/>
      <c r="NQU33" s="98"/>
      <c r="NQV33" s="98"/>
      <c r="NQW33" s="98"/>
      <c r="NQX33" s="98"/>
      <c r="NQY33" s="98"/>
      <c r="NQZ33" s="98"/>
      <c r="NRA33" s="98"/>
      <c r="NRB33" s="98"/>
      <c r="NRC33" s="98"/>
      <c r="NRD33" s="98"/>
      <c r="NRE33" s="98"/>
      <c r="NRF33" s="98"/>
      <c r="NRG33" s="98"/>
      <c r="NRH33" s="98"/>
      <c r="NRI33" s="98"/>
      <c r="NRJ33" s="98"/>
      <c r="NRK33" s="98"/>
      <c r="NRL33" s="98"/>
      <c r="NRM33" s="98"/>
      <c r="NRN33" s="98"/>
      <c r="NRO33" s="98"/>
      <c r="NRP33" s="98"/>
      <c r="NRQ33" s="98"/>
      <c r="NRR33" s="98"/>
      <c r="NRS33" s="98"/>
      <c r="NRT33" s="98"/>
      <c r="NRU33" s="98"/>
      <c r="NRV33" s="98"/>
      <c r="NRW33" s="98"/>
      <c r="NRX33" s="98"/>
      <c r="NRY33" s="98"/>
      <c r="NRZ33" s="98"/>
      <c r="NSA33" s="98"/>
      <c r="NSB33" s="98"/>
      <c r="NSC33" s="98"/>
      <c r="NSD33" s="98"/>
      <c r="NSE33" s="98"/>
      <c r="NSF33" s="98"/>
      <c r="NSG33" s="98"/>
      <c r="NSH33" s="98"/>
      <c r="NSI33" s="98"/>
      <c r="NSJ33" s="98"/>
      <c r="NSK33" s="98"/>
      <c r="NSL33" s="98"/>
      <c r="NSM33" s="98"/>
      <c r="NSN33" s="98"/>
      <c r="NSO33" s="98"/>
      <c r="NSP33" s="98"/>
      <c r="NSQ33" s="98"/>
      <c r="NSR33" s="98"/>
      <c r="NSS33" s="98"/>
      <c r="NST33" s="98"/>
      <c r="NSU33" s="98"/>
      <c r="NSV33" s="98"/>
      <c r="NSW33" s="98"/>
      <c r="NSX33" s="98"/>
      <c r="NSY33" s="98"/>
      <c r="NSZ33" s="98"/>
      <c r="NTA33" s="98"/>
      <c r="NTB33" s="98"/>
      <c r="NTC33" s="98"/>
      <c r="NTD33" s="98"/>
      <c r="NTE33" s="98"/>
      <c r="NTF33" s="98"/>
      <c r="NTG33" s="98"/>
      <c r="NTH33" s="98"/>
      <c r="NTI33" s="98"/>
      <c r="NTJ33" s="98"/>
      <c r="NTK33" s="98"/>
      <c r="NTL33" s="98"/>
      <c r="NTM33" s="98"/>
      <c r="NTN33" s="98"/>
      <c r="NTO33" s="98"/>
      <c r="NTP33" s="98"/>
      <c r="NTQ33" s="98"/>
      <c r="NTR33" s="98"/>
      <c r="NTS33" s="98"/>
      <c r="NTT33" s="98"/>
      <c r="NTU33" s="98"/>
      <c r="NTV33" s="98"/>
      <c r="NTW33" s="98"/>
      <c r="NTX33" s="98"/>
      <c r="NTY33" s="98"/>
      <c r="NTZ33" s="98"/>
      <c r="NUA33" s="98"/>
      <c r="NUB33" s="98"/>
      <c r="NUC33" s="98"/>
      <c r="NUD33" s="98"/>
      <c r="NUE33" s="98"/>
      <c r="NUF33" s="98"/>
      <c r="NUG33" s="98"/>
      <c r="NUH33" s="98"/>
      <c r="NUI33" s="98"/>
      <c r="NUJ33" s="98"/>
      <c r="NUK33" s="98"/>
      <c r="NUL33" s="98"/>
      <c r="NUM33" s="98"/>
      <c r="NUN33" s="98"/>
      <c r="NUO33" s="98"/>
      <c r="NUP33" s="98"/>
      <c r="NUQ33" s="98"/>
      <c r="NUR33" s="98"/>
      <c r="NUS33" s="98"/>
      <c r="NUT33" s="98"/>
      <c r="NUU33" s="98"/>
      <c r="NUV33" s="98"/>
      <c r="NUW33" s="98"/>
      <c r="NUX33" s="98"/>
      <c r="NUY33" s="98"/>
      <c r="NUZ33" s="98"/>
      <c r="NVA33" s="98"/>
      <c r="NVB33" s="98"/>
      <c r="NVC33" s="98"/>
      <c r="NVD33" s="98"/>
      <c r="NVE33" s="98"/>
      <c r="NVF33" s="98"/>
      <c r="NVG33" s="98"/>
      <c r="NVH33" s="98"/>
      <c r="NVI33" s="98"/>
      <c r="NVJ33" s="98"/>
      <c r="NVK33" s="98"/>
      <c r="NVL33" s="98"/>
      <c r="NVM33" s="98"/>
      <c r="NVN33" s="98"/>
      <c r="NVO33" s="98"/>
      <c r="NVP33" s="98"/>
      <c r="NVQ33" s="98"/>
      <c r="NVR33" s="98"/>
      <c r="NVS33" s="98"/>
      <c r="NVT33" s="98"/>
      <c r="NVU33" s="98"/>
      <c r="NVV33" s="98"/>
      <c r="NVW33" s="98"/>
      <c r="NVX33" s="98"/>
      <c r="NVY33" s="98"/>
      <c r="NVZ33" s="98"/>
      <c r="NWA33" s="98"/>
      <c r="NWB33" s="98"/>
      <c r="NWC33" s="98"/>
      <c r="NWD33" s="98"/>
      <c r="NWE33" s="98"/>
      <c r="NWF33" s="98"/>
      <c r="NWG33" s="98"/>
      <c r="NWH33" s="98"/>
      <c r="NWI33" s="98"/>
      <c r="NWJ33" s="98"/>
      <c r="NWK33" s="98"/>
      <c r="NWL33" s="98"/>
      <c r="NWM33" s="98"/>
      <c r="NWN33" s="98"/>
      <c r="NWO33" s="98"/>
      <c r="NWP33" s="98"/>
      <c r="NWQ33" s="98"/>
      <c r="NWR33" s="98"/>
      <c r="NWS33" s="98"/>
      <c r="NWT33" s="98"/>
      <c r="NWU33" s="98"/>
      <c r="NWV33" s="98"/>
      <c r="NWW33" s="98"/>
      <c r="NWX33" s="98"/>
      <c r="NWY33" s="98"/>
      <c r="NWZ33" s="98"/>
      <c r="NXA33" s="98"/>
      <c r="NXB33" s="98"/>
      <c r="NXC33" s="98"/>
      <c r="NXD33" s="98"/>
      <c r="NXE33" s="98"/>
      <c r="NXF33" s="98"/>
      <c r="NXG33" s="98"/>
      <c r="NXH33" s="98"/>
      <c r="NXI33" s="98"/>
      <c r="NXJ33" s="98"/>
      <c r="NXK33" s="98"/>
      <c r="NXL33" s="98"/>
      <c r="NXM33" s="98"/>
      <c r="NXN33" s="98"/>
      <c r="NXO33" s="98"/>
      <c r="NXP33" s="98"/>
      <c r="NXQ33" s="98"/>
      <c r="NXR33" s="98"/>
      <c r="NXS33" s="98"/>
      <c r="NXT33" s="98"/>
      <c r="NXU33" s="98"/>
      <c r="NXV33" s="98"/>
      <c r="NXW33" s="98"/>
      <c r="NXX33" s="98"/>
      <c r="NXY33" s="98"/>
      <c r="NXZ33" s="98"/>
      <c r="NYA33" s="98"/>
      <c r="NYB33" s="98"/>
      <c r="NYC33" s="98"/>
      <c r="NYD33" s="98"/>
      <c r="NYE33" s="98"/>
      <c r="NYF33" s="98"/>
      <c r="NYG33" s="98"/>
      <c r="NYH33" s="98"/>
      <c r="NYI33" s="98"/>
      <c r="NYJ33" s="98"/>
      <c r="NYK33" s="98"/>
      <c r="NYL33" s="98"/>
      <c r="NYM33" s="98"/>
      <c r="NYN33" s="98"/>
      <c r="NYO33" s="98"/>
      <c r="NYP33" s="98"/>
      <c r="NYQ33" s="98"/>
      <c r="NYR33" s="98"/>
      <c r="NYS33" s="98"/>
      <c r="NYT33" s="98"/>
      <c r="NYU33" s="98"/>
      <c r="NYV33" s="98"/>
      <c r="NYW33" s="98"/>
      <c r="NYX33" s="98"/>
      <c r="NYY33" s="98"/>
      <c r="NYZ33" s="98"/>
      <c r="NZA33" s="98"/>
      <c r="NZB33" s="98"/>
      <c r="NZC33" s="98"/>
      <c r="NZD33" s="98"/>
      <c r="NZE33" s="98"/>
      <c r="NZF33" s="98"/>
      <c r="NZG33" s="98"/>
      <c r="NZH33" s="98"/>
      <c r="NZI33" s="98"/>
      <c r="NZJ33" s="98"/>
      <c r="NZK33" s="98"/>
      <c r="NZL33" s="98"/>
      <c r="NZM33" s="98"/>
      <c r="NZN33" s="98"/>
      <c r="NZO33" s="98"/>
      <c r="NZP33" s="98"/>
      <c r="NZQ33" s="98"/>
      <c r="NZR33" s="98"/>
      <c r="NZS33" s="98"/>
      <c r="NZT33" s="98"/>
      <c r="NZU33" s="98"/>
      <c r="NZV33" s="98"/>
      <c r="NZW33" s="98"/>
      <c r="NZX33" s="98"/>
      <c r="NZY33" s="98"/>
      <c r="NZZ33" s="98"/>
      <c r="OAA33" s="98"/>
      <c r="OAB33" s="98"/>
      <c r="OAC33" s="98"/>
      <c r="OAD33" s="98"/>
      <c r="OAE33" s="98"/>
      <c r="OAF33" s="98"/>
      <c r="OAG33" s="98"/>
      <c r="OAH33" s="98"/>
      <c r="OAI33" s="98"/>
      <c r="OAJ33" s="98"/>
      <c r="OAK33" s="98"/>
      <c r="OAL33" s="98"/>
      <c r="OAM33" s="98"/>
      <c r="OAN33" s="98"/>
      <c r="OAO33" s="98"/>
      <c r="OAP33" s="98"/>
      <c r="OAQ33" s="98"/>
      <c r="OAR33" s="98"/>
      <c r="OAS33" s="98"/>
      <c r="OAT33" s="98"/>
      <c r="OAU33" s="98"/>
      <c r="OAV33" s="98"/>
      <c r="OAW33" s="98"/>
      <c r="OAX33" s="98"/>
      <c r="OAY33" s="98"/>
      <c r="OAZ33" s="98"/>
      <c r="OBA33" s="98"/>
      <c r="OBB33" s="98"/>
      <c r="OBC33" s="98"/>
      <c r="OBD33" s="98"/>
      <c r="OBE33" s="98"/>
      <c r="OBF33" s="98"/>
      <c r="OBG33" s="98"/>
      <c r="OBH33" s="98"/>
      <c r="OBI33" s="98"/>
      <c r="OBJ33" s="98"/>
      <c r="OBK33" s="98"/>
      <c r="OBL33" s="98"/>
      <c r="OBM33" s="98"/>
      <c r="OBN33" s="98"/>
      <c r="OBO33" s="98"/>
      <c r="OBP33" s="98"/>
      <c r="OBQ33" s="98"/>
      <c r="OBR33" s="98"/>
      <c r="OBS33" s="98"/>
      <c r="OBT33" s="98"/>
      <c r="OBU33" s="98"/>
      <c r="OBV33" s="98"/>
      <c r="OBW33" s="98"/>
      <c r="OBX33" s="98"/>
      <c r="OBY33" s="98"/>
      <c r="OBZ33" s="98"/>
      <c r="OCA33" s="98"/>
      <c r="OCB33" s="98"/>
      <c r="OCC33" s="98"/>
      <c r="OCD33" s="98"/>
      <c r="OCE33" s="98"/>
      <c r="OCF33" s="98"/>
      <c r="OCG33" s="98"/>
      <c r="OCH33" s="98"/>
      <c r="OCI33" s="98"/>
      <c r="OCJ33" s="98"/>
      <c r="OCK33" s="98"/>
      <c r="OCL33" s="98"/>
      <c r="OCM33" s="98"/>
      <c r="OCN33" s="98"/>
      <c r="OCO33" s="98"/>
      <c r="OCP33" s="98"/>
      <c r="OCQ33" s="98"/>
      <c r="OCR33" s="98"/>
      <c r="OCS33" s="98"/>
      <c r="OCT33" s="98"/>
      <c r="OCU33" s="98"/>
      <c r="OCV33" s="98"/>
      <c r="OCW33" s="98"/>
      <c r="OCX33" s="98"/>
      <c r="OCY33" s="98"/>
      <c r="OCZ33" s="98"/>
      <c r="ODA33" s="98"/>
      <c r="ODB33" s="98"/>
      <c r="ODC33" s="98"/>
      <c r="ODD33" s="98"/>
      <c r="ODE33" s="98"/>
      <c r="ODF33" s="98"/>
      <c r="ODG33" s="98"/>
      <c r="ODH33" s="98"/>
      <c r="ODI33" s="98"/>
      <c r="ODJ33" s="98"/>
      <c r="ODK33" s="98"/>
      <c r="ODL33" s="98"/>
      <c r="ODM33" s="98"/>
      <c r="ODN33" s="98"/>
      <c r="ODO33" s="98"/>
      <c r="ODP33" s="98"/>
      <c r="ODQ33" s="98"/>
      <c r="ODR33" s="98"/>
      <c r="ODS33" s="98"/>
      <c r="ODT33" s="98"/>
      <c r="ODU33" s="98"/>
      <c r="ODV33" s="98"/>
      <c r="ODW33" s="98"/>
      <c r="ODX33" s="98"/>
      <c r="ODY33" s="98"/>
      <c r="ODZ33" s="98"/>
      <c r="OEA33" s="98"/>
      <c r="OEB33" s="98"/>
      <c r="OEC33" s="98"/>
      <c r="OED33" s="98"/>
      <c r="OEE33" s="98"/>
      <c r="OEF33" s="98"/>
      <c r="OEG33" s="98"/>
      <c r="OEH33" s="98"/>
      <c r="OEI33" s="98"/>
      <c r="OEJ33" s="98"/>
      <c r="OEK33" s="98"/>
      <c r="OEL33" s="98"/>
      <c r="OEM33" s="98"/>
      <c r="OEN33" s="98"/>
      <c r="OEO33" s="98"/>
      <c r="OEP33" s="98"/>
      <c r="OEQ33" s="98"/>
      <c r="OER33" s="98"/>
      <c r="OES33" s="98"/>
      <c r="OET33" s="98"/>
      <c r="OEU33" s="98"/>
      <c r="OEV33" s="98"/>
      <c r="OEW33" s="98"/>
      <c r="OEX33" s="98"/>
      <c r="OEY33" s="98"/>
      <c r="OEZ33" s="98"/>
      <c r="OFA33" s="98"/>
      <c r="OFB33" s="98"/>
      <c r="OFC33" s="98"/>
      <c r="OFD33" s="98"/>
      <c r="OFE33" s="98"/>
      <c r="OFF33" s="98"/>
      <c r="OFG33" s="98"/>
      <c r="OFH33" s="98"/>
      <c r="OFI33" s="98"/>
      <c r="OFJ33" s="98"/>
      <c r="OFK33" s="98"/>
      <c r="OFL33" s="98"/>
      <c r="OFM33" s="98"/>
      <c r="OFN33" s="98"/>
      <c r="OFO33" s="98"/>
      <c r="OFP33" s="98"/>
      <c r="OFQ33" s="98"/>
      <c r="OFR33" s="98"/>
      <c r="OFS33" s="98"/>
      <c r="OFT33" s="98"/>
      <c r="OFU33" s="98"/>
      <c r="OFV33" s="98"/>
      <c r="OFW33" s="98"/>
      <c r="OFX33" s="98"/>
      <c r="OFY33" s="98"/>
      <c r="OFZ33" s="98"/>
      <c r="OGA33" s="98"/>
      <c r="OGB33" s="98"/>
      <c r="OGC33" s="98"/>
      <c r="OGD33" s="98"/>
      <c r="OGE33" s="98"/>
      <c r="OGF33" s="98"/>
      <c r="OGG33" s="98"/>
      <c r="OGH33" s="98"/>
      <c r="OGI33" s="98"/>
      <c r="OGJ33" s="98"/>
      <c r="OGK33" s="98"/>
      <c r="OGL33" s="98"/>
      <c r="OGM33" s="98"/>
      <c r="OGN33" s="98"/>
      <c r="OGO33" s="98"/>
      <c r="OGP33" s="98"/>
      <c r="OGQ33" s="98"/>
      <c r="OGR33" s="98"/>
      <c r="OGS33" s="98"/>
      <c r="OGT33" s="98"/>
      <c r="OGU33" s="98"/>
      <c r="OGV33" s="98"/>
      <c r="OGW33" s="98"/>
      <c r="OGX33" s="98"/>
      <c r="OGY33" s="98"/>
      <c r="OGZ33" s="98"/>
      <c r="OHA33" s="98"/>
      <c r="OHB33" s="98"/>
      <c r="OHC33" s="98"/>
      <c r="OHD33" s="98"/>
      <c r="OHE33" s="98"/>
      <c r="OHF33" s="98"/>
      <c r="OHG33" s="98"/>
      <c r="OHH33" s="98"/>
      <c r="OHI33" s="98"/>
      <c r="OHJ33" s="98"/>
      <c r="OHK33" s="98"/>
      <c r="OHL33" s="98"/>
      <c r="OHM33" s="98"/>
      <c r="OHN33" s="98"/>
      <c r="OHO33" s="98"/>
      <c r="OHP33" s="98"/>
      <c r="OHQ33" s="98"/>
      <c r="OHR33" s="98"/>
      <c r="OHS33" s="98"/>
      <c r="OHT33" s="98"/>
      <c r="OHU33" s="98"/>
      <c r="OHV33" s="98"/>
      <c r="OHW33" s="98"/>
      <c r="OHX33" s="98"/>
      <c r="OHY33" s="98"/>
      <c r="OHZ33" s="98"/>
      <c r="OIA33" s="98"/>
      <c r="OIB33" s="98"/>
      <c r="OIC33" s="98"/>
      <c r="OID33" s="98"/>
      <c r="OIE33" s="98"/>
      <c r="OIF33" s="98"/>
      <c r="OIG33" s="98"/>
      <c r="OIH33" s="98"/>
      <c r="OII33" s="98"/>
      <c r="OIJ33" s="98"/>
      <c r="OIK33" s="98"/>
      <c r="OIL33" s="98"/>
      <c r="OIM33" s="98"/>
      <c r="OIN33" s="98"/>
      <c r="OIO33" s="98"/>
      <c r="OIP33" s="98"/>
      <c r="OIQ33" s="98"/>
      <c r="OIR33" s="98"/>
      <c r="OIS33" s="98"/>
      <c r="OIT33" s="98"/>
      <c r="OIU33" s="98"/>
      <c r="OIV33" s="98"/>
      <c r="OIW33" s="98"/>
      <c r="OIX33" s="98"/>
      <c r="OIY33" s="98"/>
      <c r="OIZ33" s="98"/>
      <c r="OJA33" s="98"/>
      <c r="OJB33" s="98"/>
      <c r="OJC33" s="98"/>
      <c r="OJD33" s="98"/>
      <c r="OJE33" s="98"/>
      <c r="OJF33" s="98"/>
      <c r="OJG33" s="98"/>
      <c r="OJH33" s="98"/>
      <c r="OJI33" s="98"/>
      <c r="OJJ33" s="98"/>
      <c r="OJK33" s="98"/>
      <c r="OJL33" s="98"/>
      <c r="OJM33" s="98"/>
      <c r="OJN33" s="98"/>
      <c r="OJO33" s="98"/>
      <c r="OJP33" s="98"/>
      <c r="OJQ33" s="98"/>
      <c r="OJR33" s="98"/>
      <c r="OJS33" s="98"/>
      <c r="OJT33" s="98"/>
      <c r="OJU33" s="98"/>
      <c r="OJV33" s="98"/>
      <c r="OJW33" s="98"/>
      <c r="OJX33" s="98"/>
      <c r="OJY33" s="98"/>
      <c r="OJZ33" s="98"/>
      <c r="OKA33" s="98"/>
      <c r="OKB33" s="98"/>
      <c r="OKC33" s="98"/>
      <c r="OKD33" s="98"/>
      <c r="OKE33" s="98"/>
      <c r="OKF33" s="98"/>
      <c r="OKG33" s="98"/>
      <c r="OKH33" s="98"/>
      <c r="OKI33" s="98"/>
      <c r="OKJ33" s="98"/>
      <c r="OKK33" s="98"/>
      <c r="OKL33" s="98"/>
      <c r="OKM33" s="98"/>
      <c r="OKN33" s="98"/>
      <c r="OKO33" s="98"/>
      <c r="OKP33" s="98"/>
      <c r="OKQ33" s="98"/>
      <c r="OKR33" s="98"/>
      <c r="OKS33" s="98"/>
      <c r="OKT33" s="98"/>
      <c r="OKU33" s="98"/>
      <c r="OKV33" s="98"/>
      <c r="OKW33" s="98"/>
      <c r="OKX33" s="98"/>
      <c r="OKY33" s="98"/>
      <c r="OKZ33" s="98"/>
      <c r="OLA33" s="98"/>
      <c r="OLB33" s="98"/>
      <c r="OLC33" s="98"/>
      <c r="OLD33" s="98"/>
      <c r="OLE33" s="98"/>
      <c r="OLF33" s="98"/>
      <c r="OLG33" s="98"/>
      <c r="OLH33" s="98"/>
      <c r="OLI33" s="98"/>
      <c r="OLJ33" s="98"/>
      <c r="OLK33" s="98"/>
      <c r="OLL33" s="98"/>
      <c r="OLM33" s="98"/>
      <c r="OLN33" s="98"/>
      <c r="OLO33" s="98"/>
      <c r="OLP33" s="98"/>
      <c r="OLQ33" s="98"/>
      <c r="OLR33" s="98"/>
      <c r="OLS33" s="98"/>
      <c r="OLT33" s="98"/>
      <c r="OLU33" s="98"/>
      <c r="OLV33" s="98"/>
      <c r="OLW33" s="98"/>
      <c r="OLX33" s="98"/>
      <c r="OLY33" s="98"/>
      <c r="OLZ33" s="98"/>
      <c r="OMA33" s="98"/>
      <c r="OMB33" s="98"/>
      <c r="OMC33" s="98"/>
      <c r="OMD33" s="98"/>
      <c r="OME33" s="98"/>
      <c r="OMF33" s="98"/>
      <c r="OMG33" s="98"/>
      <c r="OMH33" s="98"/>
      <c r="OMI33" s="98"/>
      <c r="OMJ33" s="98"/>
      <c r="OMK33" s="98"/>
      <c r="OML33" s="98"/>
      <c r="OMM33" s="98"/>
      <c r="OMN33" s="98"/>
      <c r="OMO33" s="98"/>
      <c r="OMP33" s="98"/>
      <c r="OMQ33" s="98"/>
      <c r="OMR33" s="98"/>
      <c r="OMS33" s="98"/>
      <c r="OMT33" s="98"/>
      <c r="OMU33" s="98"/>
      <c r="OMV33" s="98"/>
      <c r="OMW33" s="98"/>
      <c r="OMX33" s="98"/>
      <c r="OMY33" s="98"/>
      <c r="OMZ33" s="98"/>
      <c r="ONA33" s="98"/>
      <c r="ONB33" s="98"/>
      <c r="ONC33" s="98"/>
      <c r="OND33" s="98"/>
      <c r="ONE33" s="98"/>
      <c r="ONF33" s="98"/>
      <c r="ONG33" s="98"/>
      <c r="ONH33" s="98"/>
      <c r="ONI33" s="98"/>
      <c r="ONJ33" s="98"/>
      <c r="ONK33" s="98"/>
      <c r="ONL33" s="98"/>
      <c r="ONM33" s="98"/>
      <c r="ONN33" s="98"/>
      <c r="ONO33" s="98"/>
      <c r="ONP33" s="98"/>
      <c r="ONQ33" s="98"/>
      <c r="ONR33" s="98"/>
      <c r="ONS33" s="98"/>
      <c r="ONT33" s="98"/>
      <c r="ONU33" s="98"/>
      <c r="ONV33" s="98"/>
      <c r="ONW33" s="98"/>
      <c r="ONX33" s="98"/>
      <c r="ONY33" s="98"/>
      <c r="ONZ33" s="98"/>
      <c r="OOA33" s="98"/>
      <c r="OOB33" s="98"/>
      <c r="OOC33" s="98"/>
      <c r="OOD33" s="98"/>
      <c r="OOE33" s="98"/>
      <c r="OOF33" s="98"/>
      <c r="OOG33" s="98"/>
      <c r="OOH33" s="98"/>
      <c r="OOI33" s="98"/>
      <c r="OOJ33" s="98"/>
      <c r="OOK33" s="98"/>
      <c r="OOL33" s="98"/>
      <c r="OOM33" s="98"/>
      <c r="OON33" s="98"/>
      <c r="OOO33" s="98"/>
      <c r="OOP33" s="98"/>
      <c r="OOQ33" s="98"/>
      <c r="OOR33" s="98"/>
      <c r="OOS33" s="98"/>
      <c r="OOT33" s="98"/>
      <c r="OOU33" s="98"/>
      <c r="OOV33" s="98"/>
      <c r="OOW33" s="98"/>
      <c r="OOX33" s="98"/>
      <c r="OOY33" s="98"/>
      <c r="OOZ33" s="98"/>
      <c r="OPA33" s="98"/>
      <c r="OPB33" s="98"/>
      <c r="OPC33" s="98"/>
      <c r="OPD33" s="98"/>
      <c r="OPE33" s="98"/>
      <c r="OPF33" s="98"/>
      <c r="OPG33" s="98"/>
      <c r="OPH33" s="98"/>
      <c r="OPI33" s="98"/>
      <c r="OPJ33" s="98"/>
      <c r="OPK33" s="98"/>
      <c r="OPL33" s="98"/>
      <c r="OPM33" s="98"/>
      <c r="OPN33" s="98"/>
      <c r="OPO33" s="98"/>
      <c r="OPP33" s="98"/>
      <c r="OPQ33" s="98"/>
      <c r="OPR33" s="98"/>
      <c r="OPS33" s="98"/>
      <c r="OPT33" s="98"/>
      <c r="OPU33" s="98"/>
      <c r="OPV33" s="98"/>
      <c r="OPW33" s="98"/>
      <c r="OPX33" s="98"/>
      <c r="OPY33" s="98"/>
      <c r="OPZ33" s="98"/>
      <c r="OQA33" s="98"/>
      <c r="OQB33" s="98"/>
      <c r="OQC33" s="98"/>
      <c r="OQD33" s="98"/>
      <c r="OQE33" s="98"/>
      <c r="OQF33" s="98"/>
      <c r="OQG33" s="98"/>
      <c r="OQH33" s="98"/>
      <c r="OQI33" s="98"/>
      <c r="OQJ33" s="98"/>
      <c r="OQK33" s="98"/>
      <c r="OQL33" s="98"/>
      <c r="OQM33" s="98"/>
      <c r="OQN33" s="98"/>
      <c r="OQO33" s="98"/>
      <c r="OQP33" s="98"/>
      <c r="OQQ33" s="98"/>
      <c r="OQR33" s="98"/>
      <c r="OQS33" s="98"/>
      <c r="OQT33" s="98"/>
      <c r="OQU33" s="98"/>
      <c r="OQV33" s="98"/>
      <c r="OQW33" s="98"/>
      <c r="OQX33" s="98"/>
      <c r="OQY33" s="98"/>
      <c r="OQZ33" s="98"/>
      <c r="ORA33" s="98"/>
      <c r="ORB33" s="98"/>
      <c r="ORC33" s="98"/>
      <c r="ORD33" s="98"/>
      <c r="ORE33" s="98"/>
      <c r="ORF33" s="98"/>
      <c r="ORG33" s="98"/>
      <c r="ORH33" s="98"/>
      <c r="ORI33" s="98"/>
      <c r="ORJ33" s="98"/>
      <c r="ORK33" s="98"/>
      <c r="ORL33" s="98"/>
      <c r="ORM33" s="98"/>
      <c r="ORN33" s="98"/>
      <c r="ORO33" s="98"/>
      <c r="ORP33" s="98"/>
      <c r="ORQ33" s="98"/>
      <c r="ORR33" s="98"/>
      <c r="ORS33" s="98"/>
      <c r="ORT33" s="98"/>
      <c r="ORU33" s="98"/>
      <c r="ORV33" s="98"/>
      <c r="ORW33" s="98"/>
      <c r="ORX33" s="98"/>
      <c r="ORY33" s="98"/>
      <c r="ORZ33" s="98"/>
      <c r="OSA33" s="98"/>
      <c r="OSB33" s="98"/>
      <c r="OSC33" s="98"/>
      <c r="OSD33" s="98"/>
      <c r="OSE33" s="98"/>
      <c r="OSF33" s="98"/>
      <c r="OSG33" s="98"/>
      <c r="OSH33" s="98"/>
      <c r="OSI33" s="98"/>
      <c r="OSJ33" s="98"/>
      <c r="OSK33" s="98"/>
      <c r="OSL33" s="98"/>
      <c r="OSM33" s="98"/>
      <c r="OSN33" s="98"/>
      <c r="OSO33" s="98"/>
      <c r="OSP33" s="98"/>
      <c r="OSQ33" s="98"/>
      <c r="OSR33" s="98"/>
      <c r="OSS33" s="98"/>
      <c r="OST33" s="98"/>
      <c r="OSU33" s="98"/>
      <c r="OSV33" s="98"/>
      <c r="OSW33" s="98"/>
      <c r="OSX33" s="98"/>
      <c r="OSY33" s="98"/>
      <c r="OSZ33" s="98"/>
      <c r="OTA33" s="98"/>
      <c r="OTB33" s="98"/>
      <c r="OTC33" s="98"/>
      <c r="OTD33" s="98"/>
      <c r="OTE33" s="98"/>
      <c r="OTF33" s="98"/>
      <c r="OTG33" s="98"/>
      <c r="OTH33" s="98"/>
      <c r="OTI33" s="98"/>
      <c r="OTJ33" s="98"/>
      <c r="OTK33" s="98"/>
      <c r="OTL33" s="98"/>
      <c r="OTM33" s="98"/>
      <c r="OTN33" s="98"/>
      <c r="OTO33" s="98"/>
      <c r="OTP33" s="98"/>
      <c r="OTQ33" s="98"/>
      <c r="OTR33" s="98"/>
      <c r="OTS33" s="98"/>
      <c r="OTT33" s="98"/>
      <c r="OTU33" s="98"/>
      <c r="OTV33" s="98"/>
      <c r="OTW33" s="98"/>
      <c r="OTX33" s="98"/>
      <c r="OTY33" s="98"/>
      <c r="OTZ33" s="98"/>
      <c r="OUA33" s="98"/>
      <c r="OUB33" s="98"/>
      <c r="OUC33" s="98"/>
      <c r="OUD33" s="98"/>
      <c r="OUE33" s="98"/>
      <c r="OUF33" s="98"/>
      <c r="OUG33" s="98"/>
      <c r="OUH33" s="98"/>
      <c r="OUI33" s="98"/>
      <c r="OUJ33" s="98"/>
      <c r="OUK33" s="98"/>
      <c r="OUL33" s="98"/>
      <c r="OUM33" s="98"/>
      <c r="OUN33" s="98"/>
      <c r="OUO33" s="98"/>
      <c r="OUP33" s="98"/>
      <c r="OUQ33" s="98"/>
      <c r="OUR33" s="98"/>
      <c r="OUS33" s="98"/>
      <c r="OUT33" s="98"/>
      <c r="OUU33" s="98"/>
      <c r="OUV33" s="98"/>
      <c r="OUW33" s="98"/>
      <c r="OUX33" s="98"/>
      <c r="OUY33" s="98"/>
      <c r="OUZ33" s="98"/>
      <c r="OVA33" s="98"/>
      <c r="OVB33" s="98"/>
      <c r="OVC33" s="98"/>
      <c r="OVD33" s="98"/>
      <c r="OVE33" s="98"/>
      <c r="OVF33" s="98"/>
      <c r="OVG33" s="98"/>
      <c r="OVH33" s="98"/>
      <c r="OVI33" s="98"/>
      <c r="OVJ33" s="98"/>
      <c r="OVK33" s="98"/>
      <c r="OVL33" s="98"/>
      <c r="OVM33" s="98"/>
      <c r="OVN33" s="98"/>
      <c r="OVO33" s="98"/>
      <c r="OVP33" s="98"/>
      <c r="OVQ33" s="98"/>
      <c r="OVR33" s="98"/>
      <c r="OVS33" s="98"/>
      <c r="OVT33" s="98"/>
      <c r="OVU33" s="98"/>
      <c r="OVV33" s="98"/>
      <c r="OVW33" s="98"/>
      <c r="OVX33" s="98"/>
      <c r="OVY33" s="98"/>
      <c r="OVZ33" s="98"/>
      <c r="OWA33" s="98"/>
      <c r="OWB33" s="98"/>
      <c r="OWC33" s="98"/>
      <c r="OWD33" s="98"/>
      <c r="OWE33" s="98"/>
      <c r="OWF33" s="98"/>
      <c r="OWG33" s="98"/>
      <c r="OWH33" s="98"/>
      <c r="OWI33" s="98"/>
      <c r="OWJ33" s="98"/>
      <c r="OWK33" s="98"/>
      <c r="OWL33" s="98"/>
      <c r="OWM33" s="98"/>
      <c r="OWN33" s="98"/>
      <c r="OWO33" s="98"/>
      <c r="OWP33" s="98"/>
      <c r="OWQ33" s="98"/>
      <c r="OWR33" s="98"/>
      <c r="OWS33" s="98"/>
      <c r="OWT33" s="98"/>
      <c r="OWU33" s="98"/>
      <c r="OWV33" s="98"/>
      <c r="OWW33" s="98"/>
      <c r="OWX33" s="98"/>
      <c r="OWY33" s="98"/>
      <c r="OWZ33" s="98"/>
      <c r="OXA33" s="98"/>
      <c r="OXB33" s="98"/>
      <c r="OXC33" s="98"/>
      <c r="OXD33" s="98"/>
      <c r="OXE33" s="98"/>
      <c r="OXF33" s="98"/>
      <c r="OXG33" s="98"/>
      <c r="OXH33" s="98"/>
      <c r="OXI33" s="98"/>
      <c r="OXJ33" s="98"/>
      <c r="OXK33" s="98"/>
      <c r="OXL33" s="98"/>
      <c r="OXM33" s="98"/>
      <c r="OXN33" s="98"/>
      <c r="OXO33" s="98"/>
      <c r="OXP33" s="98"/>
      <c r="OXQ33" s="98"/>
      <c r="OXR33" s="98"/>
      <c r="OXS33" s="98"/>
      <c r="OXT33" s="98"/>
      <c r="OXU33" s="98"/>
      <c r="OXV33" s="98"/>
      <c r="OXW33" s="98"/>
      <c r="OXX33" s="98"/>
      <c r="OXY33" s="98"/>
      <c r="OXZ33" s="98"/>
      <c r="OYA33" s="98"/>
      <c r="OYB33" s="98"/>
      <c r="OYC33" s="98"/>
      <c r="OYD33" s="98"/>
      <c r="OYE33" s="98"/>
      <c r="OYF33" s="98"/>
      <c r="OYG33" s="98"/>
      <c r="OYH33" s="98"/>
      <c r="OYI33" s="98"/>
      <c r="OYJ33" s="98"/>
      <c r="OYK33" s="98"/>
      <c r="OYL33" s="98"/>
      <c r="OYM33" s="98"/>
      <c r="OYN33" s="98"/>
      <c r="OYO33" s="98"/>
      <c r="OYP33" s="98"/>
      <c r="OYQ33" s="98"/>
      <c r="OYR33" s="98"/>
      <c r="OYS33" s="98"/>
      <c r="OYT33" s="98"/>
      <c r="OYU33" s="98"/>
      <c r="OYV33" s="98"/>
      <c r="OYW33" s="98"/>
      <c r="OYX33" s="98"/>
      <c r="OYY33" s="98"/>
      <c r="OYZ33" s="98"/>
      <c r="OZA33" s="98"/>
      <c r="OZB33" s="98"/>
      <c r="OZC33" s="98"/>
      <c r="OZD33" s="98"/>
      <c r="OZE33" s="98"/>
      <c r="OZF33" s="98"/>
      <c r="OZG33" s="98"/>
      <c r="OZH33" s="98"/>
      <c r="OZI33" s="98"/>
      <c r="OZJ33" s="98"/>
      <c r="OZK33" s="98"/>
      <c r="OZL33" s="98"/>
      <c r="OZM33" s="98"/>
      <c r="OZN33" s="98"/>
      <c r="OZO33" s="98"/>
      <c r="OZP33" s="98"/>
      <c r="OZQ33" s="98"/>
      <c r="OZR33" s="98"/>
      <c r="OZS33" s="98"/>
      <c r="OZT33" s="98"/>
      <c r="OZU33" s="98"/>
      <c r="OZV33" s="98"/>
      <c r="OZW33" s="98"/>
      <c r="OZX33" s="98"/>
      <c r="OZY33" s="98"/>
      <c r="OZZ33" s="98"/>
      <c r="PAA33" s="98"/>
      <c r="PAB33" s="98"/>
      <c r="PAC33" s="98"/>
      <c r="PAD33" s="98"/>
      <c r="PAE33" s="98"/>
      <c r="PAF33" s="98"/>
      <c r="PAG33" s="98"/>
      <c r="PAH33" s="98"/>
      <c r="PAI33" s="98"/>
      <c r="PAJ33" s="98"/>
      <c r="PAK33" s="98"/>
      <c r="PAL33" s="98"/>
      <c r="PAM33" s="98"/>
      <c r="PAN33" s="98"/>
      <c r="PAO33" s="98"/>
      <c r="PAP33" s="98"/>
      <c r="PAQ33" s="98"/>
      <c r="PAR33" s="98"/>
      <c r="PAS33" s="98"/>
      <c r="PAT33" s="98"/>
      <c r="PAU33" s="98"/>
      <c r="PAV33" s="98"/>
      <c r="PAW33" s="98"/>
      <c r="PAX33" s="98"/>
      <c r="PAY33" s="98"/>
      <c r="PAZ33" s="98"/>
      <c r="PBA33" s="98"/>
      <c r="PBB33" s="98"/>
      <c r="PBC33" s="98"/>
      <c r="PBD33" s="98"/>
      <c r="PBE33" s="98"/>
      <c r="PBF33" s="98"/>
      <c r="PBG33" s="98"/>
      <c r="PBH33" s="98"/>
      <c r="PBI33" s="98"/>
      <c r="PBJ33" s="98"/>
      <c r="PBK33" s="98"/>
      <c r="PBL33" s="98"/>
      <c r="PBM33" s="98"/>
      <c r="PBN33" s="98"/>
      <c r="PBO33" s="98"/>
      <c r="PBP33" s="98"/>
      <c r="PBQ33" s="98"/>
      <c r="PBR33" s="98"/>
      <c r="PBS33" s="98"/>
      <c r="PBT33" s="98"/>
      <c r="PBU33" s="98"/>
      <c r="PBV33" s="98"/>
      <c r="PBW33" s="98"/>
      <c r="PBX33" s="98"/>
      <c r="PBY33" s="98"/>
      <c r="PBZ33" s="98"/>
      <c r="PCA33" s="98"/>
      <c r="PCB33" s="98"/>
      <c r="PCC33" s="98"/>
      <c r="PCD33" s="98"/>
      <c r="PCE33" s="98"/>
      <c r="PCF33" s="98"/>
      <c r="PCG33" s="98"/>
      <c r="PCH33" s="98"/>
      <c r="PCI33" s="98"/>
      <c r="PCJ33" s="98"/>
      <c r="PCK33" s="98"/>
      <c r="PCL33" s="98"/>
      <c r="PCM33" s="98"/>
      <c r="PCN33" s="98"/>
      <c r="PCO33" s="98"/>
      <c r="PCP33" s="98"/>
      <c r="PCQ33" s="98"/>
      <c r="PCR33" s="98"/>
      <c r="PCS33" s="98"/>
      <c r="PCT33" s="98"/>
      <c r="PCU33" s="98"/>
      <c r="PCV33" s="98"/>
      <c r="PCW33" s="98"/>
      <c r="PCX33" s="98"/>
      <c r="PCY33" s="98"/>
      <c r="PCZ33" s="98"/>
      <c r="PDA33" s="98"/>
      <c r="PDB33" s="98"/>
      <c r="PDC33" s="98"/>
      <c r="PDD33" s="98"/>
      <c r="PDE33" s="98"/>
      <c r="PDF33" s="98"/>
      <c r="PDG33" s="98"/>
      <c r="PDH33" s="98"/>
      <c r="PDI33" s="98"/>
      <c r="PDJ33" s="98"/>
      <c r="PDK33" s="98"/>
      <c r="PDL33" s="98"/>
      <c r="PDM33" s="98"/>
      <c r="PDN33" s="98"/>
      <c r="PDO33" s="98"/>
      <c r="PDP33" s="98"/>
      <c r="PDQ33" s="98"/>
      <c r="PDR33" s="98"/>
      <c r="PDS33" s="98"/>
      <c r="PDT33" s="98"/>
      <c r="PDU33" s="98"/>
      <c r="PDV33" s="98"/>
      <c r="PDW33" s="98"/>
      <c r="PDX33" s="98"/>
      <c r="PDY33" s="98"/>
      <c r="PDZ33" s="98"/>
      <c r="PEA33" s="98"/>
      <c r="PEB33" s="98"/>
      <c r="PEC33" s="98"/>
      <c r="PED33" s="98"/>
      <c r="PEE33" s="98"/>
      <c r="PEF33" s="98"/>
      <c r="PEG33" s="98"/>
      <c r="PEH33" s="98"/>
      <c r="PEI33" s="98"/>
      <c r="PEJ33" s="98"/>
      <c r="PEK33" s="98"/>
      <c r="PEL33" s="98"/>
      <c r="PEM33" s="98"/>
      <c r="PEN33" s="98"/>
      <c r="PEO33" s="98"/>
      <c r="PEP33" s="98"/>
      <c r="PEQ33" s="98"/>
      <c r="PER33" s="98"/>
      <c r="PES33" s="98"/>
      <c r="PET33" s="98"/>
      <c r="PEU33" s="98"/>
      <c r="PEV33" s="98"/>
      <c r="PEW33" s="98"/>
      <c r="PEX33" s="98"/>
      <c r="PEY33" s="98"/>
      <c r="PEZ33" s="98"/>
      <c r="PFA33" s="98"/>
      <c r="PFB33" s="98"/>
      <c r="PFC33" s="98"/>
      <c r="PFD33" s="98"/>
      <c r="PFE33" s="98"/>
      <c r="PFF33" s="98"/>
      <c r="PFG33" s="98"/>
      <c r="PFH33" s="98"/>
      <c r="PFI33" s="98"/>
      <c r="PFJ33" s="98"/>
      <c r="PFK33" s="98"/>
      <c r="PFL33" s="98"/>
      <c r="PFM33" s="98"/>
      <c r="PFN33" s="98"/>
      <c r="PFO33" s="98"/>
      <c r="PFP33" s="98"/>
      <c r="PFQ33" s="98"/>
      <c r="PFR33" s="98"/>
      <c r="PFS33" s="98"/>
      <c r="PFT33" s="98"/>
      <c r="PFU33" s="98"/>
      <c r="PFV33" s="98"/>
      <c r="PFW33" s="98"/>
      <c r="PFX33" s="98"/>
      <c r="PFY33" s="98"/>
      <c r="PFZ33" s="98"/>
      <c r="PGA33" s="98"/>
      <c r="PGB33" s="98"/>
      <c r="PGC33" s="98"/>
      <c r="PGD33" s="98"/>
      <c r="PGE33" s="98"/>
      <c r="PGF33" s="98"/>
      <c r="PGG33" s="98"/>
      <c r="PGH33" s="98"/>
      <c r="PGI33" s="98"/>
      <c r="PGJ33" s="98"/>
      <c r="PGK33" s="98"/>
      <c r="PGL33" s="98"/>
      <c r="PGM33" s="98"/>
      <c r="PGN33" s="98"/>
      <c r="PGO33" s="98"/>
      <c r="PGP33" s="98"/>
      <c r="PGQ33" s="98"/>
      <c r="PGR33" s="98"/>
      <c r="PGS33" s="98"/>
      <c r="PGT33" s="98"/>
      <c r="PGU33" s="98"/>
      <c r="PGV33" s="98"/>
      <c r="PGW33" s="98"/>
      <c r="PGX33" s="98"/>
      <c r="PGY33" s="98"/>
      <c r="PGZ33" s="98"/>
      <c r="PHA33" s="98"/>
      <c r="PHB33" s="98"/>
      <c r="PHC33" s="98"/>
      <c r="PHD33" s="98"/>
      <c r="PHE33" s="98"/>
      <c r="PHF33" s="98"/>
      <c r="PHG33" s="98"/>
      <c r="PHH33" s="98"/>
      <c r="PHI33" s="98"/>
      <c r="PHJ33" s="98"/>
      <c r="PHK33" s="98"/>
      <c r="PHL33" s="98"/>
      <c r="PHM33" s="98"/>
      <c r="PHN33" s="98"/>
      <c r="PHO33" s="98"/>
      <c r="PHP33" s="98"/>
      <c r="PHQ33" s="98"/>
      <c r="PHR33" s="98"/>
      <c r="PHS33" s="98"/>
      <c r="PHT33" s="98"/>
      <c r="PHU33" s="98"/>
      <c r="PHV33" s="98"/>
      <c r="PHW33" s="98"/>
      <c r="PHX33" s="98"/>
      <c r="PHY33" s="98"/>
      <c r="PHZ33" s="98"/>
      <c r="PIA33" s="98"/>
      <c r="PIB33" s="98"/>
      <c r="PIC33" s="98"/>
      <c r="PID33" s="98"/>
      <c r="PIE33" s="98"/>
      <c r="PIF33" s="98"/>
      <c r="PIG33" s="98"/>
      <c r="PIH33" s="98"/>
      <c r="PII33" s="98"/>
      <c r="PIJ33" s="98"/>
      <c r="PIK33" s="98"/>
      <c r="PIL33" s="98"/>
      <c r="PIM33" s="98"/>
      <c r="PIN33" s="98"/>
      <c r="PIO33" s="98"/>
      <c r="PIP33" s="98"/>
      <c r="PIQ33" s="98"/>
      <c r="PIR33" s="98"/>
      <c r="PIS33" s="98"/>
      <c r="PIT33" s="98"/>
      <c r="PIU33" s="98"/>
      <c r="PIV33" s="98"/>
      <c r="PIW33" s="98"/>
      <c r="PIX33" s="98"/>
      <c r="PIY33" s="98"/>
      <c r="PIZ33" s="98"/>
      <c r="PJA33" s="98"/>
      <c r="PJB33" s="98"/>
      <c r="PJC33" s="98"/>
      <c r="PJD33" s="98"/>
      <c r="PJE33" s="98"/>
      <c r="PJF33" s="98"/>
      <c r="PJG33" s="98"/>
      <c r="PJH33" s="98"/>
      <c r="PJI33" s="98"/>
      <c r="PJJ33" s="98"/>
      <c r="PJK33" s="98"/>
      <c r="PJL33" s="98"/>
      <c r="PJM33" s="98"/>
      <c r="PJN33" s="98"/>
      <c r="PJO33" s="98"/>
      <c r="PJP33" s="98"/>
      <c r="PJQ33" s="98"/>
      <c r="PJR33" s="98"/>
      <c r="PJS33" s="98"/>
      <c r="PJT33" s="98"/>
      <c r="PJU33" s="98"/>
      <c r="PJV33" s="98"/>
      <c r="PJW33" s="98"/>
      <c r="PJX33" s="98"/>
      <c r="PJY33" s="98"/>
      <c r="PJZ33" s="98"/>
      <c r="PKA33" s="98"/>
      <c r="PKB33" s="98"/>
      <c r="PKC33" s="98"/>
      <c r="PKD33" s="98"/>
      <c r="PKE33" s="98"/>
      <c r="PKF33" s="98"/>
      <c r="PKG33" s="98"/>
      <c r="PKH33" s="98"/>
      <c r="PKI33" s="98"/>
      <c r="PKJ33" s="98"/>
      <c r="PKK33" s="98"/>
      <c r="PKL33" s="98"/>
      <c r="PKM33" s="98"/>
      <c r="PKN33" s="98"/>
      <c r="PKO33" s="98"/>
      <c r="PKP33" s="98"/>
      <c r="PKQ33" s="98"/>
      <c r="PKR33" s="98"/>
      <c r="PKS33" s="98"/>
      <c r="PKT33" s="98"/>
      <c r="PKU33" s="98"/>
      <c r="PKV33" s="98"/>
      <c r="PKW33" s="98"/>
      <c r="PKX33" s="98"/>
      <c r="PKY33" s="98"/>
      <c r="PKZ33" s="98"/>
      <c r="PLA33" s="98"/>
      <c r="PLB33" s="98"/>
      <c r="PLC33" s="98"/>
      <c r="PLD33" s="98"/>
      <c r="PLE33" s="98"/>
      <c r="PLF33" s="98"/>
      <c r="PLG33" s="98"/>
      <c r="PLH33" s="98"/>
      <c r="PLI33" s="98"/>
      <c r="PLJ33" s="98"/>
      <c r="PLK33" s="98"/>
      <c r="PLL33" s="98"/>
      <c r="PLM33" s="98"/>
      <c r="PLN33" s="98"/>
      <c r="PLO33" s="98"/>
      <c r="PLP33" s="98"/>
      <c r="PLQ33" s="98"/>
      <c r="PLR33" s="98"/>
      <c r="PLS33" s="98"/>
      <c r="PLT33" s="98"/>
      <c r="PLU33" s="98"/>
      <c r="PLV33" s="98"/>
      <c r="PLW33" s="98"/>
      <c r="PLX33" s="98"/>
      <c r="PLY33" s="98"/>
      <c r="PLZ33" s="98"/>
      <c r="PMA33" s="98"/>
      <c r="PMB33" s="98"/>
      <c r="PMC33" s="98"/>
      <c r="PMD33" s="98"/>
      <c r="PME33" s="98"/>
      <c r="PMF33" s="98"/>
      <c r="PMG33" s="98"/>
      <c r="PMH33" s="98"/>
      <c r="PMI33" s="98"/>
      <c r="PMJ33" s="98"/>
      <c r="PMK33" s="98"/>
      <c r="PML33" s="98"/>
      <c r="PMM33" s="98"/>
      <c r="PMN33" s="98"/>
      <c r="PMO33" s="98"/>
      <c r="PMP33" s="98"/>
      <c r="PMQ33" s="98"/>
      <c r="PMR33" s="98"/>
      <c r="PMS33" s="98"/>
      <c r="PMT33" s="98"/>
      <c r="PMU33" s="98"/>
      <c r="PMV33" s="98"/>
      <c r="PMW33" s="98"/>
      <c r="PMX33" s="98"/>
      <c r="PMY33" s="98"/>
      <c r="PMZ33" s="98"/>
      <c r="PNA33" s="98"/>
      <c r="PNB33" s="98"/>
      <c r="PNC33" s="98"/>
      <c r="PND33" s="98"/>
      <c r="PNE33" s="98"/>
      <c r="PNF33" s="98"/>
      <c r="PNG33" s="98"/>
      <c r="PNH33" s="98"/>
      <c r="PNI33" s="98"/>
      <c r="PNJ33" s="98"/>
      <c r="PNK33" s="98"/>
      <c r="PNL33" s="98"/>
      <c r="PNM33" s="98"/>
      <c r="PNN33" s="98"/>
      <c r="PNO33" s="98"/>
      <c r="PNP33" s="98"/>
      <c r="PNQ33" s="98"/>
      <c r="PNR33" s="98"/>
      <c r="PNS33" s="98"/>
      <c r="PNT33" s="98"/>
      <c r="PNU33" s="98"/>
      <c r="PNV33" s="98"/>
      <c r="PNW33" s="98"/>
      <c r="PNX33" s="98"/>
      <c r="PNY33" s="98"/>
      <c r="PNZ33" s="98"/>
      <c r="POA33" s="98"/>
      <c r="POB33" s="98"/>
      <c r="POC33" s="98"/>
      <c r="POD33" s="98"/>
      <c r="POE33" s="98"/>
      <c r="POF33" s="98"/>
      <c r="POG33" s="98"/>
      <c r="POH33" s="98"/>
      <c r="POI33" s="98"/>
      <c r="POJ33" s="98"/>
      <c r="POK33" s="98"/>
      <c r="POL33" s="98"/>
      <c r="POM33" s="98"/>
      <c r="PON33" s="98"/>
      <c r="POO33" s="98"/>
      <c r="POP33" s="98"/>
      <c r="POQ33" s="98"/>
      <c r="POR33" s="98"/>
      <c r="POS33" s="98"/>
      <c r="POT33" s="98"/>
      <c r="POU33" s="98"/>
      <c r="POV33" s="98"/>
      <c r="POW33" s="98"/>
      <c r="POX33" s="98"/>
      <c r="POY33" s="98"/>
      <c r="POZ33" s="98"/>
      <c r="PPA33" s="98"/>
      <c r="PPB33" s="98"/>
      <c r="PPC33" s="98"/>
      <c r="PPD33" s="98"/>
      <c r="PPE33" s="98"/>
      <c r="PPF33" s="98"/>
      <c r="PPG33" s="98"/>
      <c r="PPH33" s="98"/>
      <c r="PPI33" s="98"/>
      <c r="PPJ33" s="98"/>
      <c r="PPK33" s="98"/>
      <c r="PPL33" s="98"/>
      <c r="PPM33" s="98"/>
      <c r="PPN33" s="98"/>
      <c r="PPO33" s="98"/>
      <c r="PPP33" s="98"/>
      <c r="PPQ33" s="98"/>
      <c r="PPR33" s="98"/>
      <c r="PPS33" s="98"/>
      <c r="PPT33" s="98"/>
      <c r="PPU33" s="98"/>
      <c r="PPV33" s="98"/>
      <c r="PPW33" s="98"/>
      <c r="PPX33" s="98"/>
      <c r="PPY33" s="98"/>
      <c r="PPZ33" s="98"/>
      <c r="PQA33" s="98"/>
      <c r="PQB33" s="98"/>
      <c r="PQC33" s="98"/>
      <c r="PQD33" s="98"/>
      <c r="PQE33" s="98"/>
      <c r="PQF33" s="98"/>
      <c r="PQG33" s="98"/>
      <c r="PQH33" s="98"/>
      <c r="PQI33" s="98"/>
      <c r="PQJ33" s="98"/>
      <c r="PQK33" s="98"/>
      <c r="PQL33" s="98"/>
      <c r="PQM33" s="98"/>
      <c r="PQN33" s="98"/>
      <c r="PQO33" s="98"/>
      <c r="PQP33" s="98"/>
      <c r="PQQ33" s="98"/>
      <c r="PQR33" s="98"/>
      <c r="PQS33" s="98"/>
      <c r="PQT33" s="98"/>
      <c r="PQU33" s="98"/>
      <c r="PQV33" s="98"/>
      <c r="PQW33" s="98"/>
      <c r="PQX33" s="98"/>
      <c r="PQY33" s="98"/>
      <c r="PQZ33" s="98"/>
      <c r="PRA33" s="98"/>
      <c r="PRB33" s="98"/>
      <c r="PRC33" s="98"/>
      <c r="PRD33" s="98"/>
      <c r="PRE33" s="98"/>
      <c r="PRF33" s="98"/>
      <c r="PRG33" s="98"/>
      <c r="PRH33" s="98"/>
      <c r="PRI33" s="98"/>
      <c r="PRJ33" s="98"/>
      <c r="PRK33" s="98"/>
      <c r="PRL33" s="98"/>
      <c r="PRM33" s="98"/>
      <c r="PRN33" s="98"/>
      <c r="PRO33" s="98"/>
      <c r="PRP33" s="98"/>
      <c r="PRQ33" s="98"/>
      <c r="PRR33" s="98"/>
      <c r="PRS33" s="98"/>
      <c r="PRT33" s="98"/>
      <c r="PRU33" s="98"/>
      <c r="PRV33" s="98"/>
      <c r="PRW33" s="98"/>
      <c r="PRX33" s="98"/>
      <c r="PRY33" s="98"/>
      <c r="PRZ33" s="98"/>
      <c r="PSA33" s="98"/>
      <c r="PSB33" s="98"/>
      <c r="PSC33" s="98"/>
      <c r="PSD33" s="98"/>
      <c r="PSE33" s="98"/>
      <c r="PSF33" s="98"/>
      <c r="PSG33" s="98"/>
      <c r="PSH33" s="98"/>
      <c r="PSI33" s="98"/>
      <c r="PSJ33" s="98"/>
      <c r="PSK33" s="98"/>
      <c r="PSL33" s="98"/>
      <c r="PSM33" s="98"/>
      <c r="PSN33" s="98"/>
      <c r="PSO33" s="98"/>
      <c r="PSP33" s="98"/>
      <c r="PSQ33" s="98"/>
      <c r="PSR33" s="98"/>
      <c r="PSS33" s="98"/>
      <c r="PST33" s="98"/>
      <c r="PSU33" s="98"/>
      <c r="PSV33" s="98"/>
      <c r="PSW33" s="98"/>
      <c r="PSX33" s="98"/>
      <c r="PSY33" s="98"/>
      <c r="PSZ33" s="98"/>
      <c r="PTA33" s="98"/>
      <c r="PTB33" s="98"/>
      <c r="PTC33" s="98"/>
      <c r="PTD33" s="98"/>
      <c r="PTE33" s="98"/>
      <c r="PTF33" s="98"/>
      <c r="PTG33" s="98"/>
      <c r="PTH33" s="98"/>
      <c r="PTI33" s="98"/>
      <c r="PTJ33" s="98"/>
      <c r="PTK33" s="98"/>
      <c r="PTL33" s="98"/>
      <c r="PTM33" s="98"/>
      <c r="PTN33" s="98"/>
      <c r="PTO33" s="98"/>
      <c r="PTP33" s="98"/>
      <c r="PTQ33" s="98"/>
      <c r="PTR33" s="98"/>
      <c r="PTS33" s="98"/>
      <c r="PTT33" s="98"/>
      <c r="PTU33" s="98"/>
      <c r="PTV33" s="98"/>
      <c r="PTW33" s="98"/>
      <c r="PTX33" s="98"/>
      <c r="PTY33" s="98"/>
      <c r="PTZ33" s="98"/>
      <c r="PUA33" s="98"/>
      <c r="PUB33" s="98"/>
      <c r="PUC33" s="98"/>
      <c r="PUD33" s="98"/>
      <c r="PUE33" s="98"/>
      <c r="PUF33" s="98"/>
      <c r="PUG33" s="98"/>
      <c r="PUH33" s="98"/>
      <c r="PUI33" s="98"/>
      <c r="PUJ33" s="98"/>
      <c r="PUK33" s="98"/>
      <c r="PUL33" s="98"/>
      <c r="PUM33" s="98"/>
      <c r="PUN33" s="98"/>
      <c r="PUO33" s="98"/>
      <c r="PUP33" s="98"/>
      <c r="PUQ33" s="98"/>
      <c r="PUR33" s="98"/>
      <c r="PUS33" s="98"/>
      <c r="PUT33" s="98"/>
      <c r="PUU33" s="98"/>
      <c r="PUV33" s="98"/>
      <c r="PUW33" s="98"/>
      <c r="PUX33" s="98"/>
      <c r="PUY33" s="98"/>
      <c r="PUZ33" s="98"/>
      <c r="PVA33" s="98"/>
      <c r="PVB33" s="98"/>
      <c r="PVC33" s="98"/>
      <c r="PVD33" s="98"/>
      <c r="PVE33" s="98"/>
      <c r="PVF33" s="98"/>
      <c r="PVG33" s="98"/>
      <c r="PVH33" s="98"/>
      <c r="PVI33" s="98"/>
      <c r="PVJ33" s="98"/>
      <c r="PVK33" s="98"/>
      <c r="PVL33" s="98"/>
      <c r="PVM33" s="98"/>
      <c r="PVN33" s="98"/>
      <c r="PVO33" s="98"/>
      <c r="PVP33" s="98"/>
      <c r="PVQ33" s="98"/>
      <c r="PVR33" s="98"/>
      <c r="PVS33" s="98"/>
      <c r="PVT33" s="98"/>
      <c r="PVU33" s="98"/>
      <c r="PVV33" s="98"/>
      <c r="PVW33" s="98"/>
      <c r="PVX33" s="98"/>
      <c r="PVY33" s="98"/>
      <c r="PVZ33" s="98"/>
      <c r="PWA33" s="98"/>
      <c r="PWB33" s="98"/>
      <c r="PWC33" s="98"/>
      <c r="PWD33" s="98"/>
      <c r="PWE33" s="98"/>
      <c r="PWF33" s="98"/>
      <c r="PWG33" s="98"/>
      <c r="PWH33" s="98"/>
      <c r="PWI33" s="98"/>
      <c r="PWJ33" s="98"/>
      <c r="PWK33" s="98"/>
      <c r="PWL33" s="98"/>
      <c r="PWM33" s="98"/>
      <c r="PWN33" s="98"/>
      <c r="PWO33" s="98"/>
      <c r="PWP33" s="98"/>
      <c r="PWQ33" s="98"/>
      <c r="PWR33" s="98"/>
      <c r="PWS33" s="98"/>
      <c r="PWT33" s="98"/>
      <c r="PWU33" s="98"/>
      <c r="PWV33" s="98"/>
      <c r="PWW33" s="98"/>
      <c r="PWX33" s="98"/>
      <c r="PWY33" s="98"/>
      <c r="PWZ33" s="98"/>
      <c r="PXA33" s="98"/>
      <c r="PXB33" s="98"/>
      <c r="PXC33" s="98"/>
      <c r="PXD33" s="98"/>
      <c r="PXE33" s="98"/>
      <c r="PXF33" s="98"/>
      <c r="PXG33" s="98"/>
      <c r="PXH33" s="98"/>
      <c r="PXI33" s="98"/>
      <c r="PXJ33" s="98"/>
      <c r="PXK33" s="98"/>
      <c r="PXL33" s="98"/>
      <c r="PXM33" s="98"/>
      <c r="PXN33" s="98"/>
      <c r="PXO33" s="98"/>
      <c r="PXP33" s="98"/>
      <c r="PXQ33" s="98"/>
      <c r="PXR33" s="98"/>
      <c r="PXS33" s="98"/>
      <c r="PXT33" s="98"/>
      <c r="PXU33" s="98"/>
      <c r="PXV33" s="98"/>
      <c r="PXW33" s="98"/>
      <c r="PXX33" s="98"/>
      <c r="PXY33" s="98"/>
      <c r="PXZ33" s="98"/>
      <c r="PYA33" s="98"/>
      <c r="PYB33" s="98"/>
      <c r="PYC33" s="98"/>
      <c r="PYD33" s="98"/>
      <c r="PYE33" s="98"/>
      <c r="PYF33" s="98"/>
      <c r="PYG33" s="98"/>
      <c r="PYH33" s="98"/>
      <c r="PYI33" s="98"/>
      <c r="PYJ33" s="98"/>
      <c r="PYK33" s="98"/>
      <c r="PYL33" s="98"/>
      <c r="PYM33" s="98"/>
      <c r="PYN33" s="98"/>
      <c r="PYO33" s="98"/>
      <c r="PYP33" s="98"/>
      <c r="PYQ33" s="98"/>
      <c r="PYR33" s="98"/>
      <c r="PYS33" s="98"/>
      <c r="PYT33" s="98"/>
      <c r="PYU33" s="98"/>
      <c r="PYV33" s="98"/>
      <c r="PYW33" s="98"/>
      <c r="PYX33" s="98"/>
      <c r="PYY33" s="98"/>
      <c r="PYZ33" s="98"/>
      <c r="PZA33" s="98"/>
      <c r="PZB33" s="98"/>
      <c r="PZC33" s="98"/>
      <c r="PZD33" s="98"/>
      <c r="PZE33" s="98"/>
      <c r="PZF33" s="98"/>
      <c r="PZG33" s="98"/>
      <c r="PZH33" s="98"/>
      <c r="PZI33" s="98"/>
      <c r="PZJ33" s="98"/>
      <c r="PZK33" s="98"/>
      <c r="PZL33" s="98"/>
      <c r="PZM33" s="98"/>
      <c r="PZN33" s="98"/>
      <c r="PZO33" s="98"/>
      <c r="PZP33" s="98"/>
      <c r="PZQ33" s="98"/>
      <c r="PZR33" s="98"/>
      <c r="PZS33" s="98"/>
      <c r="PZT33" s="98"/>
      <c r="PZU33" s="98"/>
      <c r="PZV33" s="98"/>
      <c r="PZW33" s="98"/>
      <c r="PZX33" s="98"/>
      <c r="PZY33" s="98"/>
      <c r="PZZ33" s="98"/>
      <c r="QAA33" s="98"/>
      <c r="QAB33" s="98"/>
      <c r="QAC33" s="98"/>
      <c r="QAD33" s="98"/>
      <c r="QAE33" s="98"/>
      <c r="QAF33" s="98"/>
      <c r="QAG33" s="98"/>
      <c r="QAH33" s="98"/>
      <c r="QAI33" s="98"/>
      <c r="QAJ33" s="98"/>
      <c r="QAK33" s="98"/>
      <c r="QAL33" s="98"/>
      <c r="QAM33" s="98"/>
      <c r="QAN33" s="98"/>
      <c r="QAO33" s="98"/>
      <c r="QAP33" s="98"/>
      <c r="QAQ33" s="98"/>
      <c r="QAR33" s="98"/>
      <c r="QAS33" s="98"/>
      <c r="QAT33" s="98"/>
      <c r="QAU33" s="98"/>
      <c r="QAV33" s="98"/>
      <c r="QAW33" s="98"/>
      <c r="QAX33" s="98"/>
      <c r="QAY33" s="98"/>
      <c r="QAZ33" s="98"/>
      <c r="QBA33" s="98"/>
      <c r="QBB33" s="98"/>
      <c r="QBC33" s="98"/>
      <c r="QBD33" s="98"/>
      <c r="QBE33" s="98"/>
      <c r="QBF33" s="98"/>
      <c r="QBG33" s="98"/>
      <c r="QBH33" s="98"/>
      <c r="QBI33" s="98"/>
      <c r="QBJ33" s="98"/>
      <c r="QBK33" s="98"/>
      <c r="QBL33" s="98"/>
      <c r="QBM33" s="98"/>
      <c r="QBN33" s="98"/>
      <c r="QBO33" s="98"/>
      <c r="QBP33" s="98"/>
      <c r="QBQ33" s="98"/>
      <c r="QBR33" s="98"/>
      <c r="QBS33" s="98"/>
      <c r="QBT33" s="98"/>
      <c r="QBU33" s="98"/>
      <c r="QBV33" s="98"/>
      <c r="QBW33" s="98"/>
      <c r="QBX33" s="98"/>
      <c r="QBY33" s="98"/>
      <c r="QBZ33" s="98"/>
      <c r="QCA33" s="98"/>
      <c r="QCB33" s="98"/>
      <c r="QCC33" s="98"/>
      <c r="QCD33" s="98"/>
      <c r="QCE33" s="98"/>
      <c r="QCF33" s="98"/>
      <c r="QCG33" s="98"/>
      <c r="QCH33" s="98"/>
      <c r="QCI33" s="98"/>
      <c r="QCJ33" s="98"/>
      <c r="QCK33" s="98"/>
      <c r="QCL33" s="98"/>
      <c r="QCM33" s="98"/>
      <c r="QCN33" s="98"/>
      <c r="QCO33" s="98"/>
      <c r="QCP33" s="98"/>
      <c r="QCQ33" s="98"/>
      <c r="QCR33" s="98"/>
      <c r="QCS33" s="98"/>
      <c r="QCT33" s="98"/>
      <c r="QCU33" s="98"/>
      <c r="QCV33" s="98"/>
      <c r="QCW33" s="98"/>
      <c r="QCX33" s="98"/>
      <c r="QCY33" s="98"/>
      <c r="QCZ33" s="98"/>
      <c r="QDA33" s="98"/>
      <c r="QDB33" s="98"/>
      <c r="QDC33" s="98"/>
      <c r="QDD33" s="98"/>
      <c r="QDE33" s="98"/>
      <c r="QDF33" s="98"/>
      <c r="QDG33" s="98"/>
      <c r="QDH33" s="98"/>
      <c r="QDI33" s="98"/>
      <c r="QDJ33" s="98"/>
      <c r="QDK33" s="98"/>
      <c r="QDL33" s="98"/>
      <c r="QDM33" s="98"/>
      <c r="QDN33" s="98"/>
      <c r="QDO33" s="98"/>
      <c r="QDP33" s="98"/>
      <c r="QDQ33" s="98"/>
      <c r="QDR33" s="98"/>
      <c r="QDS33" s="98"/>
      <c r="QDT33" s="98"/>
      <c r="QDU33" s="98"/>
      <c r="QDV33" s="98"/>
      <c r="QDW33" s="98"/>
      <c r="QDX33" s="98"/>
      <c r="QDY33" s="98"/>
      <c r="QDZ33" s="98"/>
      <c r="QEA33" s="98"/>
      <c r="QEB33" s="98"/>
      <c r="QEC33" s="98"/>
      <c r="QED33" s="98"/>
      <c r="QEE33" s="98"/>
      <c r="QEF33" s="98"/>
      <c r="QEG33" s="98"/>
      <c r="QEH33" s="98"/>
      <c r="QEI33" s="98"/>
      <c r="QEJ33" s="98"/>
      <c r="QEK33" s="98"/>
      <c r="QEL33" s="98"/>
      <c r="QEM33" s="98"/>
      <c r="QEN33" s="98"/>
      <c r="QEO33" s="98"/>
      <c r="QEP33" s="98"/>
      <c r="QEQ33" s="98"/>
      <c r="QER33" s="98"/>
      <c r="QES33" s="98"/>
      <c r="QET33" s="98"/>
      <c r="QEU33" s="98"/>
      <c r="QEV33" s="98"/>
      <c r="QEW33" s="98"/>
      <c r="QEX33" s="98"/>
      <c r="QEY33" s="98"/>
      <c r="QEZ33" s="98"/>
      <c r="QFA33" s="98"/>
      <c r="QFB33" s="98"/>
      <c r="QFC33" s="98"/>
      <c r="QFD33" s="98"/>
      <c r="QFE33" s="98"/>
      <c r="QFF33" s="98"/>
      <c r="QFG33" s="98"/>
      <c r="QFH33" s="98"/>
      <c r="QFI33" s="98"/>
      <c r="QFJ33" s="98"/>
      <c r="QFK33" s="98"/>
      <c r="QFL33" s="98"/>
      <c r="QFM33" s="98"/>
      <c r="QFN33" s="98"/>
      <c r="QFO33" s="98"/>
      <c r="QFP33" s="98"/>
      <c r="QFQ33" s="98"/>
      <c r="QFR33" s="98"/>
      <c r="QFS33" s="98"/>
      <c r="QFT33" s="98"/>
      <c r="QFU33" s="98"/>
      <c r="QFV33" s="98"/>
      <c r="QFW33" s="98"/>
      <c r="QFX33" s="98"/>
      <c r="QFY33" s="98"/>
      <c r="QFZ33" s="98"/>
      <c r="QGA33" s="98"/>
      <c r="QGB33" s="98"/>
      <c r="QGC33" s="98"/>
      <c r="QGD33" s="98"/>
      <c r="QGE33" s="98"/>
      <c r="QGF33" s="98"/>
      <c r="QGG33" s="98"/>
      <c r="QGH33" s="98"/>
      <c r="QGI33" s="98"/>
      <c r="QGJ33" s="98"/>
      <c r="QGK33" s="98"/>
      <c r="QGL33" s="98"/>
      <c r="QGM33" s="98"/>
      <c r="QGN33" s="98"/>
      <c r="QGO33" s="98"/>
      <c r="QGP33" s="98"/>
      <c r="QGQ33" s="98"/>
      <c r="QGR33" s="98"/>
      <c r="QGS33" s="98"/>
      <c r="QGT33" s="98"/>
      <c r="QGU33" s="98"/>
      <c r="QGV33" s="98"/>
      <c r="QGW33" s="98"/>
      <c r="QGX33" s="98"/>
      <c r="QGY33" s="98"/>
      <c r="QGZ33" s="98"/>
      <c r="QHA33" s="98"/>
      <c r="QHB33" s="98"/>
      <c r="QHC33" s="98"/>
      <c r="QHD33" s="98"/>
      <c r="QHE33" s="98"/>
      <c r="QHF33" s="98"/>
      <c r="QHG33" s="98"/>
      <c r="QHH33" s="98"/>
      <c r="QHI33" s="98"/>
      <c r="QHJ33" s="98"/>
      <c r="QHK33" s="98"/>
      <c r="QHL33" s="98"/>
      <c r="QHM33" s="98"/>
      <c r="QHN33" s="98"/>
      <c r="QHO33" s="98"/>
      <c r="QHP33" s="98"/>
      <c r="QHQ33" s="98"/>
      <c r="QHR33" s="98"/>
      <c r="QHS33" s="98"/>
      <c r="QHT33" s="98"/>
      <c r="QHU33" s="98"/>
      <c r="QHV33" s="98"/>
      <c r="QHW33" s="98"/>
      <c r="QHX33" s="98"/>
      <c r="QHY33" s="98"/>
      <c r="QHZ33" s="98"/>
      <c r="QIA33" s="98"/>
      <c r="QIB33" s="98"/>
      <c r="QIC33" s="98"/>
      <c r="QID33" s="98"/>
      <c r="QIE33" s="98"/>
      <c r="QIF33" s="98"/>
      <c r="QIG33" s="98"/>
      <c r="QIH33" s="98"/>
      <c r="QII33" s="98"/>
      <c r="QIJ33" s="98"/>
      <c r="QIK33" s="98"/>
      <c r="QIL33" s="98"/>
      <c r="QIM33" s="98"/>
      <c r="QIN33" s="98"/>
      <c r="QIO33" s="98"/>
      <c r="QIP33" s="98"/>
      <c r="QIQ33" s="98"/>
      <c r="QIR33" s="98"/>
      <c r="QIS33" s="98"/>
      <c r="QIT33" s="98"/>
      <c r="QIU33" s="98"/>
      <c r="QIV33" s="98"/>
      <c r="QIW33" s="98"/>
      <c r="QIX33" s="98"/>
      <c r="QIY33" s="98"/>
      <c r="QIZ33" s="98"/>
      <c r="QJA33" s="98"/>
      <c r="QJB33" s="98"/>
      <c r="QJC33" s="98"/>
      <c r="QJD33" s="98"/>
      <c r="QJE33" s="98"/>
      <c r="QJF33" s="98"/>
      <c r="QJG33" s="98"/>
      <c r="QJH33" s="98"/>
      <c r="QJI33" s="98"/>
      <c r="QJJ33" s="98"/>
      <c r="QJK33" s="98"/>
      <c r="QJL33" s="98"/>
      <c r="QJM33" s="98"/>
      <c r="QJN33" s="98"/>
      <c r="QJO33" s="98"/>
      <c r="QJP33" s="98"/>
      <c r="QJQ33" s="98"/>
      <c r="QJR33" s="98"/>
      <c r="QJS33" s="98"/>
      <c r="QJT33" s="98"/>
      <c r="QJU33" s="98"/>
      <c r="QJV33" s="98"/>
      <c r="QJW33" s="98"/>
      <c r="QJX33" s="98"/>
      <c r="QJY33" s="98"/>
      <c r="QJZ33" s="98"/>
      <c r="QKA33" s="98"/>
      <c r="QKB33" s="98"/>
      <c r="QKC33" s="98"/>
      <c r="QKD33" s="98"/>
      <c r="QKE33" s="98"/>
      <c r="QKF33" s="98"/>
      <c r="QKG33" s="98"/>
      <c r="QKH33" s="98"/>
      <c r="QKI33" s="98"/>
      <c r="QKJ33" s="98"/>
      <c r="QKK33" s="98"/>
      <c r="QKL33" s="98"/>
      <c r="QKM33" s="98"/>
      <c r="QKN33" s="98"/>
      <c r="QKO33" s="98"/>
      <c r="QKP33" s="98"/>
      <c r="QKQ33" s="98"/>
      <c r="QKR33" s="98"/>
      <c r="QKS33" s="98"/>
      <c r="QKT33" s="98"/>
      <c r="QKU33" s="98"/>
      <c r="QKV33" s="98"/>
      <c r="QKW33" s="98"/>
      <c r="QKX33" s="98"/>
      <c r="QKY33" s="98"/>
      <c r="QKZ33" s="98"/>
      <c r="QLA33" s="98"/>
      <c r="QLB33" s="98"/>
      <c r="QLC33" s="98"/>
      <c r="QLD33" s="98"/>
      <c r="QLE33" s="98"/>
      <c r="QLF33" s="98"/>
      <c r="QLG33" s="98"/>
      <c r="QLH33" s="98"/>
      <c r="QLI33" s="98"/>
      <c r="QLJ33" s="98"/>
      <c r="QLK33" s="98"/>
      <c r="QLL33" s="98"/>
      <c r="QLM33" s="98"/>
      <c r="QLN33" s="98"/>
      <c r="QLO33" s="98"/>
      <c r="QLP33" s="98"/>
      <c r="QLQ33" s="98"/>
      <c r="QLR33" s="98"/>
      <c r="QLS33" s="98"/>
      <c r="QLT33" s="98"/>
      <c r="QLU33" s="98"/>
      <c r="QLV33" s="98"/>
      <c r="QLW33" s="98"/>
      <c r="QLX33" s="98"/>
      <c r="QLY33" s="98"/>
      <c r="QLZ33" s="98"/>
      <c r="QMA33" s="98"/>
      <c r="QMB33" s="98"/>
      <c r="QMC33" s="98"/>
      <c r="QMD33" s="98"/>
      <c r="QME33" s="98"/>
      <c r="QMF33" s="98"/>
      <c r="QMG33" s="98"/>
      <c r="QMH33" s="98"/>
      <c r="QMI33" s="98"/>
      <c r="QMJ33" s="98"/>
      <c r="QMK33" s="98"/>
      <c r="QML33" s="98"/>
      <c r="QMM33" s="98"/>
      <c r="QMN33" s="98"/>
      <c r="QMO33" s="98"/>
      <c r="QMP33" s="98"/>
      <c r="QMQ33" s="98"/>
      <c r="QMR33" s="98"/>
      <c r="QMS33" s="98"/>
      <c r="QMT33" s="98"/>
      <c r="QMU33" s="98"/>
      <c r="QMV33" s="98"/>
      <c r="QMW33" s="98"/>
      <c r="QMX33" s="98"/>
      <c r="QMY33" s="98"/>
      <c r="QMZ33" s="98"/>
      <c r="QNA33" s="98"/>
      <c r="QNB33" s="98"/>
      <c r="QNC33" s="98"/>
      <c r="QND33" s="98"/>
      <c r="QNE33" s="98"/>
      <c r="QNF33" s="98"/>
      <c r="QNG33" s="98"/>
      <c r="QNH33" s="98"/>
      <c r="QNI33" s="98"/>
      <c r="QNJ33" s="98"/>
      <c r="QNK33" s="98"/>
      <c r="QNL33" s="98"/>
      <c r="QNM33" s="98"/>
      <c r="QNN33" s="98"/>
      <c r="QNO33" s="98"/>
      <c r="QNP33" s="98"/>
      <c r="QNQ33" s="98"/>
      <c r="QNR33" s="98"/>
      <c r="QNS33" s="98"/>
      <c r="QNT33" s="98"/>
      <c r="QNU33" s="98"/>
      <c r="QNV33" s="98"/>
      <c r="QNW33" s="98"/>
      <c r="QNX33" s="98"/>
      <c r="QNY33" s="98"/>
      <c r="QNZ33" s="98"/>
      <c r="QOA33" s="98"/>
      <c r="QOB33" s="98"/>
      <c r="QOC33" s="98"/>
      <c r="QOD33" s="98"/>
      <c r="QOE33" s="98"/>
      <c r="QOF33" s="98"/>
      <c r="QOG33" s="98"/>
      <c r="QOH33" s="98"/>
      <c r="QOI33" s="98"/>
      <c r="QOJ33" s="98"/>
      <c r="QOK33" s="98"/>
      <c r="QOL33" s="98"/>
      <c r="QOM33" s="98"/>
      <c r="QON33" s="98"/>
      <c r="QOO33" s="98"/>
      <c r="QOP33" s="98"/>
      <c r="QOQ33" s="98"/>
      <c r="QOR33" s="98"/>
      <c r="QOS33" s="98"/>
      <c r="QOT33" s="98"/>
      <c r="QOU33" s="98"/>
      <c r="QOV33" s="98"/>
      <c r="QOW33" s="98"/>
      <c r="QOX33" s="98"/>
      <c r="QOY33" s="98"/>
      <c r="QOZ33" s="98"/>
      <c r="QPA33" s="98"/>
      <c r="QPB33" s="98"/>
      <c r="QPC33" s="98"/>
      <c r="QPD33" s="98"/>
      <c r="QPE33" s="98"/>
      <c r="QPF33" s="98"/>
      <c r="QPG33" s="98"/>
      <c r="QPH33" s="98"/>
      <c r="QPI33" s="98"/>
      <c r="QPJ33" s="98"/>
      <c r="QPK33" s="98"/>
      <c r="QPL33" s="98"/>
      <c r="QPM33" s="98"/>
      <c r="QPN33" s="98"/>
      <c r="QPO33" s="98"/>
      <c r="QPP33" s="98"/>
      <c r="QPQ33" s="98"/>
      <c r="QPR33" s="98"/>
      <c r="QPS33" s="98"/>
      <c r="QPT33" s="98"/>
      <c r="QPU33" s="98"/>
      <c r="QPV33" s="98"/>
      <c r="QPW33" s="98"/>
      <c r="QPX33" s="98"/>
      <c r="QPY33" s="98"/>
      <c r="QPZ33" s="98"/>
      <c r="QQA33" s="98"/>
      <c r="QQB33" s="98"/>
      <c r="QQC33" s="98"/>
      <c r="QQD33" s="98"/>
      <c r="QQE33" s="98"/>
      <c r="QQF33" s="98"/>
      <c r="QQG33" s="98"/>
      <c r="QQH33" s="98"/>
      <c r="QQI33" s="98"/>
      <c r="QQJ33" s="98"/>
      <c r="QQK33" s="98"/>
      <c r="QQL33" s="98"/>
      <c r="QQM33" s="98"/>
      <c r="QQN33" s="98"/>
      <c r="QQO33" s="98"/>
      <c r="QQP33" s="98"/>
      <c r="QQQ33" s="98"/>
      <c r="QQR33" s="98"/>
      <c r="QQS33" s="98"/>
      <c r="QQT33" s="98"/>
      <c r="QQU33" s="98"/>
      <c r="QQV33" s="98"/>
      <c r="QQW33" s="98"/>
      <c r="QQX33" s="98"/>
      <c r="QQY33" s="98"/>
      <c r="QQZ33" s="98"/>
      <c r="QRA33" s="98"/>
      <c r="QRB33" s="98"/>
      <c r="QRC33" s="98"/>
      <c r="QRD33" s="98"/>
      <c r="QRE33" s="98"/>
      <c r="QRF33" s="98"/>
      <c r="QRG33" s="98"/>
      <c r="QRH33" s="98"/>
      <c r="QRI33" s="98"/>
      <c r="QRJ33" s="98"/>
      <c r="QRK33" s="98"/>
      <c r="QRL33" s="98"/>
      <c r="QRM33" s="98"/>
      <c r="QRN33" s="98"/>
      <c r="QRO33" s="98"/>
      <c r="QRP33" s="98"/>
      <c r="QRQ33" s="98"/>
      <c r="QRR33" s="98"/>
      <c r="QRS33" s="98"/>
      <c r="QRT33" s="98"/>
      <c r="QRU33" s="98"/>
      <c r="QRV33" s="98"/>
      <c r="QRW33" s="98"/>
      <c r="QRX33" s="98"/>
      <c r="QRY33" s="98"/>
      <c r="QRZ33" s="98"/>
      <c r="QSA33" s="98"/>
      <c r="QSB33" s="98"/>
      <c r="QSC33" s="98"/>
      <c r="QSD33" s="98"/>
      <c r="QSE33" s="98"/>
      <c r="QSF33" s="98"/>
      <c r="QSG33" s="98"/>
      <c r="QSH33" s="98"/>
      <c r="QSI33" s="98"/>
      <c r="QSJ33" s="98"/>
      <c r="QSK33" s="98"/>
      <c r="QSL33" s="98"/>
      <c r="QSM33" s="98"/>
      <c r="QSN33" s="98"/>
      <c r="QSO33" s="98"/>
      <c r="QSP33" s="98"/>
      <c r="QSQ33" s="98"/>
      <c r="QSR33" s="98"/>
      <c r="QSS33" s="98"/>
      <c r="QST33" s="98"/>
      <c r="QSU33" s="98"/>
      <c r="QSV33" s="98"/>
      <c r="QSW33" s="98"/>
      <c r="QSX33" s="98"/>
      <c r="QSY33" s="98"/>
      <c r="QSZ33" s="98"/>
      <c r="QTA33" s="98"/>
      <c r="QTB33" s="98"/>
      <c r="QTC33" s="98"/>
      <c r="QTD33" s="98"/>
      <c r="QTE33" s="98"/>
      <c r="QTF33" s="98"/>
      <c r="QTG33" s="98"/>
      <c r="QTH33" s="98"/>
      <c r="QTI33" s="98"/>
      <c r="QTJ33" s="98"/>
      <c r="QTK33" s="98"/>
      <c r="QTL33" s="98"/>
      <c r="QTM33" s="98"/>
      <c r="QTN33" s="98"/>
      <c r="QTO33" s="98"/>
      <c r="QTP33" s="98"/>
      <c r="QTQ33" s="98"/>
      <c r="QTR33" s="98"/>
      <c r="QTS33" s="98"/>
      <c r="QTT33" s="98"/>
      <c r="QTU33" s="98"/>
      <c r="QTV33" s="98"/>
      <c r="QTW33" s="98"/>
      <c r="QTX33" s="98"/>
      <c r="QTY33" s="98"/>
      <c r="QTZ33" s="98"/>
      <c r="QUA33" s="98"/>
      <c r="QUB33" s="98"/>
      <c r="QUC33" s="98"/>
      <c r="QUD33" s="98"/>
      <c r="QUE33" s="98"/>
      <c r="QUF33" s="98"/>
      <c r="QUG33" s="98"/>
      <c r="QUH33" s="98"/>
      <c r="QUI33" s="98"/>
      <c r="QUJ33" s="98"/>
      <c r="QUK33" s="98"/>
      <c r="QUL33" s="98"/>
      <c r="QUM33" s="98"/>
      <c r="QUN33" s="98"/>
      <c r="QUO33" s="98"/>
      <c r="QUP33" s="98"/>
      <c r="QUQ33" s="98"/>
      <c r="QUR33" s="98"/>
      <c r="QUS33" s="98"/>
      <c r="QUT33" s="98"/>
      <c r="QUU33" s="98"/>
      <c r="QUV33" s="98"/>
      <c r="QUW33" s="98"/>
      <c r="QUX33" s="98"/>
      <c r="QUY33" s="98"/>
      <c r="QUZ33" s="98"/>
      <c r="QVA33" s="98"/>
      <c r="QVB33" s="98"/>
      <c r="QVC33" s="98"/>
      <c r="QVD33" s="98"/>
      <c r="QVE33" s="98"/>
      <c r="QVF33" s="98"/>
      <c r="QVG33" s="98"/>
      <c r="QVH33" s="98"/>
      <c r="QVI33" s="98"/>
      <c r="QVJ33" s="98"/>
      <c r="QVK33" s="98"/>
      <c r="QVL33" s="98"/>
      <c r="QVM33" s="98"/>
      <c r="QVN33" s="98"/>
      <c r="QVO33" s="98"/>
      <c r="QVP33" s="98"/>
      <c r="QVQ33" s="98"/>
      <c r="QVR33" s="98"/>
      <c r="QVS33" s="98"/>
      <c r="QVT33" s="98"/>
      <c r="QVU33" s="98"/>
      <c r="QVV33" s="98"/>
      <c r="QVW33" s="98"/>
      <c r="QVX33" s="98"/>
      <c r="QVY33" s="98"/>
      <c r="QVZ33" s="98"/>
      <c r="QWA33" s="98"/>
      <c r="QWB33" s="98"/>
      <c r="QWC33" s="98"/>
      <c r="QWD33" s="98"/>
      <c r="QWE33" s="98"/>
      <c r="QWF33" s="98"/>
      <c r="QWG33" s="98"/>
      <c r="QWH33" s="98"/>
      <c r="QWI33" s="98"/>
      <c r="QWJ33" s="98"/>
      <c r="QWK33" s="98"/>
      <c r="QWL33" s="98"/>
      <c r="QWM33" s="98"/>
      <c r="QWN33" s="98"/>
      <c r="QWO33" s="98"/>
      <c r="QWP33" s="98"/>
      <c r="QWQ33" s="98"/>
      <c r="QWR33" s="98"/>
      <c r="QWS33" s="98"/>
      <c r="QWT33" s="98"/>
      <c r="QWU33" s="98"/>
      <c r="QWV33" s="98"/>
      <c r="QWW33" s="98"/>
      <c r="QWX33" s="98"/>
      <c r="QWY33" s="98"/>
      <c r="QWZ33" s="98"/>
      <c r="QXA33" s="98"/>
      <c r="QXB33" s="98"/>
      <c r="QXC33" s="98"/>
      <c r="QXD33" s="98"/>
      <c r="QXE33" s="98"/>
      <c r="QXF33" s="98"/>
      <c r="QXG33" s="98"/>
      <c r="QXH33" s="98"/>
      <c r="QXI33" s="98"/>
      <c r="QXJ33" s="98"/>
      <c r="QXK33" s="98"/>
      <c r="QXL33" s="98"/>
      <c r="QXM33" s="98"/>
      <c r="QXN33" s="98"/>
      <c r="QXO33" s="98"/>
      <c r="QXP33" s="98"/>
      <c r="QXQ33" s="98"/>
      <c r="QXR33" s="98"/>
      <c r="QXS33" s="98"/>
      <c r="QXT33" s="98"/>
      <c r="QXU33" s="98"/>
      <c r="QXV33" s="98"/>
      <c r="QXW33" s="98"/>
      <c r="QXX33" s="98"/>
      <c r="QXY33" s="98"/>
      <c r="QXZ33" s="98"/>
      <c r="QYA33" s="98"/>
      <c r="QYB33" s="98"/>
      <c r="QYC33" s="98"/>
      <c r="QYD33" s="98"/>
      <c r="QYE33" s="98"/>
      <c r="QYF33" s="98"/>
      <c r="QYG33" s="98"/>
      <c r="QYH33" s="98"/>
      <c r="QYI33" s="98"/>
      <c r="QYJ33" s="98"/>
      <c r="QYK33" s="98"/>
      <c r="QYL33" s="98"/>
      <c r="QYM33" s="98"/>
      <c r="QYN33" s="98"/>
      <c r="QYO33" s="98"/>
      <c r="QYP33" s="98"/>
      <c r="QYQ33" s="98"/>
      <c r="QYR33" s="98"/>
      <c r="QYS33" s="98"/>
      <c r="QYT33" s="98"/>
      <c r="QYU33" s="98"/>
      <c r="QYV33" s="98"/>
      <c r="QYW33" s="98"/>
      <c r="QYX33" s="98"/>
      <c r="QYY33" s="98"/>
      <c r="QYZ33" s="98"/>
      <c r="QZA33" s="98"/>
      <c r="QZB33" s="98"/>
      <c r="QZC33" s="98"/>
      <c r="QZD33" s="98"/>
      <c r="QZE33" s="98"/>
      <c r="QZF33" s="98"/>
      <c r="QZG33" s="98"/>
      <c r="QZH33" s="98"/>
      <c r="QZI33" s="98"/>
      <c r="QZJ33" s="98"/>
      <c r="QZK33" s="98"/>
      <c r="QZL33" s="98"/>
      <c r="QZM33" s="98"/>
      <c r="QZN33" s="98"/>
      <c r="QZO33" s="98"/>
      <c r="QZP33" s="98"/>
      <c r="QZQ33" s="98"/>
      <c r="QZR33" s="98"/>
      <c r="QZS33" s="98"/>
      <c r="QZT33" s="98"/>
      <c r="QZU33" s="98"/>
      <c r="QZV33" s="98"/>
      <c r="QZW33" s="98"/>
      <c r="QZX33" s="98"/>
      <c r="QZY33" s="98"/>
      <c r="QZZ33" s="98"/>
      <c r="RAA33" s="98"/>
      <c r="RAB33" s="98"/>
      <c r="RAC33" s="98"/>
      <c r="RAD33" s="98"/>
      <c r="RAE33" s="98"/>
      <c r="RAF33" s="98"/>
      <c r="RAG33" s="98"/>
      <c r="RAH33" s="98"/>
      <c r="RAI33" s="98"/>
      <c r="RAJ33" s="98"/>
      <c r="RAK33" s="98"/>
      <c r="RAL33" s="98"/>
      <c r="RAM33" s="98"/>
      <c r="RAN33" s="98"/>
      <c r="RAO33" s="98"/>
      <c r="RAP33" s="98"/>
      <c r="RAQ33" s="98"/>
      <c r="RAR33" s="98"/>
      <c r="RAS33" s="98"/>
      <c r="RAT33" s="98"/>
      <c r="RAU33" s="98"/>
      <c r="RAV33" s="98"/>
      <c r="RAW33" s="98"/>
      <c r="RAX33" s="98"/>
      <c r="RAY33" s="98"/>
      <c r="RAZ33" s="98"/>
      <c r="RBA33" s="98"/>
      <c r="RBB33" s="98"/>
      <c r="RBC33" s="98"/>
      <c r="RBD33" s="98"/>
      <c r="RBE33" s="98"/>
      <c r="RBF33" s="98"/>
      <c r="RBG33" s="98"/>
      <c r="RBH33" s="98"/>
      <c r="RBI33" s="98"/>
      <c r="RBJ33" s="98"/>
      <c r="RBK33" s="98"/>
      <c r="RBL33" s="98"/>
      <c r="RBM33" s="98"/>
      <c r="RBN33" s="98"/>
      <c r="RBO33" s="98"/>
      <c r="RBP33" s="98"/>
      <c r="RBQ33" s="98"/>
      <c r="RBR33" s="98"/>
      <c r="RBS33" s="98"/>
      <c r="RBT33" s="98"/>
      <c r="RBU33" s="98"/>
      <c r="RBV33" s="98"/>
      <c r="RBW33" s="98"/>
      <c r="RBX33" s="98"/>
      <c r="RBY33" s="98"/>
      <c r="RBZ33" s="98"/>
      <c r="RCA33" s="98"/>
      <c r="RCB33" s="98"/>
      <c r="RCC33" s="98"/>
      <c r="RCD33" s="98"/>
      <c r="RCE33" s="98"/>
      <c r="RCF33" s="98"/>
      <c r="RCG33" s="98"/>
      <c r="RCH33" s="98"/>
      <c r="RCI33" s="98"/>
      <c r="RCJ33" s="98"/>
      <c r="RCK33" s="98"/>
      <c r="RCL33" s="98"/>
      <c r="RCM33" s="98"/>
      <c r="RCN33" s="98"/>
      <c r="RCO33" s="98"/>
      <c r="RCP33" s="98"/>
      <c r="RCQ33" s="98"/>
      <c r="RCR33" s="98"/>
      <c r="RCS33" s="98"/>
      <c r="RCT33" s="98"/>
      <c r="RCU33" s="98"/>
      <c r="RCV33" s="98"/>
      <c r="RCW33" s="98"/>
      <c r="RCX33" s="98"/>
      <c r="RCY33" s="98"/>
      <c r="RCZ33" s="98"/>
      <c r="RDA33" s="98"/>
      <c r="RDB33" s="98"/>
      <c r="RDC33" s="98"/>
      <c r="RDD33" s="98"/>
      <c r="RDE33" s="98"/>
      <c r="RDF33" s="98"/>
      <c r="RDG33" s="98"/>
      <c r="RDH33" s="98"/>
      <c r="RDI33" s="98"/>
      <c r="RDJ33" s="98"/>
      <c r="RDK33" s="98"/>
      <c r="RDL33" s="98"/>
      <c r="RDM33" s="98"/>
      <c r="RDN33" s="98"/>
      <c r="RDO33" s="98"/>
      <c r="RDP33" s="98"/>
      <c r="RDQ33" s="98"/>
      <c r="RDR33" s="98"/>
      <c r="RDS33" s="98"/>
      <c r="RDT33" s="98"/>
      <c r="RDU33" s="98"/>
      <c r="RDV33" s="98"/>
      <c r="RDW33" s="98"/>
      <c r="RDX33" s="98"/>
      <c r="RDY33" s="98"/>
      <c r="RDZ33" s="98"/>
      <c r="REA33" s="98"/>
      <c r="REB33" s="98"/>
      <c r="REC33" s="98"/>
      <c r="RED33" s="98"/>
      <c r="REE33" s="98"/>
      <c r="REF33" s="98"/>
      <c r="REG33" s="98"/>
      <c r="REH33" s="98"/>
      <c r="REI33" s="98"/>
      <c r="REJ33" s="98"/>
      <c r="REK33" s="98"/>
      <c r="REL33" s="98"/>
      <c r="REM33" s="98"/>
      <c r="REN33" s="98"/>
      <c r="REO33" s="98"/>
      <c r="REP33" s="98"/>
      <c r="REQ33" s="98"/>
      <c r="RER33" s="98"/>
      <c r="RES33" s="98"/>
      <c r="RET33" s="98"/>
      <c r="REU33" s="98"/>
      <c r="REV33" s="98"/>
      <c r="REW33" s="98"/>
      <c r="REX33" s="98"/>
      <c r="REY33" s="98"/>
      <c r="REZ33" s="98"/>
      <c r="RFA33" s="98"/>
      <c r="RFB33" s="98"/>
      <c r="RFC33" s="98"/>
      <c r="RFD33" s="98"/>
      <c r="RFE33" s="98"/>
      <c r="RFF33" s="98"/>
      <c r="RFG33" s="98"/>
      <c r="RFH33" s="98"/>
      <c r="RFI33" s="98"/>
      <c r="RFJ33" s="98"/>
      <c r="RFK33" s="98"/>
      <c r="RFL33" s="98"/>
      <c r="RFM33" s="98"/>
      <c r="RFN33" s="98"/>
      <c r="RFO33" s="98"/>
      <c r="RFP33" s="98"/>
      <c r="RFQ33" s="98"/>
      <c r="RFR33" s="98"/>
      <c r="RFS33" s="98"/>
      <c r="RFT33" s="98"/>
      <c r="RFU33" s="98"/>
      <c r="RFV33" s="98"/>
      <c r="RFW33" s="98"/>
      <c r="RFX33" s="98"/>
      <c r="RFY33" s="98"/>
      <c r="RFZ33" s="98"/>
      <c r="RGA33" s="98"/>
      <c r="RGB33" s="98"/>
      <c r="RGC33" s="98"/>
      <c r="RGD33" s="98"/>
      <c r="RGE33" s="98"/>
      <c r="RGF33" s="98"/>
      <c r="RGG33" s="98"/>
      <c r="RGH33" s="98"/>
      <c r="RGI33" s="98"/>
      <c r="RGJ33" s="98"/>
      <c r="RGK33" s="98"/>
      <c r="RGL33" s="98"/>
      <c r="RGM33" s="98"/>
      <c r="RGN33" s="98"/>
      <c r="RGO33" s="98"/>
      <c r="RGP33" s="98"/>
      <c r="RGQ33" s="98"/>
      <c r="RGR33" s="98"/>
      <c r="RGS33" s="98"/>
      <c r="RGT33" s="98"/>
      <c r="RGU33" s="98"/>
      <c r="RGV33" s="98"/>
      <c r="RGW33" s="98"/>
      <c r="RGX33" s="98"/>
      <c r="RGY33" s="98"/>
      <c r="RGZ33" s="98"/>
      <c r="RHA33" s="98"/>
      <c r="RHB33" s="98"/>
      <c r="RHC33" s="98"/>
      <c r="RHD33" s="98"/>
      <c r="RHE33" s="98"/>
      <c r="RHF33" s="98"/>
      <c r="RHG33" s="98"/>
      <c r="RHH33" s="98"/>
      <c r="RHI33" s="98"/>
      <c r="RHJ33" s="98"/>
      <c r="RHK33" s="98"/>
      <c r="RHL33" s="98"/>
      <c r="RHM33" s="98"/>
      <c r="RHN33" s="98"/>
      <c r="RHO33" s="98"/>
      <c r="RHP33" s="98"/>
      <c r="RHQ33" s="98"/>
      <c r="RHR33" s="98"/>
      <c r="RHS33" s="98"/>
      <c r="RHT33" s="98"/>
      <c r="RHU33" s="98"/>
      <c r="RHV33" s="98"/>
      <c r="RHW33" s="98"/>
      <c r="RHX33" s="98"/>
      <c r="RHY33" s="98"/>
      <c r="RHZ33" s="98"/>
      <c r="RIA33" s="98"/>
      <c r="RIB33" s="98"/>
      <c r="RIC33" s="98"/>
      <c r="RID33" s="98"/>
      <c r="RIE33" s="98"/>
      <c r="RIF33" s="98"/>
      <c r="RIG33" s="98"/>
      <c r="RIH33" s="98"/>
      <c r="RII33" s="98"/>
      <c r="RIJ33" s="98"/>
      <c r="RIK33" s="98"/>
      <c r="RIL33" s="98"/>
      <c r="RIM33" s="98"/>
      <c r="RIN33" s="98"/>
      <c r="RIO33" s="98"/>
      <c r="RIP33" s="98"/>
      <c r="RIQ33" s="98"/>
      <c r="RIR33" s="98"/>
      <c r="RIS33" s="98"/>
      <c r="RIT33" s="98"/>
      <c r="RIU33" s="98"/>
      <c r="RIV33" s="98"/>
      <c r="RIW33" s="98"/>
      <c r="RIX33" s="98"/>
      <c r="RIY33" s="98"/>
      <c r="RIZ33" s="98"/>
      <c r="RJA33" s="98"/>
      <c r="RJB33" s="98"/>
      <c r="RJC33" s="98"/>
      <c r="RJD33" s="98"/>
      <c r="RJE33" s="98"/>
      <c r="RJF33" s="98"/>
      <c r="RJG33" s="98"/>
      <c r="RJH33" s="98"/>
      <c r="RJI33" s="98"/>
      <c r="RJJ33" s="98"/>
      <c r="RJK33" s="98"/>
      <c r="RJL33" s="98"/>
      <c r="RJM33" s="98"/>
      <c r="RJN33" s="98"/>
      <c r="RJO33" s="98"/>
      <c r="RJP33" s="98"/>
      <c r="RJQ33" s="98"/>
      <c r="RJR33" s="98"/>
      <c r="RJS33" s="98"/>
      <c r="RJT33" s="98"/>
      <c r="RJU33" s="98"/>
      <c r="RJV33" s="98"/>
      <c r="RJW33" s="98"/>
      <c r="RJX33" s="98"/>
      <c r="RJY33" s="98"/>
      <c r="RJZ33" s="98"/>
      <c r="RKA33" s="98"/>
      <c r="RKB33" s="98"/>
      <c r="RKC33" s="98"/>
      <c r="RKD33" s="98"/>
      <c r="RKE33" s="98"/>
      <c r="RKF33" s="98"/>
      <c r="RKG33" s="98"/>
      <c r="RKH33" s="98"/>
      <c r="RKI33" s="98"/>
      <c r="RKJ33" s="98"/>
      <c r="RKK33" s="98"/>
      <c r="RKL33" s="98"/>
      <c r="RKM33" s="98"/>
      <c r="RKN33" s="98"/>
      <c r="RKO33" s="98"/>
      <c r="RKP33" s="98"/>
      <c r="RKQ33" s="98"/>
      <c r="RKR33" s="98"/>
      <c r="RKS33" s="98"/>
      <c r="RKT33" s="98"/>
      <c r="RKU33" s="98"/>
      <c r="RKV33" s="98"/>
      <c r="RKW33" s="98"/>
      <c r="RKX33" s="98"/>
      <c r="RKY33" s="98"/>
      <c r="RKZ33" s="98"/>
      <c r="RLA33" s="98"/>
      <c r="RLB33" s="98"/>
      <c r="RLC33" s="98"/>
      <c r="RLD33" s="98"/>
      <c r="RLE33" s="98"/>
      <c r="RLF33" s="98"/>
      <c r="RLG33" s="98"/>
      <c r="RLH33" s="98"/>
      <c r="RLI33" s="98"/>
      <c r="RLJ33" s="98"/>
      <c r="RLK33" s="98"/>
      <c r="RLL33" s="98"/>
      <c r="RLM33" s="98"/>
      <c r="RLN33" s="98"/>
      <c r="RLO33" s="98"/>
      <c r="RLP33" s="98"/>
      <c r="RLQ33" s="98"/>
      <c r="RLR33" s="98"/>
      <c r="RLS33" s="98"/>
      <c r="RLT33" s="98"/>
      <c r="RLU33" s="98"/>
      <c r="RLV33" s="98"/>
      <c r="RLW33" s="98"/>
      <c r="RLX33" s="98"/>
      <c r="RLY33" s="98"/>
      <c r="RLZ33" s="98"/>
      <c r="RMA33" s="98"/>
      <c r="RMB33" s="98"/>
      <c r="RMC33" s="98"/>
      <c r="RMD33" s="98"/>
      <c r="RME33" s="98"/>
      <c r="RMF33" s="98"/>
      <c r="RMG33" s="98"/>
      <c r="RMH33" s="98"/>
      <c r="RMI33" s="98"/>
      <c r="RMJ33" s="98"/>
      <c r="RMK33" s="98"/>
      <c r="RML33" s="98"/>
      <c r="RMM33" s="98"/>
      <c r="RMN33" s="98"/>
      <c r="RMO33" s="98"/>
      <c r="RMP33" s="98"/>
      <c r="RMQ33" s="98"/>
      <c r="RMR33" s="98"/>
      <c r="RMS33" s="98"/>
      <c r="RMT33" s="98"/>
      <c r="RMU33" s="98"/>
      <c r="RMV33" s="98"/>
      <c r="RMW33" s="98"/>
      <c r="RMX33" s="98"/>
      <c r="RMY33" s="98"/>
      <c r="RMZ33" s="98"/>
      <c r="RNA33" s="98"/>
      <c r="RNB33" s="98"/>
      <c r="RNC33" s="98"/>
      <c r="RND33" s="98"/>
      <c r="RNE33" s="98"/>
      <c r="RNF33" s="98"/>
      <c r="RNG33" s="98"/>
      <c r="RNH33" s="98"/>
      <c r="RNI33" s="98"/>
      <c r="RNJ33" s="98"/>
      <c r="RNK33" s="98"/>
      <c r="RNL33" s="98"/>
      <c r="RNM33" s="98"/>
      <c r="RNN33" s="98"/>
      <c r="RNO33" s="98"/>
      <c r="RNP33" s="98"/>
      <c r="RNQ33" s="98"/>
      <c r="RNR33" s="98"/>
      <c r="RNS33" s="98"/>
      <c r="RNT33" s="98"/>
      <c r="RNU33" s="98"/>
      <c r="RNV33" s="98"/>
      <c r="RNW33" s="98"/>
      <c r="RNX33" s="98"/>
      <c r="RNY33" s="98"/>
      <c r="RNZ33" s="98"/>
      <c r="ROA33" s="98"/>
      <c r="ROB33" s="98"/>
      <c r="ROC33" s="98"/>
      <c r="ROD33" s="98"/>
      <c r="ROE33" s="98"/>
      <c r="ROF33" s="98"/>
      <c r="ROG33" s="98"/>
      <c r="ROH33" s="98"/>
      <c r="ROI33" s="98"/>
      <c r="ROJ33" s="98"/>
      <c r="ROK33" s="98"/>
      <c r="ROL33" s="98"/>
      <c r="ROM33" s="98"/>
      <c r="RON33" s="98"/>
      <c r="ROO33" s="98"/>
      <c r="ROP33" s="98"/>
      <c r="ROQ33" s="98"/>
      <c r="ROR33" s="98"/>
      <c r="ROS33" s="98"/>
      <c r="ROT33" s="98"/>
      <c r="ROU33" s="98"/>
      <c r="ROV33" s="98"/>
      <c r="ROW33" s="98"/>
      <c r="ROX33" s="98"/>
      <c r="ROY33" s="98"/>
      <c r="ROZ33" s="98"/>
      <c r="RPA33" s="98"/>
      <c r="RPB33" s="98"/>
      <c r="RPC33" s="98"/>
      <c r="RPD33" s="98"/>
      <c r="RPE33" s="98"/>
      <c r="RPF33" s="98"/>
      <c r="RPG33" s="98"/>
      <c r="RPH33" s="98"/>
      <c r="RPI33" s="98"/>
      <c r="RPJ33" s="98"/>
      <c r="RPK33" s="98"/>
      <c r="RPL33" s="98"/>
      <c r="RPM33" s="98"/>
      <c r="RPN33" s="98"/>
      <c r="RPO33" s="98"/>
      <c r="RPP33" s="98"/>
      <c r="RPQ33" s="98"/>
      <c r="RPR33" s="98"/>
      <c r="RPS33" s="98"/>
      <c r="RPT33" s="98"/>
      <c r="RPU33" s="98"/>
      <c r="RPV33" s="98"/>
      <c r="RPW33" s="98"/>
      <c r="RPX33" s="98"/>
      <c r="RPY33" s="98"/>
      <c r="RPZ33" s="98"/>
      <c r="RQA33" s="98"/>
      <c r="RQB33" s="98"/>
      <c r="RQC33" s="98"/>
      <c r="RQD33" s="98"/>
      <c r="RQE33" s="98"/>
      <c r="RQF33" s="98"/>
      <c r="RQG33" s="98"/>
      <c r="RQH33" s="98"/>
      <c r="RQI33" s="98"/>
      <c r="RQJ33" s="98"/>
      <c r="RQK33" s="98"/>
      <c r="RQL33" s="98"/>
      <c r="RQM33" s="98"/>
      <c r="RQN33" s="98"/>
      <c r="RQO33" s="98"/>
      <c r="RQP33" s="98"/>
      <c r="RQQ33" s="98"/>
      <c r="RQR33" s="98"/>
      <c r="RQS33" s="98"/>
      <c r="RQT33" s="98"/>
      <c r="RQU33" s="98"/>
      <c r="RQV33" s="98"/>
      <c r="RQW33" s="98"/>
      <c r="RQX33" s="98"/>
      <c r="RQY33" s="98"/>
      <c r="RQZ33" s="98"/>
      <c r="RRA33" s="98"/>
      <c r="RRB33" s="98"/>
      <c r="RRC33" s="98"/>
      <c r="RRD33" s="98"/>
      <c r="RRE33" s="98"/>
      <c r="RRF33" s="98"/>
      <c r="RRG33" s="98"/>
      <c r="RRH33" s="98"/>
      <c r="RRI33" s="98"/>
      <c r="RRJ33" s="98"/>
      <c r="RRK33" s="98"/>
      <c r="RRL33" s="98"/>
      <c r="RRM33" s="98"/>
      <c r="RRN33" s="98"/>
      <c r="RRO33" s="98"/>
      <c r="RRP33" s="98"/>
      <c r="RRQ33" s="98"/>
      <c r="RRR33" s="98"/>
      <c r="RRS33" s="98"/>
      <c r="RRT33" s="98"/>
      <c r="RRU33" s="98"/>
      <c r="RRV33" s="98"/>
      <c r="RRW33" s="98"/>
      <c r="RRX33" s="98"/>
      <c r="RRY33" s="98"/>
      <c r="RRZ33" s="98"/>
      <c r="RSA33" s="98"/>
      <c r="RSB33" s="98"/>
      <c r="RSC33" s="98"/>
      <c r="RSD33" s="98"/>
      <c r="RSE33" s="98"/>
      <c r="RSF33" s="98"/>
      <c r="RSG33" s="98"/>
      <c r="RSH33" s="98"/>
      <c r="RSI33" s="98"/>
      <c r="RSJ33" s="98"/>
      <c r="RSK33" s="98"/>
      <c r="RSL33" s="98"/>
      <c r="RSM33" s="98"/>
      <c r="RSN33" s="98"/>
      <c r="RSO33" s="98"/>
      <c r="RSP33" s="98"/>
      <c r="RSQ33" s="98"/>
      <c r="RSR33" s="98"/>
      <c r="RSS33" s="98"/>
      <c r="RST33" s="98"/>
      <c r="RSU33" s="98"/>
      <c r="RSV33" s="98"/>
      <c r="RSW33" s="98"/>
      <c r="RSX33" s="98"/>
      <c r="RSY33" s="98"/>
      <c r="RSZ33" s="98"/>
      <c r="RTA33" s="98"/>
      <c r="RTB33" s="98"/>
      <c r="RTC33" s="98"/>
      <c r="RTD33" s="98"/>
      <c r="RTE33" s="98"/>
      <c r="RTF33" s="98"/>
      <c r="RTG33" s="98"/>
      <c r="RTH33" s="98"/>
      <c r="RTI33" s="98"/>
      <c r="RTJ33" s="98"/>
      <c r="RTK33" s="98"/>
      <c r="RTL33" s="98"/>
      <c r="RTM33" s="98"/>
      <c r="RTN33" s="98"/>
      <c r="RTO33" s="98"/>
      <c r="RTP33" s="98"/>
      <c r="RTQ33" s="98"/>
      <c r="RTR33" s="98"/>
      <c r="RTS33" s="98"/>
      <c r="RTT33" s="98"/>
      <c r="RTU33" s="98"/>
      <c r="RTV33" s="98"/>
      <c r="RTW33" s="98"/>
      <c r="RTX33" s="98"/>
      <c r="RTY33" s="98"/>
      <c r="RTZ33" s="98"/>
      <c r="RUA33" s="98"/>
      <c r="RUB33" s="98"/>
      <c r="RUC33" s="98"/>
      <c r="RUD33" s="98"/>
      <c r="RUE33" s="98"/>
      <c r="RUF33" s="98"/>
      <c r="RUG33" s="98"/>
      <c r="RUH33" s="98"/>
      <c r="RUI33" s="98"/>
      <c r="RUJ33" s="98"/>
      <c r="RUK33" s="98"/>
      <c r="RUL33" s="98"/>
      <c r="RUM33" s="98"/>
      <c r="RUN33" s="98"/>
      <c r="RUO33" s="98"/>
      <c r="RUP33" s="98"/>
      <c r="RUQ33" s="98"/>
      <c r="RUR33" s="98"/>
      <c r="RUS33" s="98"/>
      <c r="RUT33" s="98"/>
      <c r="RUU33" s="98"/>
      <c r="RUV33" s="98"/>
      <c r="RUW33" s="98"/>
      <c r="RUX33" s="98"/>
      <c r="RUY33" s="98"/>
      <c r="RUZ33" s="98"/>
      <c r="RVA33" s="98"/>
      <c r="RVB33" s="98"/>
      <c r="RVC33" s="98"/>
      <c r="RVD33" s="98"/>
      <c r="RVE33" s="98"/>
      <c r="RVF33" s="98"/>
      <c r="RVG33" s="98"/>
      <c r="RVH33" s="98"/>
      <c r="RVI33" s="98"/>
      <c r="RVJ33" s="98"/>
      <c r="RVK33" s="98"/>
      <c r="RVL33" s="98"/>
      <c r="RVM33" s="98"/>
      <c r="RVN33" s="98"/>
      <c r="RVO33" s="98"/>
      <c r="RVP33" s="98"/>
      <c r="RVQ33" s="98"/>
      <c r="RVR33" s="98"/>
      <c r="RVS33" s="98"/>
      <c r="RVT33" s="98"/>
      <c r="RVU33" s="98"/>
      <c r="RVV33" s="98"/>
      <c r="RVW33" s="98"/>
      <c r="RVX33" s="98"/>
      <c r="RVY33" s="98"/>
      <c r="RVZ33" s="98"/>
      <c r="RWA33" s="98"/>
      <c r="RWB33" s="98"/>
      <c r="RWC33" s="98"/>
      <c r="RWD33" s="98"/>
      <c r="RWE33" s="98"/>
      <c r="RWF33" s="98"/>
      <c r="RWG33" s="98"/>
      <c r="RWH33" s="98"/>
      <c r="RWI33" s="98"/>
      <c r="RWJ33" s="98"/>
      <c r="RWK33" s="98"/>
      <c r="RWL33" s="98"/>
      <c r="RWM33" s="98"/>
      <c r="RWN33" s="98"/>
      <c r="RWO33" s="98"/>
      <c r="RWP33" s="98"/>
      <c r="RWQ33" s="98"/>
      <c r="RWR33" s="98"/>
      <c r="RWS33" s="98"/>
      <c r="RWT33" s="98"/>
      <c r="RWU33" s="98"/>
      <c r="RWV33" s="98"/>
      <c r="RWW33" s="98"/>
      <c r="RWX33" s="98"/>
      <c r="RWY33" s="98"/>
      <c r="RWZ33" s="98"/>
      <c r="RXA33" s="98"/>
      <c r="RXB33" s="98"/>
      <c r="RXC33" s="98"/>
      <c r="RXD33" s="98"/>
      <c r="RXE33" s="98"/>
      <c r="RXF33" s="98"/>
      <c r="RXG33" s="98"/>
      <c r="RXH33" s="98"/>
      <c r="RXI33" s="98"/>
      <c r="RXJ33" s="98"/>
      <c r="RXK33" s="98"/>
      <c r="RXL33" s="98"/>
      <c r="RXM33" s="98"/>
      <c r="RXN33" s="98"/>
      <c r="RXO33" s="98"/>
      <c r="RXP33" s="98"/>
      <c r="RXQ33" s="98"/>
      <c r="RXR33" s="98"/>
      <c r="RXS33" s="98"/>
      <c r="RXT33" s="98"/>
      <c r="RXU33" s="98"/>
      <c r="RXV33" s="98"/>
      <c r="RXW33" s="98"/>
      <c r="RXX33" s="98"/>
      <c r="RXY33" s="98"/>
      <c r="RXZ33" s="98"/>
      <c r="RYA33" s="98"/>
      <c r="RYB33" s="98"/>
      <c r="RYC33" s="98"/>
      <c r="RYD33" s="98"/>
      <c r="RYE33" s="98"/>
      <c r="RYF33" s="98"/>
      <c r="RYG33" s="98"/>
      <c r="RYH33" s="98"/>
      <c r="RYI33" s="98"/>
      <c r="RYJ33" s="98"/>
      <c r="RYK33" s="98"/>
      <c r="RYL33" s="98"/>
      <c r="RYM33" s="98"/>
      <c r="RYN33" s="98"/>
      <c r="RYO33" s="98"/>
      <c r="RYP33" s="98"/>
      <c r="RYQ33" s="98"/>
      <c r="RYR33" s="98"/>
      <c r="RYS33" s="98"/>
      <c r="RYT33" s="98"/>
      <c r="RYU33" s="98"/>
      <c r="RYV33" s="98"/>
      <c r="RYW33" s="98"/>
      <c r="RYX33" s="98"/>
      <c r="RYY33" s="98"/>
      <c r="RYZ33" s="98"/>
      <c r="RZA33" s="98"/>
      <c r="RZB33" s="98"/>
      <c r="RZC33" s="98"/>
      <c r="RZD33" s="98"/>
      <c r="RZE33" s="98"/>
      <c r="RZF33" s="98"/>
      <c r="RZG33" s="98"/>
      <c r="RZH33" s="98"/>
      <c r="RZI33" s="98"/>
      <c r="RZJ33" s="98"/>
      <c r="RZK33" s="98"/>
      <c r="RZL33" s="98"/>
      <c r="RZM33" s="98"/>
      <c r="RZN33" s="98"/>
      <c r="RZO33" s="98"/>
      <c r="RZP33" s="98"/>
      <c r="RZQ33" s="98"/>
      <c r="RZR33" s="98"/>
      <c r="RZS33" s="98"/>
      <c r="RZT33" s="98"/>
      <c r="RZU33" s="98"/>
      <c r="RZV33" s="98"/>
      <c r="RZW33" s="98"/>
      <c r="RZX33" s="98"/>
      <c r="RZY33" s="98"/>
      <c r="RZZ33" s="98"/>
      <c r="SAA33" s="98"/>
      <c r="SAB33" s="98"/>
      <c r="SAC33" s="98"/>
      <c r="SAD33" s="98"/>
      <c r="SAE33" s="98"/>
      <c r="SAF33" s="98"/>
      <c r="SAG33" s="98"/>
      <c r="SAH33" s="98"/>
      <c r="SAI33" s="98"/>
      <c r="SAJ33" s="98"/>
      <c r="SAK33" s="98"/>
      <c r="SAL33" s="98"/>
      <c r="SAM33" s="98"/>
      <c r="SAN33" s="98"/>
      <c r="SAO33" s="98"/>
      <c r="SAP33" s="98"/>
      <c r="SAQ33" s="98"/>
      <c r="SAR33" s="98"/>
      <c r="SAS33" s="98"/>
      <c r="SAT33" s="98"/>
      <c r="SAU33" s="98"/>
      <c r="SAV33" s="98"/>
      <c r="SAW33" s="98"/>
      <c r="SAX33" s="98"/>
      <c r="SAY33" s="98"/>
      <c r="SAZ33" s="98"/>
      <c r="SBA33" s="98"/>
      <c r="SBB33" s="98"/>
      <c r="SBC33" s="98"/>
      <c r="SBD33" s="98"/>
      <c r="SBE33" s="98"/>
      <c r="SBF33" s="98"/>
      <c r="SBG33" s="98"/>
      <c r="SBH33" s="98"/>
      <c r="SBI33" s="98"/>
      <c r="SBJ33" s="98"/>
      <c r="SBK33" s="98"/>
      <c r="SBL33" s="98"/>
      <c r="SBM33" s="98"/>
      <c r="SBN33" s="98"/>
      <c r="SBO33" s="98"/>
      <c r="SBP33" s="98"/>
      <c r="SBQ33" s="98"/>
      <c r="SBR33" s="98"/>
      <c r="SBS33" s="98"/>
      <c r="SBT33" s="98"/>
      <c r="SBU33" s="98"/>
      <c r="SBV33" s="98"/>
      <c r="SBW33" s="98"/>
      <c r="SBX33" s="98"/>
      <c r="SBY33" s="98"/>
      <c r="SBZ33" s="98"/>
      <c r="SCA33" s="98"/>
      <c r="SCB33" s="98"/>
      <c r="SCC33" s="98"/>
      <c r="SCD33" s="98"/>
      <c r="SCE33" s="98"/>
      <c r="SCF33" s="98"/>
      <c r="SCG33" s="98"/>
      <c r="SCH33" s="98"/>
      <c r="SCI33" s="98"/>
      <c r="SCJ33" s="98"/>
      <c r="SCK33" s="98"/>
      <c r="SCL33" s="98"/>
      <c r="SCM33" s="98"/>
      <c r="SCN33" s="98"/>
      <c r="SCO33" s="98"/>
      <c r="SCP33" s="98"/>
      <c r="SCQ33" s="98"/>
      <c r="SCR33" s="98"/>
      <c r="SCS33" s="98"/>
      <c r="SCT33" s="98"/>
      <c r="SCU33" s="98"/>
      <c r="SCV33" s="98"/>
      <c r="SCW33" s="98"/>
      <c r="SCX33" s="98"/>
      <c r="SCY33" s="98"/>
      <c r="SCZ33" s="98"/>
      <c r="SDA33" s="98"/>
      <c r="SDB33" s="98"/>
      <c r="SDC33" s="98"/>
      <c r="SDD33" s="98"/>
      <c r="SDE33" s="98"/>
      <c r="SDF33" s="98"/>
      <c r="SDG33" s="98"/>
      <c r="SDH33" s="98"/>
      <c r="SDI33" s="98"/>
      <c r="SDJ33" s="98"/>
      <c r="SDK33" s="98"/>
      <c r="SDL33" s="98"/>
      <c r="SDM33" s="98"/>
      <c r="SDN33" s="98"/>
      <c r="SDO33" s="98"/>
      <c r="SDP33" s="98"/>
      <c r="SDQ33" s="98"/>
      <c r="SDR33" s="98"/>
      <c r="SDS33" s="98"/>
      <c r="SDT33" s="98"/>
      <c r="SDU33" s="98"/>
      <c r="SDV33" s="98"/>
      <c r="SDW33" s="98"/>
      <c r="SDX33" s="98"/>
      <c r="SDY33" s="98"/>
      <c r="SDZ33" s="98"/>
      <c r="SEA33" s="98"/>
      <c r="SEB33" s="98"/>
      <c r="SEC33" s="98"/>
      <c r="SED33" s="98"/>
      <c r="SEE33" s="98"/>
      <c r="SEF33" s="98"/>
      <c r="SEG33" s="98"/>
      <c r="SEH33" s="98"/>
      <c r="SEI33" s="98"/>
      <c r="SEJ33" s="98"/>
      <c r="SEK33" s="98"/>
      <c r="SEL33" s="98"/>
      <c r="SEM33" s="98"/>
      <c r="SEN33" s="98"/>
      <c r="SEO33" s="98"/>
      <c r="SEP33" s="98"/>
      <c r="SEQ33" s="98"/>
      <c r="SER33" s="98"/>
      <c r="SES33" s="98"/>
      <c r="SET33" s="98"/>
      <c r="SEU33" s="98"/>
      <c r="SEV33" s="98"/>
      <c r="SEW33" s="98"/>
      <c r="SEX33" s="98"/>
      <c r="SEY33" s="98"/>
      <c r="SEZ33" s="98"/>
      <c r="SFA33" s="98"/>
      <c r="SFB33" s="98"/>
      <c r="SFC33" s="98"/>
      <c r="SFD33" s="98"/>
      <c r="SFE33" s="98"/>
      <c r="SFF33" s="98"/>
      <c r="SFG33" s="98"/>
      <c r="SFH33" s="98"/>
      <c r="SFI33" s="98"/>
      <c r="SFJ33" s="98"/>
      <c r="SFK33" s="98"/>
      <c r="SFL33" s="98"/>
      <c r="SFM33" s="98"/>
      <c r="SFN33" s="98"/>
      <c r="SFO33" s="98"/>
      <c r="SFP33" s="98"/>
      <c r="SFQ33" s="98"/>
      <c r="SFR33" s="98"/>
      <c r="SFS33" s="98"/>
      <c r="SFT33" s="98"/>
      <c r="SFU33" s="98"/>
      <c r="SFV33" s="98"/>
      <c r="SFW33" s="98"/>
      <c r="SFX33" s="98"/>
      <c r="SFY33" s="98"/>
      <c r="SFZ33" s="98"/>
      <c r="SGA33" s="98"/>
      <c r="SGB33" s="98"/>
      <c r="SGC33" s="98"/>
      <c r="SGD33" s="98"/>
      <c r="SGE33" s="98"/>
      <c r="SGF33" s="98"/>
      <c r="SGG33" s="98"/>
      <c r="SGH33" s="98"/>
      <c r="SGI33" s="98"/>
      <c r="SGJ33" s="98"/>
      <c r="SGK33" s="98"/>
      <c r="SGL33" s="98"/>
      <c r="SGM33" s="98"/>
      <c r="SGN33" s="98"/>
      <c r="SGO33" s="98"/>
      <c r="SGP33" s="98"/>
      <c r="SGQ33" s="98"/>
      <c r="SGR33" s="98"/>
      <c r="SGS33" s="98"/>
      <c r="SGT33" s="98"/>
      <c r="SGU33" s="98"/>
      <c r="SGV33" s="98"/>
      <c r="SGW33" s="98"/>
      <c r="SGX33" s="98"/>
      <c r="SGY33" s="98"/>
      <c r="SGZ33" s="98"/>
      <c r="SHA33" s="98"/>
      <c r="SHB33" s="98"/>
      <c r="SHC33" s="98"/>
      <c r="SHD33" s="98"/>
      <c r="SHE33" s="98"/>
      <c r="SHF33" s="98"/>
      <c r="SHG33" s="98"/>
      <c r="SHH33" s="98"/>
      <c r="SHI33" s="98"/>
      <c r="SHJ33" s="98"/>
      <c r="SHK33" s="98"/>
      <c r="SHL33" s="98"/>
      <c r="SHM33" s="98"/>
      <c r="SHN33" s="98"/>
      <c r="SHO33" s="98"/>
      <c r="SHP33" s="98"/>
      <c r="SHQ33" s="98"/>
      <c r="SHR33" s="98"/>
      <c r="SHS33" s="98"/>
      <c r="SHT33" s="98"/>
      <c r="SHU33" s="98"/>
      <c r="SHV33" s="98"/>
      <c r="SHW33" s="98"/>
      <c r="SHX33" s="98"/>
      <c r="SHY33" s="98"/>
      <c r="SHZ33" s="98"/>
      <c r="SIA33" s="98"/>
      <c r="SIB33" s="98"/>
      <c r="SIC33" s="98"/>
      <c r="SID33" s="98"/>
      <c r="SIE33" s="98"/>
      <c r="SIF33" s="98"/>
      <c r="SIG33" s="98"/>
      <c r="SIH33" s="98"/>
      <c r="SII33" s="98"/>
      <c r="SIJ33" s="98"/>
      <c r="SIK33" s="98"/>
      <c r="SIL33" s="98"/>
      <c r="SIM33" s="98"/>
      <c r="SIN33" s="98"/>
      <c r="SIO33" s="98"/>
      <c r="SIP33" s="98"/>
      <c r="SIQ33" s="98"/>
      <c r="SIR33" s="98"/>
      <c r="SIS33" s="98"/>
      <c r="SIT33" s="98"/>
      <c r="SIU33" s="98"/>
      <c r="SIV33" s="98"/>
      <c r="SIW33" s="98"/>
      <c r="SIX33" s="98"/>
      <c r="SIY33" s="98"/>
      <c r="SIZ33" s="98"/>
      <c r="SJA33" s="98"/>
      <c r="SJB33" s="98"/>
      <c r="SJC33" s="98"/>
      <c r="SJD33" s="98"/>
      <c r="SJE33" s="98"/>
      <c r="SJF33" s="98"/>
      <c r="SJG33" s="98"/>
      <c r="SJH33" s="98"/>
      <c r="SJI33" s="98"/>
      <c r="SJJ33" s="98"/>
      <c r="SJK33" s="98"/>
      <c r="SJL33" s="98"/>
      <c r="SJM33" s="98"/>
      <c r="SJN33" s="98"/>
      <c r="SJO33" s="98"/>
      <c r="SJP33" s="98"/>
      <c r="SJQ33" s="98"/>
      <c r="SJR33" s="98"/>
      <c r="SJS33" s="98"/>
      <c r="SJT33" s="98"/>
      <c r="SJU33" s="98"/>
      <c r="SJV33" s="98"/>
      <c r="SJW33" s="98"/>
      <c r="SJX33" s="98"/>
      <c r="SJY33" s="98"/>
      <c r="SJZ33" s="98"/>
      <c r="SKA33" s="98"/>
      <c r="SKB33" s="98"/>
      <c r="SKC33" s="98"/>
      <c r="SKD33" s="98"/>
      <c r="SKE33" s="98"/>
      <c r="SKF33" s="98"/>
      <c r="SKG33" s="98"/>
      <c r="SKH33" s="98"/>
      <c r="SKI33" s="98"/>
      <c r="SKJ33" s="98"/>
      <c r="SKK33" s="98"/>
      <c r="SKL33" s="98"/>
      <c r="SKM33" s="98"/>
      <c r="SKN33" s="98"/>
      <c r="SKO33" s="98"/>
      <c r="SKP33" s="98"/>
      <c r="SKQ33" s="98"/>
      <c r="SKR33" s="98"/>
      <c r="SKS33" s="98"/>
      <c r="SKT33" s="98"/>
      <c r="SKU33" s="98"/>
      <c r="SKV33" s="98"/>
      <c r="SKW33" s="98"/>
      <c r="SKX33" s="98"/>
      <c r="SKY33" s="98"/>
      <c r="SKZ33" s="98"/>
      <c r="SLA33" s="98"/>
      <c r="SLB33" s="98"/>
      <c r="SLC33" s="98"/>
      <c r="SLD33" s="98"/>
      <c r="SLE33" s="98"/>
      <c r="SLF33" s="98"/>
      <c r="SLG33" s="98"/>
      <c r="SLH33" s="98"/>
      <c r="SLI33" s="98"/>
      <c r="SLJ33" s="98"/>
      <c r="SLK33" s="98"/>
      <c r="SLL33" s="98"/>
      <c r="SLM33" s="98"/>
      <c r="SLN33" s="98"/>
      <c r="SLO33" s="98"/>
      <c r="SLP33" s="98"/>
      <c r="SLQ33" s="98"/>
      <c r="SLR33" s="98"/>
      <c r="SLS33" s="98"/>
      <c r="SLT33" s="98"/>
      <c r="SLU33" s="98"/>
      <c r="SLV33" s="98"/>
      <c r="SLW33" s="98"/>
      <c r="SLX33" s="98"/>
      <c r="SLY33" s="98"/>
      <c r="SLZ33" s="98"/>
      <c r="SMA33" s="98"/>
      <c r="SMB33" s="98"/>
      <c r="SMC33" s="98"/>
      <c r="SMD33" s="98"/>
      <c r="SME33" s="98"/>
      <c r="SMF33" s="98"/>
      <c r="SMG33" s="98"/>
      <c r="SMH33" s="98"/>
      <c r="SMI33" s="98"/>
      <c r="SMJ33" s="98"/>
      <c r="SMK33" s="98"/>
      <c r="SML33" s="98"/>
      <c r="SMM33" s="98"/>
      <c r="SMN33" s="98"/>
      <c r="SMO33" s="98"/>
      <c r="SMP33" s="98"/>
      <c r="SMQ33" s="98"/>
      <c r="SMR33" s="98"/>
      <c r="SMS33" s="98"/>
      <c r="SMT33" s="98"/>
      <c r="SMU33" s="98"/>
      <c r="SMV33" s="98"/>
      <c r="SMW33" s="98"/>
      <c r="SMX33" s="98"/>
      <c r="SMY33" s="98"/>
      <c r="SMZ33" s="98"/>
      <c r="SNA33" s="98"/>
      <c r="SNB33" s="98"/>
      <c r="SNC33" s="98"/>
      <c r="SND33" s="98"/>
      <c r="SNE33" s="98"/>
      <c r="SNF33" s="98"/>
      <c r="SNG33" s="98"/>
      <c r="SNH33" s="98"/>
      <c r="SNI33" s="98"/>
      <c r="SNJ33" s="98"/>
      <c r="SNK33" s="98"/>
      <c r="SNL33" s="98"/>
      <c r="SNM33" s="98"/>
      <c r="SNN33" s="98"/>
      <c r="SNO33" s="98"/>
      <c r="SNP33" s="98"/>
      <c r="SNQ33" s="98"/>
      <c r="SNR33" s="98"/>
      <c r="SNS33" s="98"/>
      <c r="SNT33" s="98"/>
      <c r="SNU33" s="98"/>
      <c r="SNV33" s="98"/>
      <c r="SNW33" s="98"/>
      <c r="SNX33" s="98"/>
      <c r="SNY33" s="98"/>
      <c r="SNZ33" s="98"/>
      <c r="SOA33" s="98"/>
      <c r="SOB33" s="98"/>
      <c r="SOC33" s="98"/>
      <c r="SOD33" s="98"/>
      <c r="SOE33" s="98"/>
      <c r="SOF33" s="98"/>
      <c r="SOG33" s="98"/>
      <c r="SOH33" s="98"/>
      <c r="SOI33" s="98"/>
      <c r="SOJ33" s="98"/>
      <c r="SOK33" s="98"/>
      <c r="SOL33" s="98"/>
      <c r="SOM33" s="98"/>
      <c r="SON33" s="98"/>
      <c r="SOO33" s="98"/>
      <c r="SOP33" s="98"/>
      <c r="SOQ33" s="98"/>
      <c r="SOR33" s="98"/>
      <c r="SOS33" s="98"/>
      <c r="SOT33" s="98"/>
      <c r="SOU33" s="98"/>
      <c r="SOV33" s="98"/>
      <c r="SOW33" s="98"/>
      <c r="SOX33" s="98"/>
      <c r="SOY33" s="98"/>
      <c r="SOZ33" s="98"/>
      <c r="SPA33" s="98"/>
      <c r="SPB33" s="98"/>
      <c r="SPC33" s="98"/>
      <c r="SPD33" s="98"/>
      <c r="SPE33" s="98"/>
      <c r="SPF33" s="98"/>
      <c r="SPG33" s="98"/>
      <c r="SPH33" s="98"/>
      <c r="SPI33" s="98"/>
      <c r="SPJ33" s="98"/>
      <c r="SPK33" s="98"/>
      <c r="SPL33" s="98"/>
      <c r="SPM33" s="98"/>
      <c r="SPN33" s="98"/>
      <c r="SPO33" s="98"/>
      <c r="SPP33" s="98"/>
      <c r="SPQ33" s="98"/>
      <c r="SPR33" s="98"/>
      <c r="SPS33" s="98"/>
      <c r="SPT33" s="98"/>
      <c r="SPU33" s="98"/>
      <c r="SPV33" s="98"/>
      <c r="SPW33" s="98"/>
      <c r="SPX33" s="98"/>
      <c r="SPY33" s="98"/>
      <c r="SPZ33" s="98"/>
      <c r="SQA33" s="98"/>
      <c r="SQB33" s="98"/>
      <c r="SQC33" s="98"/>
      <c r="SQD33" s="98"/>
      <c r="SQE33" s="98"/>
      <c r="SQF33" s="98"/>
      <c r="SQG33" s="98"/>
      <c r="SQH33" s="98"/>
      <c r="SQI33" s="98"/>
      <c r="SQJ33" s="98"/>
      <c r="SQK33" s="98"/>
      <c r="SQL33" s="98"/>
      <c r="SQM33" s="98"/>
      <c r="SQN33" s="98"/>
      <c r="SQO33" s="98"/>
      <c r="SQP33" s="98"/>
      <c r="SQQ33" s="98"/>
      <c r="SQR33" s="98"/>
      <c r="SQS33" s="98"/>
      <c r="SQT33" s="98"/>
      <c r="SQU33" s="98"/>
      <c r="SQV33" s="98"/>
      <c r="SQW33" s="98"/>
      <c r="SQX33" s="98"/>
      <c r="SQY33" s="98"/>
      <c r="SQZ33" s="98"/>
      <c r="SRA33" s="98"/>
      <c r="SRB33" s="98"/>
      <c r="SRC33" s="98"/>
      <c r="SRD33" s="98"/>
      <c r="SRE33" s="98"/>
      <c r="SRF33" s="98"/>
      <c r="SRG33" s="98"/>
      <c r="SRH33" s="98"/>
      <c r="SRI33" s="98"/>
      <c r="SRJ33" s="98"/>
      <c r="SRK33" s="98"/>
      <c r="SRL33" s="98"/>
      <c r="SRM33" s="98"/>
      <c r="SRN33" s="98"/>
      <c r="SRO33" s="98"/>
      <c r="SRP33" s="98"/>
      <c r="SRQ33" s="98"/>
      <c r="SRR33" s="98"/>
      <c r="SRS33" s="98"/>
      <c r="SRT33" s="98"/>
      <c r="SRU33" s="98"/>
      <c r="SRV33" s="98"/>
      <c r="SRW33" s="98"/>
      <c r="SRX33" s="98"/>
      <c r="SRY33" s="98"/>
      <c r="SRZ33" s="98"/>
      <c r="SSA33" s="98"/>
      <c r="SSB33" s="98"/>
      <c r="SSC33" s="98"/>
      <c r="SSD33" s="98"/>
      <c r="SSE33" s="98"/>
      <c r="SSF33" s="98"/>
      <c r="SSG33" s="98"/>
      <c r="SSH33" s="98"/>
      <c r="SSI33" s="98"/>
      <c r="SSJ33" s="98"/>
      <c r="SSK33" s="98"/>
      <c r="SSL33" s="98"/>
      <c r="SSM33" s="98"/>
      <c r="SSN33" s="98"/>
      <c r="SSO33" s="98"/>
      <c r="SSP33" s="98"/>
      <c r="SSQ33" s="98"/>
      <c r="SSR33" s="98"/>
      <c r="SSS33" s="98"/>
      <c r="SST33" s="98"/>
      <c r="SSU33" s="98"/>
      <c r="SSV33" s="98"/>
      <c r="SSW33" s="98"/>
      <c r="SSX33" s="98"/>
      <c r="SSY33" s="98"/>
      <c r="SSZ33" s="98"/>
      <c r="STA33" s="98"/>
      <c r="STB33" s="98"/>
      <c r="STC33" s="98"/>
      <c r="STD33" s="98"/>
      <c r="STE33" s="98"/>
      <c r="STF33" s="98"/>
      <c r="STG33" s="98"/>
      <c r="STH33" s="98"/>
      <c r="STI33" s="98"/>
      <c r="STJ33" s="98"/>
      <c r="STK33" s="98"/>
      <c r="STL33" s="98"/>
      <c r="STM33" s="98"/>
      <c r="STN33" s="98"/>
      <c r="STO33" s="98"/>
      <c r="STP33" s="98"/>
      <c r="STQ33" s="98"/>
      <c r="STR33" s="98"/>
      <c r="STS33" s="98"/>
      <c r="STT33" s="98"/>
      <c r="STU33" s="98"/>
      <c r="STV33" s="98"/>
      <c r="STW33" s="98"/>
      <c r="STX33" s="98"/>
      <c r="STY33" s="98"/>
      <c r="STZ33" s="98"/>
      <c r="SUA33" s="98"/>
      <c r="SUB33" s="98"/>
      <c r="SUC33" s="98"/>
      <c r="SUD33" s="98"/>
      <c r="SUE33" s="98"/>
      <c r="SUF33" s="98"/>
      <c r="SUG33" s="98"/>
      <c r="SUH33" s="98"/>
      <c r="SUI33" s="98"/>
      <c r="SUJ33" s="98"/>
      <c r="SUK33" s="98"/>
      <c r="SUL33" s="98"/>
      <c r="SUM33" s="98"/>
      <c r="SUN33" s="98"/>
      <c r="SUO33" s="98"/>
      <c r="SUP33" s="98"/>
      <c r="SUQ33" s="98"/>
      <c r="SUR33" s="98"/>
      <c r="SUS33" s="98"/>
      <c r="SUT33" s="98"/>
      <c r="SUU33" s="98"/>
      <c r="SUV33" s="98"/>
      <c r="SUW33" s="98"/>
      <c r="SUX33" s="98"/>
      <c r="SUY33" s="98"/>
      <c r="SUZ33" s="98"/>
      <c r="SVA33" s="98"/>
      <c r="SVB33" s="98"/>
      <c r="SVC33" s="98"/>
      <c r="SVD33" s="98"/>
      <c r="SVE33" s="98"/>
      <c r="SVF33" s="98"/>
      <c r="SVG33" s="98"/>
      <c r="SVH33" s="98"/>
      <c r="SVI33" s="98"/>
      <c r="SVJ33" s="98"/>
      <c r="SVK33" s="98"/>
      <c r="SVL33" s="98"/>
      <c r="SVM33" s="98"/>
      <c r="SVN33" s="98"/>
      <c r="SVO33" s="98"/>
      <c r="SVP33" s="98"/>
      <c r="SVQ33" s="98"/>
      <c r="SVR33" s="98"/>
      <c r="SVS33" s="98"/>
      <c r="SVT33" s="98"/>
      <c r="SVU33" s="98"/>
      <c r="SVV33" s="98"/>
      <c r="SVW33" s="98"/>
      <c r="SVX33" s="98"/>
      <c r="SVY33" s="98"/>
      <c r="SVZ33" s="98"/>
      <c r="SWA33" s="98"/>
      <c r="SWB33" s="98"/>
      <c r="SWC33" s="98"/>
      <c r="SWD33" s="98"/>
      <c r="SWE33" s="98"/>
      <c r="SWF33" s="98"/>
      <c r="SWG33" s="98"/>
      <c r="SWH33" s="98"/>
      <c r="SWI33" s="98"/>
      <c r="SWJ33" s="98"/>
      <c r="SWK33" s="98"/>
      <c r="SWL33" s="98"/>
      <c r="SWM33" s="98"/>
      <c r="SWN33" s="98"/>
      <c r="SWO33" s="98"/>
      <c r="SWP33" s="98"/>
      <c r="SWQ33" s="98"/>
      <c r="SWR33" s="98"/>
      <c r="SWS33" s="98"/>
      <c r="SWT33" s="98"/>
      <c r="SWU33" s="98"/>
      <c r="SWV33" s="98"/>
      <c r="SWW33" s="98"/>
      <c r="SWX33" s="98"/>
      <c r="SWY33" s="98"/>
      <c r="SWZ33" s="98"/>
      <c r="SXA33" s="98"/>
      <c r="SXB33" s="98"/>
      <c r="SXC33" s="98"/>
      <c r="SXD33" s="98"/>
      <c r="SXE33" s="98"/>
      <c r="SXF33" s="98"/>
      <c r="SXG33" s="98"/>
      <c r="SXH33" s="98"/>
      <c r="SXI33" s="98"/>
      <c r="SXJ33" s="98"/>
      <c r="SXK33" s="98"/>
      <c r="SXL33" s="98"/>
      <c r="SXM33" s="98"/>
      <c r="SXN33" s="98"/>
      <c r="SXO33" s="98"/>
      <c r="SXP33" s="98"/>
      <c r="SXQ33" s="98"/>
      <c r="SXR33" s="98"/>
      <c r="SXS33" s="98"/>
      <c r="SXT33" s="98"/>
      <c r="SXU33" s="98"/>
      <c r="SXV33" s="98"/>
      <c r="SXW33" s="98"/>
      <c r="SXX33" s="98"/>
      <c r="SXY33" s="98"/>
      <c r="SXZ33" s="98"/>
      <c r="SYA33" s="98"/>
      <c r="SYB33" s="98"/>
      <c r="SYC33" s="98"/>
      <c r="SYD33" s="98"/>
      <c r="SYE33" s="98"/>
      <c r="SYF33" s="98"/>
      <c r="SYG33" s="98"/>
      <c r="SYH33" s="98"/>
      <c r="SYI33" s="98"/>
      <c r="SYJ33" s="98"/>
      <c r="SYK33" s="98"/>
      <c r="SYL33" s="98"/>
      <c r="SYM33" s="98"/>
      <c r="SYN33" s="98"/>
      <c r="SYO33" s="98"/>
      <c r="SYP33" s="98"/>
      <c r="SYQ33" s="98"/>
      <c r="SYR33" s="98"/>
      <c r="SYS33" s="98"/>
      <c r="SYT33" s="98"/>
      <c r="SYU33" s="98"/>
      <c r="SYV33" s="98"/>
      <c r="SYW33" s="98"/>
      <c r="SYX33" s="98"/>
      <c r="SYY33" s="98"/>
      <c r="SYZ33" s="98"/>
      <c r="SZA33" s="98"/>
      <c r="SZB33" s="98"/>
      <c r="SZC33" s="98"/>
      <c r="SZD33" s="98"/>
      <c r="SZE33" s="98"/>
      <c r="SZF33" s="98"/>
      <c r="SZG33" s="98"/>
      <c r="SZH33" s="98"/>
      <c r="SZI33" s="98"/>
      <c r="SZJ33" s="98"/>
      <c r="SZK33" s="98"/>
      <c r="SZL33" s="98"/>
      <c r="SZM33" s="98"/>
      <c r="SZN33" s="98"/>
      <c r="SZO33" s="98"/>
      <c r="SZP33" s="98"/>
      <c r="SZQ33" s="98"/>
      <c r="SZR33" s="98"/>
      <c r="SZS33" s="98"/>
      <c r="SZT33" s="98"/>
      <c r="SZU33" s="98"/>
      <c r="SZV33" s="98"/>
      <c r="SZW33" s="98"/>
      <c r="SZX33" s="98"/>
      <c r="SZY33" s="98"/>
      <c r="SZZ33" s="98"/>
      <c r="TAA33" s="98"/>
      <c r="TAB33" s="98"/>
      <c r="TAC33" s="98"/>
      <c r="TAD33" s="98"/>
      <c r="TAE33" s="98"/>
      <c r="TAF33" s="98"/>
      <c r="TAG33" s="98"/>
      <c r="TAH33" s="98"/>
      <c r="TAI33" s="98"/>
      <c r="TAJ33" s="98"/>
      <c r="TAK33" s="98"/>
      <c r="TAL33" s="98"/>
      <c r="TAM33" s="98"/>
      <c r="TAN33" s="98"/>
      <c r="TAO33" s="98"/>
      <c r="TAP33" s="98"/>
      <c r="TAQ33" s="98"/>
      <c r="TAR33" s="98"/>
      <c r="TAS33" s="98"/>
      <c r="TAT33" s="98"/>
      <c r="TAU33" s="98"/>
      <c r="TAV33" s="98"/>
      <c r="TAW33" s="98"/>
      <c r="TAX33" s="98"/>
      <c r="TAY33" s="98"/>
      <c r="TAZ33" s="98"/>
      <c r="TBA33" s="98"/>
      <c r="TBB33" s="98"/>
      <c r="TBC33" s="98"/>
      <c r="TBD33" s="98"/>
      <c r="TBE33" s="98"/>
      <c r="TBF33" s="98"/>
      <c r="TBG33" s="98"/>
      <c r="TBH33" s="98"/>
      <c r="TBI33" s="98"/>
      <c r="TBJ33" s="98"/>
      <c r="TBK33" s="98"/>
      <c r="TBL33" s="98"/>
      <c r="TBM33" s="98"/>
      <c r="TBN33" s="98"/>
      <c r="TBO33" s="98"/>
      <c r="TBP33" s="98"/>
      <c r="TBQ33" s="98"/>
      <c r="TBR33" s="98"/>
      <c r="TBS33" s="98"/>
      <c r="TBT33" s="98"/>
      <c r="TBU33" s="98"/>
      <c r="TBV33" s="98"/>
      <c r="TBW33" s="98"/>
      <c r="TBX33" s="98"/>
      <c r="TBY33" s="98"/>
      <c r="TBZ33" s="98"/>
      <c r="TCA33" s="98"/>
      <c r="TCB33" s="98"/>
      <c r="TCC33" s="98"/>
      <c r="TCD33" s="98"/>
      <c r="TCE33" s="98"/>
      <c r="TCF33" s="98"/>
      <c r="TCG33" s="98"/>
      <c r="TCH33" s="98"/>
      <c r="TCI33" s="98"/>
      <c r="TCJ33" s="98"/>
      <c r="TCK33" s="98"/>
      <c r="TCL33" s="98"/>
      <c r="TCM33" s="98"/>
      <c r="TCN33" s="98"/>
      <c r="TCO33" s="98"/>
      <c r="TCP33" s="98"/>
      <c r="TCQ33" s="98"/>
      <c r="TCR33" s="98"/>
      <c r="TCS33" s="98"/>
      <c r="TCT33" s="98"/>
      <c r="TCU33" s="98"/>
      <c r="TCV33" s="98"/>
      <c r="TCW33" s="98"/>
      <c r="TCX33" s="98"/>
      <c r="TCY33" s="98"/>
      <c r="TCZ33" s="98"/>
      <c r="TDA33" s="98"/>
      <c r="TDB33" s="98"/>
      <c r="TDC33" s="98"/>
      <c r="TDD33" s="98"/>
      <c r="TDE33" s="98"/>
      <c r="TDF33" s="98"/>
      <c r="TDG33" s="98"/>
      <c r="TDH33" s="98"/>
      <c r="TDI33" s="98"/>
      <c r="TDJ33" s="98"/>
      <c r="TDK33" s="98"/>
      <c r="TDL33" s="98"/>
      <c r="TDM33" s="98"/>
      <c r="TDN33" s="98"/>
      <c r="TDO33" s="98"/>
      <c r="TDP33" s="98"/>
      <c r="TDQ33" s="98"/>
      <c r="TDR33" s="98"/>
      <c r="TDS33" s="98"/>
      <c r="TDT33" s="98"/>
      <c r="TDU33" s="98"/>
      <c r="TDV33" s="98"/>
      <c r="TDW33" s="98"/>
      <c r="TDX33" s="98"/>
      <c r="TDY33" s="98"/>
      <c r="TDZ33" s="98"/>
      <c r="TEA33" s="98"/>
      <c r="TEB33" s="98"/>
      <c r="TEC33" s="98"/>
      <c r="TED33" s="98"/>
      <c r="TEE33" s="98"/>
      <c r="TEF33" s="98"/>
      <c r="TEG33" s="98"/>
      <c r="TEH33" s="98"/>
      <c r="TEI33" s="98"/>
      <c r="TEJ33" s="98"/>
      <c r="TEK33" s="98"/>
      <c r="TEL33" s="98"/>
      <c r="TEM33" s="98"/>
      <c r="TEN33" s="98"/>
      <c r="TEO33" s="98"/>
      <c r="TEP33" s="98"/>
      <c r="TEQ33" s="98"/>
      <c r="TER33" s="98"/>
      <c r="TES33" s="98"/>
      <c r="TET33" s="98"/>
      <c r="TEU33" s="98"/>
      <c r="TEV33" s="98"/>
      <c r="TEW33" s="98"/>
      <c r="TEX33" s="98"/>
      <c r="TEY33" s="98"/>
      <c r="TEZ33" s="98"/>
      <c r="TFA33" s="98"/>
      <c r="TFB33" s="98"/>
      <c r="TFC33" s="98"/>
      <c r="TFD33" s="98"/>
      <c r="TFE33" s="98"/>
      <c r="TFF33" s="98"/>
      <c r="TFG33" s="98"/>
      <c r="TFH33" s="98"/>
      <c r="TFI33" s="98"/>
      <c r="TFJ33" s="98"/>
      <c r="TFK33" s="98"/>
      <c r="TFL33" s="98"/>
      <c r="TFM33" s="98"/>
      <c r="TFN33" s="98"/>
      <c r="TFO33" s="98"/>
      <c r="TFP33" s="98"/>
      <c r="TFQ33" s="98"/>
      <c r="TFR33" s="98"/>
      <c r="TFS33" s="98"/>
      <c r="TFT33" s="98"/>
      <c r="TFU33" s="98"/>
      <c r="TFV33" s="98"/>
      <c r="TFW33" s="98"/>
      <c r="TFX33" s="98"/>
      <c r="TFY33" s="98"/>
      <c r="TFZ33" s="98"/>
      <c r="TGA33" s="98"/>
      <c r="TGB33" s="98"/>
      <c r="TGC33" s="98"/>
      <c r="TGD33" s="98"/>
      <c r="TGE33" s="98"/>
      <c r="TGF33" s="98"/>
      <c r="TGG33" s="98"/>
      <c r="TGH33" s="98"/>
      <c r="TGI33" s="98"/>
      <c r="TGJ33" s="98"/>
      <c r="TGK33" s="98"/>
      <c r="TGL33" s="98"/>
      <c r="TGM33" s="98"/>
      <c r="TGN33" s="98"/>
      <c r="TGO33" s="98"/>
      <c r="TGP33" s="98"/>
      <c r="TGQ33" s="98"/>
      <c r="TGR33" s="98"/>
      <c r="TGS33" s="98"/>
      <c r="TGT33" s="98"/>
      <c r="TGU33" s="98"/>
      <c r="TGV33" s="98"/>
      <c r="TGW33" s="98"/>
      <c r="TGX33" s="98"/>
      <c r="TGY33" s="98"/>
      <c r="TGZ33" s="98"/>
      <c r="THA33" s="98"/>
      <c r="THB33" s="98"/>
      <c r="THC33" s="98"/>
      <c r="THD33" s="98"/>
      <c r="THE33" s="98"/>
      <c r="THF33" s="98"/>
      <c r="THG33" s="98"/>
      <c r="THH33" s="98"/>
      <c r="THI33" s="98"/>
      <c r="THJ33" s="98"/>
      <c r="THK33" s="98"/>
      <c r="THL33" s="98"/>
      <c r="THM33" s="98"/>
      <c r="THN33" s="98"/>
      <c r="THO33" s="98"/>
      <c r="THP33" s="98"/>
      <c r="THQ33" s="98"/>
      <c r="THR33" s="98"/>
      <c r="THS33" s="98"/>
      <c r="THT33" s="98"/>
      <c r="THU33" s="98"/>
      <c r="THV33" s="98"/>
      <c r="THW33" s="98"/>
      <c r="THX33" s="98"/>
      <c r="THY33" s="98"/>
      <c r="THZ33" s="98"/>
      <c r="TIA33" s="98"/>
      <c r="TIB33" s="98"/>
      <c r="TIC33" s="98"/>
      <c r="TID33" s="98"/>
      <c r="TIE33" s="98"/>
      <c r="TIF33" s="98"/>
      <c r="TIG33" s="98"/>
      <c r="TIH33" s="98"/>
      <c r="TII33" s="98"/>
      <c r="TIJ33" s="98"/>
      <c r="TIK33" s="98"/>
      <c r="TIL33" s="98"/>
      <c r="TIM33" s="98"/>
      <c r="TIN33" s="98"/>
      <c r="TIO33" s="98"/>
      <c r="TIP33" s="98"/>
      <c r="TIQ33" s="98"/>
      <c r="TIR33" s="98"/>
      <c r="TIS33" s="98"/>
      <c r="TIT33" s="98"/>
      <c r="TIU33" s="98"/>
      <c r="TIV33" s="98"/>
      <c r="TIW33" s="98"/>
      <c r="TIX33" s="98"/>
      <c r="TIY33" s="98"/>
      <c r="TIZ33" s="98"/>
      <c r="TJA33" s="98"/>
      <c r="TJB33" s="98"/>
      <c r="TJC33" s="98"/>
      <c r="TJD33" s="98"/>
      <c r="TJE33" s="98"/>
      <c r="TJF33" s="98"/>
      <c r="TJG33" s="98"/>
      <c r="TJH33" s="98"/>
      <c r="TJI33" s="98"/>
      <c r="TJJ33" s="98"/>
      <c r="TJK33" s="98"/>
      <c r="TJL33" s="98"/>
      <c r="TJM33" s="98"/>
      <c r="TJN33" s="98"/>
      <c r="TJO33" s="98"/>
      <c r="TJP33" s="98"/>
      <c r="TJQ33" s="98"/>
      <c r="TJR33" s="98"/>
      <c r="TJS33" s="98"/>
      <c r="TJT33" s="98"/>
      <c r="TJU33" s="98"/>
      <c r="TJV33" s="98"/>
      <c r="TJW33" s="98"/>
      <c r="TJX33" s="98"/>
      <c r="TJY33" s="98"/>
      <c r="TJZ33" s="98"/>
      <c r="TKA33" s="98"/>
      <c r="TKB33" s="98"/>
      <c r="TKC33" s="98"/>
      <c r="TKD33" s="98"/>
      <c r="TKE33" s="98"/>
      <c r="TKF33" s="98"/>
      <c r="TKG33" s="98"/>
      <c r="TKH33" s="98"/>
      <c r="TKI33" s="98"/>
      <c r="TKJ33" s="98"/>
      <c r="TKK33" s="98"/>
      <c r="TKL33" s="98"/>
      <c r="TKM33" s="98"/>
      <c r="TKN33" s="98"/>
      <c r="TKO33" s="98"/>
      <c r="TKP33" s="98"/>
      <c r="TKQ33" s="98"/>
      <c r="TKR33" s="98"/>
      <c r="TKS33" s="98"/>
      <c r="TKT33" s="98"/>
      <c r="TKU33" s="98"/>
      <c r="TKV33" s="98"/>
      <c r="TKW33" s="98"/>
      <c r="TKX33" s="98"/>
      <c r="TKY33" s="98"/>
      <c r="TKZ33" s="98"/>
      <c r="TLA33" s="98"/>
      <c r="TLB33" s="98"/>
      <c r="TLC33" s="98"/>
      <c r="TLD33" s="98"/>
      <c r="TLE33" s="98"/>
      <c r="TLF33" s="98"/>
      <c r="TLG33" s="98"/>
      <c r="TLH33" s="98"/>
      <c r="TLI33" s="98"/>
      <c r="TLJ33" s="98"/>
      <c r="TLK33" s="98"/>
      <c r="TLL33" s="98"/>
      <c r="TLM33" s="98"/>
      <c r="TLN33" s="98"/>
      <c r="TLO33" s="98"/>
      <c r="TLP33" s="98"/>
      <c r="TLQ33" s="98"/>
      <c r="TLR33" s="98"/>
      <c r="TLS33" s="98"/>
      <c r="TLT33" s="98"/>
      <c r="TLU33" s="98"/>
      <c r="TLV33" s="98"/>
      <c r="TLW33" s="98"/>
      <c r="TLX33" s="98"/>
      <c r="TLY33" s="98"/>
      <c r="TLZ33" s="98"/>
      <c r="TMA33" s="98"/>
      <c r="TMB33" s="98"/>
      <c r="TMC33" s="98"/>
      <c r="TMD33" s="98"/>
      <c r="TME33" s="98"/>
      <c r="TMF33" s="98"/>
      <c r="TMG33" s="98"/>
      <c r="TMH33" s="98"/>
      <c r="TMI33" s="98"/>
      <c r="TMJ33" s="98"/>
      <c r="TMK33" s="98"/>
      <c r="TML33" s="98"/>
      <c r="TMM33" s="98"/>
      <c r="TMN33" s="98"/>
      <c r="TMO33" s="98"/>
      <c r="TMP33" s="98"/>
      <c r="TMQ33" s="98"/>
      <c r="TMR33" s="98"/>
      <c r="TMS33" s="98"/>
      <c r="TMT33" s="98"/>
      <c r="TMU33" s="98"/>
      <c r="TMV33" s="98"/>
      <c r="TMW33" s="98"/>
      <c r="TMX33" s="98"/>
      <c r="TMY33" s="98"/>
      <c r="TMZ33" s="98"/>
      <c r="TNA33" s="98"/>
      <c r="TNB33" s="98"/>
      <c r="TNC33" s="98"/>
      <c r="TND33" s="98"/>
      <c r="TNE33" s="98"/>
      <c r="TNF33" s="98"/>
      <c r="TNG33" s="98"/>
      <c r="TNH33" s="98"/>
      <c r="TNI33" s="98"/>
      <c r="TNJ33" s="98"/>
      <c r="TNK33" s="98"/>
      <c r="TNL33" s="98"/>
      <c r="TNM33" s="98"/>
      <c r="TNN33" s="98"/>
      <c r="TNO33" s="98"/>
      <c r="TNP33" s="98"/>
      <c r="TNQ33" s="98"/>
      <c r="TNR33" s="98"/>
      <c r="TNS33" s="98"/>
      <c r="TNT33" s="98"/>
      <c r="TNU33" s="98"/>
      <c r="TNV33" s="98"/>
      <c r="TNW33" s="98"/>
      <c r="TNX33" s="98"/>
      <c r="TNY33" s="98"/>
      <c r="TNZ33" s="98"/>
      <c r="TOA33" s="98"/>
      <c r="TOB33" s="98"/>
      <c r="TOC33" s="98"/>
      <c r="TOD33" s="98"/>
      <c r="TOE33" s="98"/>
      <c r="TOF33" s="98"/>
      <c r="TOG33" s="98"/>
      <c r="TOH33" s="98"/>
      <c r="TOI33" s="98"/>
      <c r="TOJ33" s="98"/>
      <c r="TOK33" s="98"/>
      <c r="TOL33" s="98"/>
      <c r="TOM33" s="98"/>
      <c r="TON33" s="98"/>
      <c r="TOO33" s="98"/>
      <c r="TOP33" s="98"/>
      <c r="TOQ33" s="98"/>
      <c r="TOR33" s="98"/>
      <c r="TOS33" s="98"/>
      <c r="TOT33" s="98"/>
      <c r="TOU33" s="98"/>
      <c r="TOV33" s="98"/>
      <c r="TOW33" s="98"/>
      <c r="TOX33" s="98"/>
      <c r="TOY33" s="98"/>
      <c r="TOZ33" s="98"/>
      <c r="TPA33" s="98"/>
      <c r="TPB33" s="98"/>
      <c r="TPC33" s="98"/>
      <c r="TPD33" s="98"/>
      <c r="TPE33" s="98"/>
      <c r="TPF33" s="98"/>
      <c r="TPG33" s="98"/>
      <c r="TPH33" s="98"/>
      <c r="TPI33" s="98"/>
      <c r="TPJ33" s="98"/>
      <c r="TPK33" s="98"/>
      <c r="TPL33" s="98"/>
      <c r="TPM33" s="98"/>
      <c r="TPN33" s="98"/>
      <c r="TPO33" s="98"/>
      <c r="TPP33" s="98"/>
      <c r="TPQ33" s="98"/>
      <c r="TPR33" s="98"/>
      <c r="TPS33" s="98"/>
      <c r="TPT33" s="98"/>
      <c r="TPU33" s="98"/>
      <c r="TPV33" s="98"/>
      <c r="TPW33" s="98"/>
      <c r="TPX33" s="98"/>
      <c r="TPY33" s="98"/>
      <c r="TPZ33" s="98"/>
      <c r="TQA33" s="98"/>
      <c r="TQB33" s="98"/>
      <c r="TQC33" s="98"/>
      <c r="TQD33" s="98"/>
      <c r="TQE33" s="98"/>
      <c r="TQF33" s="98"/>
      <c r="TQG33" s="98"/>
      <c r="TQH33" s="98"/>
      <c r="TQI33" s="98"/>
      <c r="TQJ33" s="98"/>
      <c r="TQK33" s="98"/>
      <c r="TQL33" s="98"/>
      <c r="TQM33" s="98"/>
      <c r="TQN33" s="98"/>
      <c r="TQO33" s="98"/>
      <c r="TQP33" s="98"/>
      <c r="TQQ33" s="98"/>
      <c r="TQR33" s="98"/>
      <c r="TQS33" s="98"/>
      <c r="TQT33" s="98"/>
      <c r="TQU33" s="98"/>
      <c r="TQV33" s="98"/>
      <c r="TQW33" s="98"/>
      <c r="TQX33" s="98"/>
      <c r="TQY33" s="98"/>
      <c r="TQZ33" s="98"/>
      <c r="TRA33" s="98"/>
      <c r="TRB33" s="98"/>
      <c r="TRC33" s="98"/>
      <c r="TRD33" s="98"/>
      <c r="TRE33" s="98"/>
      <c r="TRF33" s="98"/>
      <c r="TRG33" s="98"/>
      <c r="TRH33" s="98"/>
      <c r="TRI33" s="98"/>
      <c r="TRJ33" s="98"/>
      <c r="TRK33" s="98"/>
      <c r="TRL33" s="98"/>
      <c r="TRM33" s="98"/>
      <c r="TRN33" s="98"/>
      <c r="TRO33" s="98"/>
      <c r="TRP33" s="98"/>
      <c r="TRQ33" s="98"/>
      <c r="TRR33" s="98"/>
      <c r="TRS33" s="98"/>
      <c r="TRT33" s="98"/>
      <c r="TRU33" s="98"/>
      <c r="TRV33" s="98"/>
      <c r="TRW33" s="98"/>
      <c r="TRX33" s="98"/>
      <c r="TRY33" s="98"/>
      <c r="TRZ33" s="98"/>
      <c r="TSA33" s="98"/>
      <c r="TSB33" s="98"/>
      <c r="TSC33" s="98"/>
      <c r="TSD33" s="98"/>
      <c r="TSE33" s="98"/>
      <c r="TSF33" s="98"/>
      <c r="TSG33" s="98"/>
      <c r="TSH33" s="98"/>
      <c r="TSI33" s="98"/>
      <c r="TSJ33" s="98"/>
      <c r="TSK33" s="98"/>
      <c r="TSL33" s="98"/>
      <c r="TSM33" s="98"/>
      <c r="TSN33" s="98"/>
      <c r="TSO33" s="98"/>
      <c r="TSP33" s="98"/>
      <c r="TSQ33" s="98"/>
      <c r="TSR33" s="98"/>
      <c r="TSS33" s="98"/>
      <c r="TST33" s="98"/>
      <c r="TSU33" s="98"/>
      <c r="TSV33" s="98"/>
      <c r="TSW33" s="98"/>
      <c r="TSX33" s="98"/>
      <c r="TSY33" s="98"/>
      <c r="TSZ33" s="98"/>
      <c r="TTA33" s="98"/>
      <c r="TTB33" s="98"/>
      <c r="TTC33" s="98"/>
      <c r="TTD33" s="98"/>
      <c r="TTE33" s="98"/>
      <c r="TTF33" s="98"/>
      <c r="TTG33" s="98"/>
      <c r="TTH33" s="98"/>
      <c r="TTI33" s="98"/>
      <c r="TTJ33" s="98"/>
      <c r="TTK33" s="98"/>
      <c r="TTL33" s="98"/>
      <c r="TTM33" s="98"/>
      <c r="TTN33" s="98"/>
      <c r="TTO33" s="98"/>
      <c r="TTP33" s="98"/>
      <c r="TTQ33" s="98"/>
      <c r="TTR33" s="98"/>
      <c r="TTS33" s="98"/>
      <c r="TTT33" s="98"/>
      <c r="TTU33" s="98"/>
      <c r="TTV33" s="98"/>
      <c r="TTW33" s="98"/>
      <c r="TTX33" s="98"/>
      <c r="TTY33" s="98"/>
      <c r="TTZ33" s="98"/>
      <c r="TUA33" s="98"/>
      <c r="TUB33" s="98"/>
      <c r="TUC33" s="98"/>
      <c r="TUD33" s="98"/>
      <c r="TUE33" s="98"/>
      <c r="TUF33" s="98"/>
      <c r="TUG33" s="98"/>
      <c r="TUH33" s="98"/>
      <c r="TUI33" s="98"/>
      <c r="TUJ33" s="98"/>
      <c r="TUK33" s="98"/>
      <c r="TUL33" s="98"/>
      <c r="TUM33" s="98"/>
      <c r="TUN33" s="98"/>
      <c r="TUO33" s="98"/>
      <c r="TUP33" s="98"/>
      <c r="TUQ33" s="98"/>
      <c r="TUR33" s="98"/>
      <c r="TUS33" s="98"/>
      <c r="TUT33" s="98"/>
      <c r="TUU33" s="98"/>
      <c r="TUV33" s="98"/>
      <c r="TUW33" s="98"/>
      <c r="TUX33" s="98"/>
      <c r="TUY33" s="98"/>
      <c r="TUZ33" s="98"/>
      <c r="TVA33" s="98"/>
      <c r="TVB33" s="98"/>
      <c r="TVC33" s="98"/>
      <c r="TVD33" s="98"/>
      <c r="TVE33" s="98"/>
      <c r="TVF33" s="98"/>
      <c r="TVG33" s="98"/>
      <c r="TVH33" s="98"/>
      <c r="TVI33" s="98"/>
      <c r="TVJ33" s="98"/>
      <c r="TVK33" s="98"/>
      <c r="TVL33" s="98"/>
      <c r="TVM33" s="98"/>
      <c r="TVN33" s="98"/>
      <c r="TVO33" s="98"/>
      <c r="TVP33" s="98"/>
      <c r="TVQ33" s="98"/>
      <c r="TVR33" s="98"/>
      <c r="TVS33" s="98"/>
      <c r="TVT33" s="98"/>
      <c r="TVU33" s="98"/>
      <c r="TVV33" s="98"/>
      <c r="TVW33" s="98"/>
      <c r="TVX33" s="98"/>
      <c r="TVY33" s="98"/>
      <c r="TVZ33" s="98"/>
      <c r="TWA33" s="98"/>
      <c r="TWB33" s="98"/>
      <c r="TWC33" s="98"/>
      <c r="TWD33" s="98"/>
      <c r="TWE33" s="98"/>
      <c r="TWF33" s="98"/>
      <c r="TWG33" s="98"/>
      <c r="TWH33" s="98"/>
      <c r="TWI33" s="98"/>
      <c r="TWJ33" s="98"/>
      <c r="TWK33" s="98"/>
      <c r="TWL33" s="98"/>
      <c r="TWM33" s="98"/>
      <c r="TWN33" s="98"/>
      <c r="TWO33" s="98"/>
      <c r="TWP33" s="98"/>
      <c r="TWQ33" s="98"/>
      <c r="TWR33" s="98"/>
      <c r="TWS33" s="98"/>
      <c r="TWT33" s="98"/>
      <c r="TWU33" s="98"/>
      <c r="TWV33" s="98"/>
      <c r="TWW33" s="98"/>
      <c r="TWX33" s="98"/>
      <c r="TWY33" s="98"/>
      <c r="TWZ33" s="98"/>
      <c r="TXA33" s="98"/>
      <c r="TXB33" s="98"/>
      <c r="TXC33" s="98"/>
      <c r="TXD33" s="98"/>
      <c r="TXE33" s="98"/>
      <c r="TXF33" s="98"/>
      <c r="TXG33" s="98"/>
      <c r="TXH33" s="98"/>
      <c r="TXI33" s="98"/>
      <c r="TXJ33" s="98"/>
      <c r="TXK33" s="98"/>
      <c r="TXL33" s="98"/>
      <c r="TXM33" s="98"/>
      <c r="TXN33" s="98"/>
      <c r="TXO33" s="98"/>
      <c r="TXP33" s="98"/>
      <c r="TXQ33" s="98"/>
      <c r="TXR33" s="98"/>
      <c r="TXS33" s="98"/>
      <c r="TXT33" s="98"/>
      <c r="TXU33" s="98"/>
      <c r="TXV33" s="98"/>
      <c r="TXW33" s="98"/>
      <c r="TXX33" s="98"/>
      <c r="TXY33" s="98"/>
      <c r="TXZ33" s="98"/>
      <c r="TYA33" s="98"/>
      <c r="TYB33" s="98"/>
      <c r="TYC33" s="98"/>
      <c r="TYD33" s="98"/>
      <c r="TYE33" s="98"/>
      <c r="TYF33" s="98"/>
      <c r="TYG33" s="98"/>
      <c r="TYH33" s="98"/>
      <c r="TYI33" s="98"/>
      <c r="TYJ33" s="98"/>
      <c r="TYK33" s="98"/>
      <c r="TYL33" s="98"/>
      <c r="TYM33" s="98"/>
      <c r="TYN33" s="98"/>
      <c r="TYO33" s="98"/>
      <c r="TYP33" s="98"/>
      <c r="TYQ33" s="98"/>
      <c r="TYR33" s="98"/>
      <c r="TYS33" s="98"/>
      <c r="TYT33" s="98"/>
      <c r="TYU33" s="98"/>
      <c r="TYV33" s="98"/>
      <c r="TYW33" s="98"/>
      <c r="TYX33" s="98"/>
      <c r="TYY33" s="98"/>
      <c r="TYZ33" s="98"/>
      <c r="TZA33" s="98"/>
      <c r="TZB33" s="98"/>
      <c r="TZC33" s="98"/>
      <c r="TZD33" s="98"/>
      <c r="TZE33" s="98"/>
      <c r="TZF33" s="98"/>
      <c r="TZG33" s="98"/>
      <c r="TZH33" s="98"/>
      <c r="TZI33" s="98"/>
      <c r="TZJ33" s="98"/>
      <c r="TZK33" s="98"/>
      <c r="TZL33" s="98"/>
      <c r="TZM33" s="98"/>
      <c r="TZN33" s="98"/>
      <c r="TZO33" s="98"/>
      <c r="TZP33" s="98"/>
      <c r="TZQ33" s="98"/>
      <c r="TZR33" s="98"/>
      <c r="TZS33" s="98"/>
      <c r="TZT33" s="98"/>
      <c r="TZU33" s="98"/>
      <c r="TZV33" s="98"/>
      <c r="TZW33" s="98"/>
      <c r="TZX33" s="98"/>
      <c r="TZY33" s="98"/>
      <c r="TZZ33" s="98"/>
      <c r="UAA33" s="98"/>
      <c r="UAB33" s="98"/>
      <c r="UAC33" s="98"/>
      <c r="UAD33" s="98"/>
      <c r="UAE33" s="98"/>
      <c r="UAF33" s="98"/>
      <c r="UAG33" s="98"/>
      <c r="UAH33" s="98"/>
      <c r="UAI33" s="98"/>
      <c r="UAJ33" s="98"/>
      <c r="UAK33" s="98"/>
      <c r="UAL33" s="98"/>
      <c r="UAM33" s="98"/>
      <c r="UAN33" s="98"/>
      <c r="UAO33" s="98"/>
      <c r="UAP33" s="98"/>
      <c r="UAQ33" s="98"/>
      <c r="UAR33" s="98"/>
      <c r="UAS33" s="98"/>
      <c r="UAT33" s="98"/>
      <c r="UAU33" s="98"/>
      <c r="UAV33" s="98"/>
      <c r="UAW33" s="98"/>
      <c r="UAX33" s="98"/>
      <c r="UAY33" s="98"/>
      <c r="UAZ33" s="98"/>
      <c r="UBA33" s="98"/>
      <c r="UBB33" s="98"/>
      <c r="UBC33" s="98"/>
      <c r="UBD33" s="98"/>
      <c r="UBE33" s="98"/>
      <c r="UBF33" s="98"/>
      <c r="UBG33" s="98"/>
      <c r="UBH33" s="98"/>
      <c r="UBI33" s="98"/>
      <c r="UBJ33" s="98"/>
      <c r="UBK33" s="98"/>
      <c r="UBL33" s="98"/>
      <c r="UBM33" s="98"/>
      <c r="UBN33" s="98"/>
      <c r="UBO33" s="98"/>
      <c r="UBP33" s="98"/>
      <c r="UBQ33" s="98"/>
      <c r="UBR33" s="98"/>
      <c r="UBS33" s="98"/>
      <c r="UBT33" s="98"/>
      <c r="UBU33" s="98"/>
      <c r="UBV33" s="98"/>
      <c r="UBW33" s="98"/>
      <c r="UBX33" s="98"/>
      <c r="UBY33" s="98"/>
      <c r="UBZ33" s="98"/>
      <c r="UCA33" s="98"/>
      <c r="UCB33" s="98"/>
      <c r="UCC33" s="98"/>
      <c r="UCD33" s="98"/>
      <c r="UCE33" s="98"/>
      <c r="UCF33" s="98"/>
      <c r="UCG33" s="98"/>
      <c r="UCH33" s="98"/>
      <c r="UCI33" s="98"/>
      <c r="UCJ33" s="98"/>
      <c r="UCK33" s="98"/>
      <c r="UCL33" s="98"/>
      <c r="UCM33" s="98"/>
      <c r="UCN33" s="98"/>
      <c r="UCO33" s="98"/>
      <c r="UCP33" s="98"/>
      <c r="UCQ33" s="98"/>
      <c r="UCR33" s="98"/>
      <c r="UCS33" s="98"/>
      <c r="UCT33" s="98"/>
      <c r="UCU33" s="98"/>
      <c r="UCV33" s="98"/>
      <c r="UCW33" s="98"/>
      <c r="UCX33" s="98"/>
      <c r="UCY33" s="98"/>
      <c r="UCZ33" s="98"/>
      <c r="UDA33" s="98"/>
      <c r="UDB33" s="98"/>
      <c r="UDC33" s="98"/>
      <c r="UDD33" s="98"/>
      <c r="UDE33" s="98"/>
      <c r="UDF33" s="98"/>
      <c r="UDG33" s="98"/>
      <c r="UDH33" s="98"/>
      <c r="UDI33" s="98"/>
      <c r="UDJ33" s="98"/>
      <c r="UDK33" s="98"/>
      <c r="UDL33" s="98"/>
      <c r="UDM33" s="98"/>
      <c r="UDN33" s="98"/>
      <c r="UDO33" s="98"/>
      <c r="UDP33" s="98"/>
      <c r="UDQ33" s="98"/>
      <c r="UDR33" s="98"/>
      <c r="UDS33" s="98"/>
      <c r="UDT33" s="98"/>
      <c r="UDU33" s="98"/>
      <c r="UDV33" s="98"/>
      <c r="UDW33" s="98"/>
      <c r="UDX33" s="98"/>
      <c r="UDY33" s="98"/>
      <c r="UDZ33" s="98"/>
      <c r="UEA33" s="98"/>
      <c r="UEB33" s="98"/>
      <c r="UEC33" s="98"/>
      <c r="UED33" s="98"/>
      <c r="UEE33" s="98"/>
      <c r="UEF33" s="98"/>
      <c r="UEG33" s="98"/>
      <c r="UEH33" s="98"/>
      <c r="UEI33" s="98"/>
      <c r="UEJ33" s="98"/>
      <c r="UEK33" s="98"/>
      <c r="UEL33" s="98"/>
      <c r="UEM33" s="98"/>
      <c r="UEN33" s="98"/>
      <c r="UEO33" s="98"/>
      <c r="UEP33" s="98"/>
      <c r="UEQ33" s="98"/>
      <c r="UER33" s="98"/>
      <c r="UES33" s="98"/>
      <c r="UET33" s="98"/>
      <c r="UEU33" s="98"/>
      <c r="UEV33" s="98"/>
      <c r="UEW33" s="98"/>
      <c r="UEX33" s="98"/>
      <c r="UEY33" s="98"/>
      <c r="UEZ33" s="98"/>
      <c r="UFA33" s="98"/>
      <c r="UFB33" s="98"/>
      <c r="UFC33" s="98"/>
      <c r="UFD33" s="98"/>
      <c r="UFE33" s="98"/>
      <c r="UFF33" s="98"/>
      <c r="UFG33" s="98"/>
      <c r="UFH33" s="98"/>
      <c r="UFI33" s="98"/>
      <c r="UFJ33" s="98"/>
      <c r="UFK33" s="98"/>
      <c r="UFL33" s="98"/>
      <c r="UFM33" s="98"/>
      <c r="UFN33" s="98"/>
      <c r="UFO33" s="98"/>
      <c r="UFP33" s="98"/>
      <c r="UFQ33" s="98"/>
      <c r="UFR33" s="98"/>
      <c r="UFS33" s="98"/>
      <c r="UFT33" s="98"/>
      <c r="UFU33" s="98"/>
      <c r="UFV33" s="98"/>
      <c r="UFW33" s="98"/>
      <c r="UFX33" s="98"/>
      <c r="UFY33" s="98"/>
      <c r="UFZ33" s="98"/>
      <c r="UGA33" s="98"/>
      <c r="UGB33" s="98"/>
      <c r="UGC33" s="98"/>
      <c r="UGD33" s="98"/>
      <c r="UGE33" s="98"/>
      <c r="UGF33" s="98"/>
      <c r="UGG33" s="98"/>
      <c r="UGH33" s="98"/>
      <c r="UGI33" s="98"/>
      <c r="UGJ33" s="98"/>
      <c r="UGK33" s="98"/>
      <c r="UGL33" s="98"/>
      <c r="UGM33" s="98"/>
      <c r="UGN33" s="98"/>
      <c r="UGO33" s="98"/>
      <c r="UGP33" s="98"/>
      <c r="UGQ33" s="98"/>
      <c r="UGR33" s="98"/>
      <c r="UGS33" s="98"/>
      <c r="UGT33" s="98"/>
      <c r="UGU33" s="98"/>
      <c r="UGV33" s="98"/>
      <c r="UGW33" s="98"/>
      <c r="UGX33" s="98"/>
      <c r="UGY33" s="98"/>
      <c r="UGZ33" s="98"/>
      <c r="UHA33" s="98"/>
      <c r="UHB33" s="98"/>
      <c r="UHC33" s="98"/>
      <c r="UHD33" s="98"/>
      <c r="UHE33" s="98"/>
      <c r="UHF33" s="98"/>
      <c r="UHG33" s="98"/>
      <c r="UHH33" s="98"/>
      <c r="UHI33" s="98"/>
      <c r="UHJ33" s="98"/>
      <c r="UHK33" s="98"/>
      <c r="UHL33" s="98"/>
      <c r="UHM33" s="98"/>
      <c r="UHN33" s="98"/>
      <c r="UHO33" s="98"/>
      <c r="UHP33" s="98"/>
      <c r="UHQ33" s="98"/>
      <c r="UHR33" s="98"/>
      <c r="UHS33" s="98"/>
      <c r="UHT33" s="98"/>
      <c r="UHU33" s="98"/>
      <c r="UHV33" s="98"/>
      <c r="UHW33" s="98"/>
      <c r="UHX33" s="98"/>
      <c r="UHY33" s="98"/>
      <c r="UHZ33" s="98"/>
      <c r="UIA33" s="98"/>
      <c r="UIB33" s="98"/>
      <c r="UIC33" s="98"/>
      <c r="UID33" s="98"/>
      <c r="UIE33" s="98"/>
      <c r="UIF33" s="98"/>
      <c r="UIG33" s="98"/>
      <c r="UIH33" s="98"/>
      <c r="UII33" s="98"/>
      <c r="UIJ33" s="98"/>
      <c r="UIK33" s="98"/>
      <c r="UIL33" s="98"/>
      <c r="UIM33" s="98"/>
      <c r="UIN33" s="98"/>
      <c r="UIO33" s="98"/>
      <c r="UIP33" s="98"/>
      <c r="UIQ33" s="98"/>
      <c r="UIR33" s="98"/>
      <c r="UIS33" s="98"/>
      <c r="UIT33" s="98"/>
      <c r="UIU33" s="98"/>
      <c r="UIV33" s="98"/>
      <c r="UIW33" s="98"/>
      <c r="UIX33" s="98"/>
      <c r="UIY33" s="98"/>
      <c r="UIZ33" s="98"/>
      <c r="UJA33" s="98"/>
      <c r="UJB33" s="98"/>
      <c r="UJC33" s="98"/>
      <c r="UJD33" s="98"/>
      <c r="UJE33" s="98"/>
      <c r="UJF33" s="98"/>
      <c r="UJG33" s="98"/>
      <c r="UJH33" s="98"/>
      <c r="UJI33" s="98"/>
      <c r="UJJ33" s="98"/>
      <c r="UJK33" s="98"/>
      <c r="UJL33" s="98"/>
      <c r="UJM33" s="98"/>
      <c r="UJN33" s="98"/>
      <c r="UJO33" s="98"/>
      <c r="UJP33" s="98"/>
      <c r="UJQ33" s="98"/>
      <c r="UJR33" s="98"/>
      <c r="UJS33" s="98"/>
      <c r="UJT33" s="98"/>
      <c r="UJU33" s="98"/>
      <c r="UJV33" s="98"/>
      <c r="UJW33" s="98"/>
      <c r="UJX33" s="98"/>
      <c r="UJY33" s="98"/>
      <c r="UJZ33" s="98"/>
      <c r="UKA33" s="98"/>
      <c r="UKB33" s="98"/>
      <c r="UKC33" s="98"/>
      <c r="UKD33" s="98"/>
      <c r="UKE33" s="98"/>
      <c r="UKF33" s="98"/>
      <c r="UKG33" s="98"/>
      <c r="UKH33" s="98"/>
      <c r="UKI33" s="98"/>
      <c r="UKJ33" s="98"/>
      <c r="UKK33" s="98"/>
      <c r="UKL33" s="98"/>
      <c r="UKM33" s="98"/>
      <c r="UKN33" s="98"/>
      <c r="UKO33" s="98"/>
      <c r="UKP33" s="98"/>
      <c r="UKQ33" s="98"/>
      <c r="UKR33" s="98"/>
      <c r="UKS33" s="98"/>
      <c r="UKT33" s="98"/>
      <c r="UKU33" s="98"/>
      <c r="UKV33" s="98"/>
      <c r="UKW33" s="98"/>
      <c r="UKX33" s="98"/>
      <c r="UKY33" s="98"/>
      <c r="UKZ33" s="98"/>
      <c r="ULA33" s="98"/>
      <c r="ULB33" s="98"/>
      <c r="ULC33" s="98"/>
      <c r="ULD33" s="98"/>
      <c r="ULE33" s="98"/>
      <c r="ULF33" s="98"/>
      <c r="ULG33" s="98"/>
      <c r="ULH33" s="98"/>
      <c r="ULI33" s="98"/>
      <c r="ULJ33" s="98"/>
      <c r="ULK33" s="98"/>
      <c r="ULL33" s="98"/>
      <c r="ULM33" s="98"/>
      <c r="ULN33" s="98"/>
      <c r="ULO33" s="98"/>
      <c r="ULP33" s="98"/>
      <c r="ULQ33" s="98"/>
      <c r="ULR33" s="98"/>
      <c r="ULS33" s="98"/>
      <c r="ULT33" s="98"/>
      <c r="ULU33" s="98"/>
      <c r="ULV33" s="98"/>
      <c r="ULW33" s="98"/>
      <c r="ULX33" s="98"/>
      <c r="ULY33" s="98"/>
      <c r="ULZ33" s="98"/>
      <c r="UMA33" s="98"/>
      <c r="UMB33" s="98"/>
      <c r="UMC33" s="98"/>
      <c r="UMD33" s="98"/>
      <c r="UME33" s="98"/>
      <c r="UMF33" s="98"/>
      <c r="UMG33" s="98"/>
      <c r="UMH33" s="98"/>
      <c r="UMI33" s="98"/>
      <c r="UMJ33" s="98"/>
      <c r="UMK33" s="98"/>
      <c r="UML33" s="98"/>
      <c r="UMM33" s="98"/>
      <c r="UMN33" s="98"/>
      <c r="UMO33" s="98"/>
      <c r="UMP33" s="98"/>
      <c r="UMQ33" s="98"/>
      <c r="UMR33" s="98"/>
      <c r="UMS33" s="98"/>
      <c r="UMT33" s="98"/>
      <c r="UMU33" s="98"/>
      <c r="UMV33" s="98"/>
      <c r="UMW33" s="98"/>
      <c r="UMX33" s="98"/>
      <c r="UMY33" s="98"/>
      <c r="UMZ33" s="98"/>
      <c r="UNA33" s="98"/>
      <c r="UNB33" s="98"/>
      <c r="UNC33" s="98"/>
      <c r="UND33" s="98"/>
      <c r="UNE33" s="98"/>
      <c r="UNF33" s="98"/>
      <c r="UNG33" s="98"/>
      <c r="UNH33" s="98"/>
      <c r="UNI33" s="98"/>
      <c r="UNJ33" s="98"/>
      <c r="UNK33" s="98"/>
      <c r="UNL33" s="98"/>
      <c r="UNM33" s="98"/>
      <c r="UNN33" s="98"/>
      <c r="UNO33" s="98"/>
      <c r="UNP33" s="98"/>
      <c r="UNQ33" s="98"/>
      <c r="UNR33" s="98"/>
      <c r="UNS33" s="98"/>
      <c r="UNT33" s="98"/>
      <c r="UNU33" s="98"/>
      <c r="UNV33" s="98"/>
      <c r="UNW33" s="98"/>
      <c r="UNX33" s="98"/>
      <c r="UNY33" s="98"/>
      <c r="UNZ33" s="98"/>
      <c r="UOA33" s="98"/>
      <c r="UOB33" s="98"/>
      <c r="UOC33" s="98"/>
      <c r="UOD33" s="98"/>
      <c r="UOE33" s="98"/>
      <c r="UOF33" s="98"/>
      <c r="UOG33" s="98"/>
      <c r="UOH33" s="98"/>
      <c r="UOI33" s="98"/>
      <c r="UOJ33" s="98"/>
      <c r="UOK33" s="98"/>
      <c r="UOL33" s="98"/>
      <c r="UOM33" s="98"/>
      <c r="UON33" s="98"/>
      <c r="UOO33" s="98"/>
      <c r="UOP33" s="98"/>
      <c r="UOQ33" s="98"/>
      <c r="UOR33" s="98"/>
      <c r="UOS33" s="98"/>
      <c r="UOT33" s="98"/>
      <c r="UOU33" s="98"/>
      <c r="UOV33" s="98"/>
      <c r="UOW33" s="98"/>
      <c r="UOX33" s="98"/>
      <c r="UOY33" s="98"/>
      <c r="UOZ33" s="98"/>
      <c r="UPA33" s="98"/>
      <c r="UPB33" s="98"/>
      <c r="UPC33" s="98"/>
      <c r="UPD33" s="98"/>
      <c r="UPE33" s="98"/>
      <c r="UPF33" s="98"/>
      <c r="UPG33" s="98"/>
      <c r="UPH33" s="98"/>
      <c r="UPI33" s="98"/>
      <c r="UPJ33" s="98"/>
      <c r="UPK33" s="98"/>
      <c r="UPL33" s="98"/>
      <c r="UPM33" s="98"/>
      <c r="UPN33" s="98"/>
      <c r="UPO33" s="98"/>
      <c r="UPP33" s="98"/>
      <c r="UPQ33" s="98"/>
      <c r="UPR33" s="98"/>
      <c r="UPS33" s="98"/>
      <c r="UPT33" s="98"/>
      <c r="UPU33" s="98"/>
      <c r="UPV33" s="98"/>
      <c r="UPW33" s="98"/>
      <c r="UPX33" s="98"/>
      <c r="UPY33" s="98"/>
      <c r="UPZ33" s="98"/>
      <c r="UQA33" s="98"/>
      <c r="UQB33" s="98"/>
      <c r="UQC33" s="98"/>
      <c r="UQD33" s="98"/>
      <c r="UQE33" s="98"/>
      <c r="UQF33" s="98"/>
      <c r="UQG33" s="98"/>
      <c r="UQH33" s="98"/>
      <c r="UQI33" s="98"/>
      <c r="UQJ33" s="98"/>
      <c r="UQK33" s="98"/>
      <c r="UQL33" s="98"/>
      <c r="UQM33" s="98"/>
      <c r="UQN33" s="98"/>
      <c r="UQO33" s="98"/>
      <c r="UQP33" s="98"/>
      <c r="UQQ33" s="98"/>
      <c r="UQR33" s="98"/>
      <c r="UQS33" s="98"/>
      <c r="UQT33" s="98"/>
      <c r="UQU33" s="98"/>
      <c r="UQV33" s="98"/>
      <c r="UQW33" s="98"/>
      <c r="UQX33" s="98"/>
      <c r="UQY33" s="98"/>
      <c r="UQZ33" s="98"/>
      <c r="URA33" s="98"/>
      <c r="URB33" s="98"/>
      <c r="URC33" s="98"/>
      <c r="URD33" s="98"/>
      <c r="URE33" s="98"/>
      <c r="URF33" s="98"/>
      <c r="URG33" s="98"/>
      <c r="URH33" s="98"/>
      <c r="URI33" s="98"/>
      <c r="URJ33" s="98"/>
      <c r="URK33" s="98"/>
      <c r="URL33" s="98"/>
      <c r="URM33" s="98"/>
      <c r="URN33" s="98"/>
      <c r="URO33" s="98"/>
      <c r="URP33" s="98"/>
      <c r="URQ33" s="98"/>
      <c r="URR33" s="98"/>
      <c r="URS33" s="98"/>
      <c r="URT33" s="98"/>
      <c r="URU33" s="98"/>
      <c r="URV33" s="98"/>
      <c r="URW33" s="98"/>
      <c r="URX33" s="98"/>
      <c r="URY33" s="98"/>
      <c r="URZ33" s="98"/>
      <c r="USA33" s="98"/>
      <c r="USB33" s="98"/>
      <c r="USC33" s="98"/>
      <c r="USD33" s="98"/>
      <c r="USE33" s="98"/>
      <c r="USF33" s="98"/>
      <c r="USG33" s="98"/>
      <c r="USH33" s="98"/>
      <c r="USI33" s="98"/>
      <c r="USJ33" s="98"/>
      <c r="USK33" s="98"/>
      <c r="USL33" s="98"/>
      <c r="USM33" s="98"/>
      <c r="USN33" s="98"/>
      <c r="USO33" s="98"/>
      <c r="USP33" s="98"/>
      <c r="USQ33" s="98"/>
      <c r="USR33" s="98"/>
      <c r="USS33" s="98"/>
      <c r="UST33" s="98"/>
      <c r="USU33" s="98"/>
      <c r="USV33" s="98"/>
      <c r="USW33" s="98"/>
      <c r="USX33" s="98"/>
      <c r="USY33" s="98"/>
      <c r="USZ33" s="98"/>
      <c r="UTA33" s="98"/>
      <c r="UTB33" s="98"/>
      <c r="UTC33" s="98"/>
      <c r="UTD33" s="98"/>
      <c r="UTE33" s="98"/>
      <c r="UTF33" s="98"/>
      <c r="UTG33" s="98"/>
      <c r="UTH33" s="98"/>
      <c r="UTI33" s="98"/>
      <c r="UTJ33" s="98"/>
      <c r="UTK33" s="98"/>
      <c r="UTL33" s="98"/>
      <c r="UTM33" s="98"/>
      <c r="UTN33" s="98"/>
      <c r="UTO33" s="98"/>
      <c r="UTP33" s="98"/>
      <c r="UTQ33" s="98"/>
      <c r="UTR33" s="98"/>
      <c r="UTS33" s="98"/>
      <c r="UTT33" s="98"/>
      <c r="UTU33" s="98"/>
      <c r="UTV33" s="98"/>
      <c r="UTW33" s="98"/>
      <c r="UTX33" s="98"/>
      <c r="UTY33" s="98"/>
      <c r="UTZ33" s="98"/>
      <c r="UUA33" s="98"/>
      <c r="UUB33" s="98"/>
      <c r="UUC33" s="98"/>
      <c r="UUD33" s="98"/>
      <c r="UUE33" s="98"/>
      <c r="UUF33" s="98"/>
      <c r="UUG33" s="98"/>
      <c r="UUH33" s="98"/>
      <c r="UUI33" s="98"/>
      <c r="UUJ33" s="98"/>
      <c r="UUK33" s="98"/>
      <c r="UUL33" s="98"/>
      <c r="UUM33" s="98"/>
      <c r="UUN33" s="98"/>
      <c r="UUO33" s="98"/>
      <c r="UUP33" s="98"/>
      <c r="UUQ33" s="98"/>
      <c r="UUR33" s="98"/>
      <c r="UUS33" s="98"/>
      <c r="UUT33" s="98"/>
      <c r="UUU33" s="98"/>
      <c r="UUV33" s="98"/>
      <c r="UUW33" s="98"/>
      <c r="UUX33" s="98"/>
      <c r="UUY33" s="98"/>
      <c r="UUZ33" s="98"/>
      <c r="UVA33" s="98"/>
      <c r="UVB33" s="98"/>
      <c r="UVC33" s="98"/>
      <c r="UVD33" s="98"/>
      <c r="UVE33" s="98"/>
      <c r="UVF33" s="98"/>
      <c r="UVG33" s="98"/>
      <c r="UVH33" s="98"/>
      <c r="UVI33" s="98"/>
      <c r="UVJ33" s="98"/>
      <c r="UVK33" s="98"/>
      <c r="UVL33" s="98"/>
      <c r="UVM33" s="98"/>
      <c r="UVN33" s="98"/>
      <c r="UVO33" s="98"/>
      <c r="UVP33" s="98"/>
      <c r="UVQ33" s="98"/>
      <c r="UVR33" s="98"/>
      <c r="UVS33" s="98"/>
      <c r="UVT33" s="98"/>
      <c r="UVU33" s="98"/>
      <c r="UVV33" s="98"/>
      <c r="UVW33" s="98"/>
      <c r="UVX33" s="98"/>
      <c r="UVY33" s="98"/>
      <c r="UVZ33" s="98"/>
      <c r="UWA33" s="98"/>
      <c r="UWB33" s="98"/>
      <c r="UWC33" s="98"/>
      <c r="UWD33" s="98"/>
      <c r="UWE33" s="98"/>
      <c r="UWF33" s="98"/>
      <c r="UWG33" s="98"/>
      <c r="UWH33" s="98"/>
      <c r="UWI33" s="98"/>
      <c r="UWJ33" s="98"/>
      <c r="UWK33" s="98"/>
      <c r="UWL33" s="98"/>
      <c r="UWM33" s="98"/>
      <c r="UWN33" s="98"/>
      <c r="UWO33" s="98"/>
      <c r="UWP33" s="98"/>
      <c r="UWQ33" s="98"/>
      <c r="UWR33" s="98"/>
      <c r="UWS33" s="98"/>
      <c r="UWT33" s="98"/>
      <c r="UWU33" s="98"/>
      <c r="UWV33" s="98"/>
      <c r="UWW33" s="98"/>
      <c r="UWX33" s="98"/>
      <c r="UWY33" s="98"/>
      <c r="UWZ33" s="98"/>
      <c r="UXA33" s="98"/>
      <c r="UXB33" s="98"/>
      <c r="UXC33" s="98"/>
      <c r="UXD33" s="98"/>
      <c r="UXE33" s="98"/>
      <c r="UXF33" s="98"/>
      <c r="UXG33" s="98"/>
      <c r="UXH33" s="98"/>
      <c r="UXI33" s="98"/>
      <c r="UXJ33" s="98"/>
      <c r="UXK33" s="98"/>
      <c r="UXL33" s="98"/>
      <c r="UXM33" s="98"/>
      <c r="UXN33" s="98"/>
      <c r="UXO33" s="98"/>
      <c r="UXP33" s="98"/>
      <c r="UXQ33" s="98"/>
      <c r="UXR33" s="98"/>
      <c r="UXS33" s="98"/>
      <c r="UXT33" s="98"/>
      <c r="UXU33" s="98"/>
      <c r="UXV33" s="98"/>
      <c r="UXW33" s="98"/>
      <c r="UXX33" s="98"/>
      <c r="UXY33" s="98"/>
      <c r="UXZ33" s="98"/>
      <c r="UYA33" s="98"/>
      <c r="UYB33" s="98"/>
      <c r="UYC33" s="98"/>
      <c r="UYD33" s="98"/>
      <c r="UYE33" s="98"/>
      <c r="UYF33" s="98"/>
      <c r="UYG33" s="98"/>
      <c r="UYH33" s="98"/>
      <c r="UYI33" s="98"/>
      <c r="UYJ33" s="98"/>
      <c r="UYK33" s="98"/>
      <c r="UYL33" s="98"/>
      <c r="UYM33" s="98"/>
      <c r="UYN33" s="98"/>
      <c r="UYO33" s="98"/>
      <c r="UYP33" s="98"/>
      <c r="UYQ33" s="98"/>
      <c r="UYR33" s="98"/>
      <c r="UYS33" s="98"/>
      <c r="UYT33" s="98"/>
      <c r="UYU33" s="98"/>
      <c r="UYV33" s="98"/>
      <c r="UYW33" s="98"/>
      <c r="UYX33" s="98"/>
      <c r="UYY33" s="98"/>
      <c r="UYZ33" s="98"/>
      <c r="UZA33" s="98"/>
      <c r="UZB33" s="98"/>
      <c r="UZC33" s="98"/>
      <c r="UZD33" s="98"/>
      <c r="UZE33" s="98"/>
      <c r="UZF33" s="98"/>
      <c r="UZG33" s="98"/>
      <c r="UZH33" s="98"/>
      <c r="UZI33" s="98"/>
      <c r="UZJ33" s="98"/>
      <c r="UZK33" s="98"/>
      <c r="UZL33" s="98"/>
      <c r="UZM33" s="98"/>
      <c r="UZN33" s="98"/>
      <c r="UZO33" s="98"/>
      <c r="UZP33" s="98"/>
      <c r="UZQ33" s="98"/>
      <c r="UZR33" s="98"/>
      <c r="UZS33" s="98"/>
      <c r="UZT33" s="98"/>
      <c r="UZU33" s="98"/>
      <c r="UZV33" s="98"/>
      <c r="UZW33" s="98"/>
      <c r="UZX33" s="98"/>
      <c r="UZY33" s="98"/>
      <c r="UZZ33" s="98"/>
      <c r="VAA33" s="98"/>
      <c r="VAB33" s="98"/>
      <c r="VAC33" s="98"/>
      <c r="VAD33" s="98"/>
      <c r="VAE33" s="98"/>
      <c r="VAF33" s="98"/>
      <c r="VAG33" s="98"/>
      <c r="VAH33" s="98"/>
      <c r="VAI33" s="98"/>
      <c r="VAJ33" s="98"/>
      <c r="VAK33" s="98"/>
      <c r="VAL33" s="98"/>
      <c r="VAM33" s="98"/>
      <c r="VAN33" s="98"/>
      <c r="VAO33" s="98"/>
      <c r="VAP33" s="98"/>
      <c r="VAQ33" s="98"/>
      <c r="VAR33" s="98"/>
      <c r="VAS33" s="98"/>
      <c r="VAT33" s="98"/>
      <c r="VAU33" s="98"/>
      <c r="VAV33" s="98"/>
      <c r="VAW33" s="98"/>
      <c r="VAX33" s="98"/>
      <c r="VAY33" s="98"/>
      <c r="VAZ33" s="98"/>
      <c r="VBA33" s="98"/>
      <c r="VBB33" s="98"/>
      <c r="VBC33" s="98"/>
      <c r="VBD33" s="98"/>
      <c r="VBE33" s="98"/>
      <c r="VBF33" s="98"/>
      <c r="VBG33" s="98"/>
      <c r="VBH33" s="98"/>
      <c r="VBI33" s="98"/>
      <c r="VBJ33" s="98"/>
      <c r="VBK33" s="98"/>
      <c r="VBL33" s="98"/>
      <c r="VBM33" s="98"/>
      <c r="VBN33" s="98"/>
      <c r="VBO33" s="98"/>
      <c r="VBP33" s="98"/>
      <c r="VBQ33" s="98"/>
      <c r="VBR33" s="98"/>
      <c r="VBS33" s="98"/>
      <c r="VBT33" s="98"/>
      <c r="VBU33" s="98"/>
      <c r="VBV33" s="98"/>
      <c r="VBW33" s="98"/>
      <c r="VBX33" s="98"/>
      <c r="VBY33" s="98"/>
      <c r="VBZ33" s="98"/>
      <c r="VCA33" s="98"/>
      <c r="VCB33" s="98"/>
      <c r="VCC33" s="98"/>
      <c r="VCD33" s="98"/>
      <c r="VCE33" s="98"/>
      <c r="VCF33" s="98"/>
      <c r="VCG33" s="98"/>
      <c r="VCH33" s="98"/>
      <c r="VCI33" s="98"/>
      <c r="VCJ33" s="98"/>
      <c r="VCK33" s="98"/>
      <c r="VCL33" s="98"/>
      <c r="VCM33" s="98"/>
      <c r="VCN33" s="98"/>
      <c r="VCO33" s="98"/>
      <c r="VCP33" s="98"/>
      <c r="VCQ33" s="98"/>
      <c r="VCR33" s="98"/>
      <c r="VCS33" s="98"/>
      <c r="VCT33" s="98"/>
      <c r="VCU33" s="98"/>
      <c r="VCV33" s="98"/>
      <c r="VCW33" s="98"/>
      <c r="VCX33" s="98"/>
      <c r="VCY33" s="98"/>
      <c r="VCZ33" s="98"/>
      <c r="VDA33" s="98"/>
      <c r="VDB33" s="98"/>
      <c r="VDC33" s="98"/>
      <c r="VDD33" s="98"/>
      <c r="VDE33" s="98"/>
      <c r="VDF33" s="98"/>
      <c r="VDG33" s="98"/>
      <c r="VDH33" s="98"/>
      <c r="VDI33" s="98"/>
      <c r="VDJ33" s="98"/>
      <c r="VDK33" s="98"/>
      <c r="VDL33" s="98"/>
      <c r="VDM33" s="98"/>
      <c r="VDN33" s="98"/>
      <c r="VDO33" s="98"/>
      <c r="VDP33" s="98"/>
      <c r="VDQ33" s="98"/>
      <c r="VDR33" s="98"/>
      <c r="VDS33" s="98"/>
      <c r="VDT33" s="98"/>
      <c r="VDU33" s="98"/>
      <c r="VDV33" s="98"/>
      <c r="VDW33" s="98"/>
      <c r="VDX33" s="98"/>
      <c r="VDY33" s="98"/>
      <c r="VDZ33" s="98"/>
      <c r="VEA33" s="98"/>
      <c r="VEB33" s="98"/>
      <c r="VEC33" s="98"/>
      <c r="VED33" s="98"/>
      <c r="VEE33" s="98"/>
      <c r="VEF33" s="98"/>
      <c r="VEG33" s="98"/>
      <c r="VEH33" s="98"/>
      <c r="VEI33" s="98"/>
      <c r="VEJ33" s="98"/>
      <c r="VEK33" s="98"/>
      <c r="VEL33" s="98"/>
      <c r="VEM33" s="98"/>
      <c r="VEN33" s="98"/>
      <c r="VEO33" s="98"/>
      <c r="VEP33" s="98"/>
      <c r="VEQ33" s="98"/>
      <c r="VER33" s="98"/>
      <c r="VES33" s="98"/>
      <c r="VET33" s="98"/>
      <c r="VEU33" s="98"/>
      <c r="VEV33" s="98"/>
      <c r="VEW33" s="98"/>
      <c r="VEX33" s="98"/>
      <c r="VEY33" s="98"/>
      <c r="VEZ33" s="98"/>
      <c r="VFA33" s="98"/>
      <c r="VFB33" s="98"/>
      <c r="VFC33" s="98"/>
      <c r="VFD33" s="98"/>
      <c r="VFE33" s="98"/>
      <c r="VFF33" s="98"/>
      <c r="VFG33" s="98"/>
      <c r="VFH33" s="98"/>
      <c r="VFI33" s="98"/>
      <c r="VFJ33" s="98"/>
      <c r="VFK33" s="98"/>
      <c r="VFL33" s="98"/>
      <c r="VFM33" s="98"/>
      <c r="VFN33" s="98"/>
      <c r="VFO33" s="98"/>
      <c r="VFP33" s="98"/>
      <c r="VFQ33" s="98"/>
      <c r="VFR33" s="98"/>
      <c r="VFS33" s="98"/>
      <c r="VFT33" s="98"/>
      <c r="VFU33" s="98"/>
      <c r="VFV33" s="98"/>
      <c r="VFW33" s="98"/>
      <c r="VFX33" s="98"/>
      <c r="VFY33" s="98"/>
      <c r="VFZ33" s="98"/>
      <c r="VGA33" s="98"/>
      <c r="VGB33" s="98"/>
      <c r="VGC33" s="98"/>
      <c r="VGD33" s="98"/>
      <c r="VGE33" s="98"/>
      <c r="VGF33" s="98"/>
      <c r="VGG33" s="98"/>
      <c r="VGH33" s="98"/>
      <c r="VGI33" s="98"/>
      <c r="VGJ33" s="98"/>
      <c r="VGK33" s="98"/>
      <c r="VGL33" s="98"/>
      <c r="VGM33" s="98"/>
      <c r="VGN33" s="98"/>
      <c r="VGO33" s="98"/>
      <c r="VGP33" s="98"/>
      <c r="VGQ33" s="98"/>
      <c r="VGR33" s="98"/>
      <c r="VGS33" s="98"/>
      <c r="VGT33" s="98"/>
      <c r="VGU33" s="98"/>
      <c r="VGV33" s="98"/>
      <c r="VGW33" s="98"/>
      <c r="VGX33" s="98"/>
      <c r="VGY33" s="98"/>
      <c r="VGZ33" s="98"/>
      <c r="VHA33" s="98"/>
      <c r="VHB33" s="98"/>
      <c r="VHC33" s="98"/>
      <c r="VHD33" s="98"/>
      <c r="VHE33" s="98"/>
      <c r="VHF33" s="98"/>
      <c r="VHG33" s="98"/>
      <c r="VHH33" s="98"/>
      <c r="VHI33" s="98"/>
      <c r="VHJ33" s="98"/>
      <c r="VHK33" s="98"/>
      <c r="VHL33" s="98"/>
      <c r="VHM33" s="98"/>
      <c r="VHN33" s="98"/>
      <c r="VHO33" s="98"/>
      <c r="VHP33" s="98"/>
      <c r="VHQ33" s="98"/>
      <c r="VHR33" s="98"/>
      <c r="VHS33" s="98"/>
      <c r="VHT33" s="98"/>
      <c r="VHU33" s="98"/>
      <c r="VHV33" s="98"/>
      <c r="VHW33" s="98"/>
      <c r="VHX33" s="98"/>
      <c r="VHY33" s="98"/>
      <c r="VHZ33" s="98"/>
      <c r="VIA33" s="98"/>
      <c r="VIB33" s="98"/>
      <c r="VIC33" s="98"/>
      <c r="VID33" s="98"/>
      <c r="VIE33" s="98"/>
      <c r="VIF33" s="98"/>
      <c r="VIG33" s="98"/>
      <c r="VIH33" s="98"/>
      <c r="VII33" s="98"/>
      <c r="VIJ33" s="98"/>
      <c r="VIK33" s="98"/>
      <c r="VIL33" s="98"/>
      <c r="VIM33" s="98"/>
      <c r="VIN33" s="98"/>
      <c r="VIO33" s="98"/>
      <c r="VIP33" s="98"/>
      <c r="VIQ33" s="98"/>
      <c r="VIR33" s="98"/>
      <c r="VIS33" s="98"/>
      <c r="VIT33" s="98"/>
      <c r="VIU33" s="98"/>
      <c r="VIV33" s="98"/>
      <c r="VIW33" s="98"/>
      <c r="VIX33" s="98"/>
      <c r="VIY33" s="98"/>
      <c r="VIZ33" s="98"/>
      <c r="VJA33" s="98"/>
      <c r="VJB33" s="98"/>
      <c r="VJC33" s="98"/>
      <c r="VJD33" s="98"/>
      <c r="VJE33" s="98"/>
      <c r="VJF33" s="98"/>
      <c r="VJG33" s="98"/>
      <c r="VJH33" s="98"/>
      <c r="VJI33" s="98"/>
      <c r="VJJ33" s="98"/>
      <c r="VJK33" s="98"/>
      <c r="VJL33" s="98"/>
      <c r="VJM33" s="98"/>
      <c r="VJN33" s="98"/>
      <c r="VJO33" s="98"/>
      <c r="VJP33" s="98"/>
      <c r="VJQ33" s="98"/>
      <c r="VJR33" s="98"/>
      <c r="VJS33" s="98"/>
      <c r="VJT33" s="98"/>
      <c r="VJU33" s="98"/>
      <c r="VJV33" s="98"/>
      <c r="VJW33" s="98"/>
      <c r="VJX33" s="98"/>
      <c r="VJY33" s="98"/>
      <c r="VJZ33" s="98"/>
      <c r="VKA33" s="98"/>
      <c r="VKB33" s="98"/>
      <c r="VKC33" s="98"/>
      <c r="VKD33" s="98"/>
      <c r="VKE33" s="98"/>
      <c r="VKF33" s="98"/>
      <c r="VKG33" s="98"/>
      <c r="VKH33" s="98"/>
      <c r="VKI33" s="98"/>
      <c r="VKJ33" s="98"/>
      <c r="VKK33" s="98"/>
      <c r="VKL33" s="98"/>
      <c r="VKM33" s="98"/>
      <c r="VKN33" s="98"/>
      <c r="VKO33" s="98"/>
      <c r="VKP33" s="98"/>
      <c r="VKQ33" s="98"/>
      <c r="VKR33" s="98"/>
      <c r="VKS33" s="98"/>
      <c r="VKT33" s="98"/>
      <c r="VKU33" s="98"/>
      <c r="VKV33" s="98"/>
      <c r="VKW33" s="98"/>
      <c r="VKX33" s="98"/>
      <c r="VKY33" s="98"/>
      <c r="VKZ33" s="98"/>
      <c r="VLA33" s="98"/>
      <c r="VLB33" s="98"/>
      <c r="VLC33" s="98"/>
      <c r="VLD33" s="98"/>
      <c r="VLE33" s="98"/>
      <c r="VLF33" s="98"/>
      <c r="VLG33" s="98"/>
      <c r="VLH33" s="98"/>
      <c r="VLI33" s="98"/>
      <c r="VLJ33" s="98"/>
      <c r="VLK33" s="98"/>
      <c r="VLL33" s="98"/>
      <c r="VLM33" s="98"/>
      <c r="VLN33" s="98"/>
      <c r="VLO33" s="98"/>
      <c r="VLP33" s="98"/>
      <c r="VLQ33" s="98"/>
      <c r="VLR33" s="98"/>
      <c r="VLS33" s="98"/>
      <c r="VLT33" s="98"/>
      <c r="VLU33" s="98"/>
      <c r="VLV33" s="98"/>
      <c r="VLW33" s="98"/>
      <c r="VLX33" s="98"/>
      <c r="VLY33" s="98"/>
      <c r="VLZ33" s="98"/>
      <c r="VMA33" s="98"/>
      <c r="VMB33" s="98"/>
      <c r="VMC33" s="98"/>
      <c r="VMD33" s="98"/>
      <c r="VME33" s="98"/>
      <c r="VMF33" s="98"/>
      <c r="VMG33" s="98"/>
      <c r="VMH33" s="98"/>
      <c r="VMI33" s="98"/>
      <c r="VMJ33" s="98"/>
      <c r="VMK33" s="98"/>
      <c r="VML33" s="98"/>
      <c r="VMM33" s="98"/>
      <c r="VMN33" s="98"/>
      <c r="VMO33" s="98"/>
      <c r="VMP33" s="98"/>
      <c r="VMQ33" s="98"/>
      <c r="VMR33" s="98"/>
      <c r="VMS33" s="98"/>
      <c r="VMT33" s="98"/>
      <c r="VMU33" s="98"/>
      <c r="VMV33" s="98"/>
      <c r="VMW33" s="98"/>
      <c r="VMX33" s="98"/>
      <c r="VMY33" s="98"/>
      <c r="VMZ33" s="98"/>
      <c r="VNA33" s="98"/>
      <c r="VNB33" s="98"/>
      <c r="VNC33" s="98"/>
      <c r="VND33" s="98"/>
      <c r="VNE33" s="98"/>
      <c r="VNF33" s="98"/>
      <c r="VNG33" s="98"/>
      <c r="VNH33" s="98"/>
      <c r="VNI33" s="98"/>
      <c r="VNJ33" s="98"/>
      <c r="VNK33" s="98"/>
      <c r="VNL33" s="98"/>
      <c r="VNM33" s="98"/>
      <c r="VNN33" s="98"/>
      <c r="VNO33" s="98"/>
      <c r="VNP33" s="98"/>
      <c r="VNQ33" s="98"/>
      <c r="VNR33" s="98"/>
      <c r="VNS33" s="98"/>
      <c r="VNT33" s="98"/>
      <c r="VNU33" s="98"/>
      <c r="VNV33" s="98"/>
      <c r="VNW33" s="98"/>
      <c r="VNX33" s="98"/>
      <c r="VNY33" s="98"/>
      <c r="VNZ33" s="98"/>
      <c r="VOA33" s="98"/>
      <c r="VOB33" s="98"/>
      <c r="VOC33" s="98"/>
      <c r="VOD33" s="98"/>
      <c r="VOE33" s="98"/>
      <c r="VOF33" s="98"/>
      <c r="VOG33" s="98"/>
      <c r="VOH33" s="98"/>
      <c r="VOI33" s="98"/>
      <c r="VOJ33" s="98"/>
      <c r="VOK33" s="98"/>
      <c r="VOL33" s="98"/>
      <c r="VOM33" s="98"/>
      <c r="VON33" s="98"/>
      <c r="VOO33" s="98"/>
      <c r="VOP33" s="98"/>
      <c r="VOQ33" s="98"/>
      <c r="VOR33" s="98"/>
      <c r="VOS33" s="98"/>
      <c r="VOT33" s="98"/>
      <c r="VOU33" s="98"/>
      <c r="VOV33" s="98"/>
      <c r="VOW33" s="98"/>
      <c r="VOX33" s="98"/>
      <c r="VOY33" s="98"/>
      <c r="VOZ33" s="98"/>
      <c r="VPA33" s="98"/>
      <c r="VPB33" s="98"/>
      <c r="VPC33" s="98"/>
      <c r="VPD33" s="98"/>
      <c r="VPE33" s="98"/>
      <c r="VPF33" s="98"/>
      <c r="VPG33" s="98"/>
      <c r="VPH33" s="98"/>
      <c r="VPI33" s="98"/>
      <c r="VPJ33" s="98"/>
      <c r="VPK33" s="98"/>
      <c r="VPL33" s="98"/>
      <c r="VPM33" s="98"/>
      <c r="VPN33" s="98"/>
      <c r="VPO33" s="98"/>
      <c r="VPP33" s="98"/>
      <c r="VPQ33" s="98"/>
      <c r="VPR33" s="98"/>
      <c r="VPS33" s="98"/>
      <c r="VPT33" s="98"/>
      <c r="VPU33" s="98"/>
      <c r="VPV33" s="98"/>
      <c r="VPW33" s="98"/>
      <c r="VPX33" s="98"/>
      <c r="VPY33" s="98"/>
      <c r="VPZ33" s="98"/>
      <c r="VQA33" s="98"/>
      <c r="VQB33" s="98"/>
      <c r="VQC33" s="98"/>
      <c r="VQD33" s="98"/>
      <c r="VQE33" s="98"/>
      <c r="VQF33" s="98"/>
      <c r="VQG33" s="98"/>
      <c r="VQH33" s="98"/>
      <c r="VQI33" s="98"/>
      <c r="VQJ33" s="98"/>
      <c r="VQK33" s="98"/>
      <c r="VQL33" s="98"/>
      <c r="VQM33" s="98"/>
      <c r="VQN33" s="98"/>
      <c r="VQO33" s="98"/>
      <c r="VQP33" s="98"/>
      <c r="VQQ33" s="98"/>
      <c r="VQR33" s="98"/>
      <c r="VQS33" s="98"/>
      <c r="VQT33" s="98"/>
      <c r="VQU33" s="98"/>
      <c r="VQV33" s="98"/>
      <c r="VQW33" s="98"/>
      <c r="VQX33" s="98"/>
      <c r="VQY33" s="98"/>
      <c r="VQZ33" s="98"/>
      <c r="VRA33" s="98"/>
      <c r="VRB33" s="98"/>
      <c r="VRC33" s="98"/>
      <c r="VRD33" s="98"/>
      <c r="VRE33" s="98"/>
      <c r="VRF33" s="98"/>
      <c r="VRG33" s="98"/>
      <c r="VRH33" s="98"/>
      <c r="VRI33" s="98"/>
      <c r="VRJ33" s="98"/>
      <c r="VRK33" s="98"/>
      <c r="VRL33" s="98"/>
      <c r="VRM33" s="98"/>
      <c r="VRN33" s="98"/>
      <c r="VRO33" s="98"/>
      <c r="VRP33" s="98"/>
      <c r="VRQ33" s="98"/>
      <c r="VRR33" s="98"/>
      <c r="VRS33" s="98"/>
      <c r="VRT33" s="98"/>
      <c r="VRU33" s="98"/>
      <c r="VRV33" s="98"/>
      <c r="VRW33" s="98"/>
      <c r="VRX33" s="98"/>
      <c r="VRY33" s="98"/>
      <c r="VRZ33" s="98"/>
      <c r="VSA33" s="98"/>
      <c r="VSB33" s="98"/>
      <c r="VSC33" s="98"/>
      <c r="VSD33" s="98"/>
      <c r="VSE33" s="98"/>
      <c r="VSF33" s="98"/>
      <c r="VSG33" s="98"/>
      <c r="VSH33" s="98"/>
      <c r="VSI33" s="98"/>
      <c r="VSJ33" s="98"/>
      <c r="VSK33" s="98"/>
      <c r="VSL33" s="98"/>
      <c r="VSM33" s="98"/>
      <c r="VSN33" s="98"/>
      <c r="VSO33" s="98"/>
      <c r="VSP33" s="98"/>
      <c r="VSQ33" s="98"/>
      <c r="VSR33" s="98"/>
      <c r="VSS33" s="98"/>
      <c r="VST33" s="98"/>
      <c r="VSU33" s="98"/>
      <c r="VSV33" s="98"/>
      <c r="VSW33" s="98"/>
      <c r="VSX33" s="98"/>
      <c r="VSY33" s="98"/>
      <c r="VSZ33" s="98"/>
      <c r="VTA33" s="98"/>
      <c r="VTB33" s="98"/>
      <c r="VTC33" s="98"/>
      <c r="VTD33" s="98"/>
      <c r="VTE33" s="98"/>
      <c r="VTF33" s="98"/>
      <c r="VTG33" s="98"/>
      <c r="VTH33" s="98"/>
      <c r="VTI33" s="98"/>
      <c r="VTJ33" s="98"/>
      <c r="VTK33" s="98"/>
      <c r="VTL33" s="98"/>
      <c r="VTM33" s="98"/>
      <c r="VTN33" s="98"/>
      <c r="VTO33" s="98"/>
      <c r="VTP33" s="98"/>
      <c r="VTQ33" s="98"/>
      <c r="VTR33" s="98"/>
      <c r="VTS33" s="98"/>
      <c r="VTT33" s="98"/>
      <c r="VTU33" s="98"/>
      <c r="VTV33" s="98"/>
      <c r="VTW33" s="98"/>
      <c r="VTX33" s="98"/>
      <c r="VTY33" s="98"/>
      <c r="VTZ33" s="98"/>
      <c r="VUA33" s="98"/>
      <c r="VUB33" s="98"/>
      <c r="VUC33" s="98"/>
      <c r="VUD33" s="98"/>
      <c r="VUE33" s="98"/>
      <c r="VUF33" s="98"/>
      <c r="VUG33" s="98"/>
      <c r="VUH33" s="98"/>
      <c r="VUI33" s="98"/>
      <c r="VUJ33" s="98"/>
      <c r="VUK33" s="98"/>
      <c r="VUL33" s="98"/>
      <c r="VUM33" s="98"/>
      <c r="VUN33" s="98"/>
      <c r="VUO33" s="98"/>
      <c r="VUP33" s="98"/>
      <c r="VUQ33" s="98"/>
      <c r="VUR33" s="98"/>
      <c r="VUS33" s="98"/>
      <c r="VUT33" s="98"/>
      <c r="VUU33" s="98"/>
      <c r="VUV33" s="98"/>
      <c r="VUW33" s="98"/>
      <c r="VUX33" s="98"/>
      <c r="VUY33" s="98"/>
      <c r="VUZ33" s="98"/>
      <c r="VVA33" s="98"/>
      <c r="VVB33" s="98"/>
      <c r="VVC33" s="98"/>
      <c r="VVD33" s="98"/>
      <c r="VVE33" s="98"/>
      <c r="VVF33" s="98"/>
      <c r="VVG33" s="98"/>
      <c r="VVH33" s="98"/>
      <c r="VVI33" s="98"/>
      <c r="VVJ33" s="98"/>
      <c r="VVK33" s="98"/>
      <c r="VVL33" s="98"/>
      <c r="VVM33" s="98"/>
      <c r="VVN33" s="98"/>
      <c r="VVO33" s="98"/>
      <c r="VVP33" s="98"/>
      <c r="VVQ33" s="98"/>
      <c r="VVR33" s="98"/>
      <c r="VVS33" s="98"/>
      <c r="VVT33" s="98"/>
      <c r="VVU33" s="98"/>
      <c r="VVV33" s="98"/>
      <c r="VVW33" s="98"/>
      <c r="VVX33" s="98"/>
      <c r="VVY33" s="98"/>
      <c r="VVZ33" s="98"/>
      <c r="VWA33" s="98"/>
      <c r="VWB33" s="98"/>
      <c r="VWC33" s="98"/>
      <c r="VWD33" s="98"/>
      <c r="VWE33" s="98"/>
      <c r="VWF33" s="98"/>
      <c r="VWG33" s="98"/>
      <c r="VWH33" s="98"/>
      <c r="VWI33" s="98"/>
      <c r="VWJ33" s="98"/>
      <c r="VWK33" s="98"/>
      <c r="VWL33" s="98"/>
      <c r="VWM33" s="98"/>
      <c r="VWN33" s="98"/>
      <c r="VWO33" s="98"/>
      <c r="VWP33" s="98"/>
      <c r="VWQ33" s="98"/>
      <c r="VWR33" s="98"/>
      <c r="VWS33" s="98"/>
      <c r="VWT33" s="98"/>
      <c r="VWU33" s="98"/>
      <c r="VWV33" s="98"/>
      <c r="VWW33" s="98"/>
      <c r="VWX33" s="98"/>
      <c r="VWY33" s="98"/>
      <c r="VWZ33" s="98"/>
      <c r="VXA33" s="98"/>
      <c r="VXB33" s="98"/>
      <c r="VXC33" s="98"/>
      <c r="VXD33" s="98"/>
      <c r="VXE33" s="98"/>
      <c r="VXF33" s="98"/>
      <c r="VXG33" s="98"/>
      <c r="VXH33" s="98"/>
      <c r="VXI33" s="98"/>
      <c r="VXJ33" s="98"/>
      <c r="VXK33" s="98"/>
      <c r="VXL33" s="98"/>
      <c r="VXM33" s="98"/>
      <c r="VXN33" s="98"/>
      <c r="VXO33" s="98"/>
      <c r="VXP33" s="98"/>
      <c r="VXQ33" s="98"/>
      <c r="VXR33" s="98"/>
      <c r="VXS33" s="98"/>
      <c r="VXT33" s="98"/>
      <c r="VXU33" s="98"/>
      <c r="VXV33" s="98"/>
      <c r="VXW33" s="98"/>
      <c r="VXX33" s="98"/>
      <c r="VXY33" s="98"/>
      <c r="VXZ33" s="98"/>
      <c r="VYA33" s="98"/>
      <c r="VYB33" s="98"/>
      <c r="VYC33" s="98"/>
      <c r="VYD33" s="98"/>
      <c r="VYE33" s="98"/>
      <c r="VYF33" s="98"/>
      <c r="VYG33" s="98"/>
      <c r="VYH33" s="98"/>
      <c r="VYI33" s="98"/>
      <c r="VYJ33" s="98"/>
      <c r="VYK33" s="98"/>
      <c r="VYL33" s="98"/>
      <c r="VYM33" s="98"/>
      <c r="VYN33" s="98"/>
      <c r="VYO33" s="98"/>
      <c r="VYP33" s="98"/>
      <c r="VYQ33" s="98"/>
      <c r="VYR33" s="98"/>
      <c r="VYS33" s="98"/>
      <c r="VYT33" s="98"/>
      <c r="VYU33" s="98"/>
      <c r="VYV33" s="98"/>
      <c r="VYW33" s="98"/>
      <c r="VYX33" s="98"/>
      <c r="VYY33" s="98"/>
      <c r="VYZ33" s="98"/>
      <c r="VZA33" s="98"/>
      <c r="VZB33" s="98"/>
      <c r="VZC33" s="98"/>
      <c r="VZD33" s="98"/>
      <c r="VZE33" s="98"/>
      <c r="VZF33" s="98"/>
      <c r="VZG33" s="98"/>
      <c r="VZH33" s="98"/>
      <c r="VZI33" s="98"/>
      <c r="VZJ33" s="98"/>
      <c r="VZK33" s="98"/>
      <c r="VZL33" s="98"/>
      <c r="VZM33" s="98"/>
      <c r="VZN33" s="98"/>
      <c r="VZO33" s="98"/>
      <c r="VZP33" s="98"/>
      <c r="VZQ33" s="98"/>
      <c r="VZR33" s="98"/>
      <c r="VZS33" s="98"/>
      <c r="VZT33" s="98"/>
      <c r="VZU33" s="98"/>
      <c r="VZV33" s="98"/>
      <c r="VZW33" s="98"/>
      <c r="VZX33" s="98"/>
      <c r="VZY33" s="98"/>
      <c r="VZZ33" s="98"/>
      <c r="WAA33" s="98"/>
      <c r="WAB33" s="98"/>
      <c r="WAC33" s="98"/>
      <c r="WAD33" s="98"/>
      <c r="WAE33" s="98"/>
      <c r="WAF33" s="98"/>
      <c r="WAG33" s="98"/>
      <c r="WAH33" s="98"/>
      <c r="WAI33" s="98"/>
      <c r="WAJ33" s="98"/>
      <c r="WAK33" s="98"/>
      <c r="WAL33" s="98"/>
      <c r="WAM33" s="98"/>
      <c r="WAN33" s="98"/>
      <c r="WAO33" s="98"/>
      <c r="WAP33" s="98"/>
      <c r="WAQ33" s="98"/>
      <c r="WAR33" s="98"/>
      <c r="WAS33" s="98"/>
      <c r="WAT33" s="98"/>
      <c r="WAU33" s="98"/>
      <c r="WAV33" s="98"/>
      <c r="WAW33" s="98"/>
      <c r="WAX33" s="98"/>
      <c r="WAY33" s="98"/>
      <c r="WAZ33" s="98"/>
      <c r="WBA33" s="98"/>
      <c r="WBB33" s="98"/>
      <c r="WBC33" s="98"/>
      <c r="WBD33" s="98"/>
      <c r="WBE33" s="98"/>
      <c r="WBF33" s="98"/>
      <c r="WBG33" s="98"/>
      <c r="WBH33" s="98"/>
      <c r="WBI33" s="98"/>
      <c r="WBJ33" s="98"/>
      <c r="WBK33" s="98"/>
      <c r="WBL33" s="98"/>
      <c r="WBM33" s="98"/>
      <c r="WBN33" s="98"/>
      <c r="WBO33" s="98"/>
      <c r="WBP33" s="98"/>
      <c r="WBQ33" s="98"/>
      <c r="WBR33" s="98"/>
      <c r="WBS33" s="98"/>
      <c r="WBT33" s="98"/>
      <c r="WBU33" s="98"/>
      <c r="WBV33" s="98"/>
      <c r="WBW33" s="98"/>
      <c r="WBX33" s="98"/>
      <c r="WBY33" s="98"/>
      <c r="WBZ33" s="98"/>
      <c r="WCA33" s="98"/>
      <c r="WCB33" s="98"/>
      <c r="WCC33" s="98"/>
      <c r="WCD33" s="98"/>
      <c r="WCE33" s="98"/>
      <c r="WCF33" s="98"/>
      <c r="WCG33" s="98"/>
      <c r="WCH33" s="98"/>
      <c r="WCI33" s="98"/>
      <c r="WCJ33" s="98"/>
      <c r="WCK33" s="98"/>
      <c r="WCL33" s="98"/>
      <c r="WCM33" s="98"/>
      <c r="WCN33" s="98"/>
      <c r="WCO33" s="98"/>
      <c r="WCP33" s="98"/>
      <c r="WCQ33" s="98"/>
      <c r="WCR33" s="98"/>
      <c r="WCS33" s="98"/>
      <c r="WCT33" s="98"/>
      <c r="WCU33" s="98"/>
      <c r="WCV33" s="98"/>
      <c r="WCW33" s="98"/>
      <c r="WCX33" s="98"/>
      <c r="WCY33" s="98"/>
      <c r="WCZ33" s="98"/>
      <c r="WDA33" s="98"/>
      <c r="WDB33" s="98"/>
      <c r="WDC33" s="98"/>
      <c r="WDD33" s="98"/>
      <c r="WDE33" s="98"/>
      <c r="WDF33" s="98"/>
      <c r="WDG33" s="98"/>
      <c r="WDH33" s="98"/>
      <c r="WDI33" s="98"/>
      <c r="WDJ33" s="98"/>
      <c r="WDK33" s="98"/>
      <c r="WDL33" s="98"/>
      <c r="WDM33" s="98"/>
      <c r="WDN33" s="98"/>
      <c r="WDO33" s="98"/>
      <c r="WDP33" s="98"/>
      <c r="WDQ33" s="98"/>
      <c r="WDR33" s="98"/>
      <c r="WDS33" s="98"/>
      <c r="WDT33" s="98"/>
      <c r="WDU33" s="98"/>
      <c r="WDV33" s="98"/>
      <c r="WDW33" s="98"/>
      <c r="WDX33" s="98"/>
      <c r="WDY33" s="98"/>
      <c r="WDZ33" s="98"/>
      <c r="WEA33" s="98"/>
      <c r="WEB33" s="98"/>
      <c r="WEC33" s="98"/>
      <c r="WED33" s="98"/>
      <c r="WEE33" s="98"/>
      <c r="WEF33" s="98"/>
      <c r="WEG33" s="98"/>
      <c r="WEH33" s="98"/>
      <c r="WEI33" s="98"/>
      <c r="WEJ33" s="98"/>
      <c r="WEK33" s="98"/>
      <c r="WEL33" s="98"/>
      <c r="WEM33" s="98"/>
      <c r="WEN33" s="98"/>
      <c r="WEO33" s="98"/>
      <c r="WEP33" s="98"/>
      <c r="WEQ33" s="98"/>
      <c r="WER33" s="98"/>
      <c r="WES33" s="98"/>
      <c r="WET33" s="98"/>
      <c r="WEU33" s="98"/>
      <c r="WEV33" s="98"/>
      <c r="WEW33" s="98"/>
      <c r="WEX33" s="98"/>
      <c r="WEY33" s="98"/>
      <c r="WEZ33" s="98"/>
      <c r="WFA33" s="98"/>
      <c r="WFB33" s="98"/>
      <c r="WFC33" s="98"/>
      <c r="WFD33" s="98"/>
      <c r="WFE33" s="98"/>
      <c r="WFF33" s="98"/>
      <c r="WFG33" s="98"/>
      <c r="WFH33" s="98"/>
      <c r="WFI33" s="98"/>
      <c r="WFJ33" s="98"/>
      <c r="WFK33" s="98"/>
      <c r="WFL33" s="98"/>
      <c r="WFM33" s="98"/>
      <c r="WFN33" s="98"/>
      <c r="WFO33" s="98"/>
      <c r="WFP33" s="98"/>
      <c r="WFQ33" s="98"/>
      <c r="WFR33" s="98"/>
      <c r="WFS33" s="98"/>
      <c r="WFT33" s="98"/>
      <c r="WFU33" s="98"/>
      <c r="WFV33" s="98"/>
      <c r="WFW33" s="98"/>
      <c r="WFX33" s="98"/>
      <c r="WFY33" s="98"/>
      <c r="WFZ33" s="98"/>
      <c r="WGA33" s="98"/>
      <c r="WGB33" s="98"/>
      <c r="WGC33" s="98"/>
      <c r="WGD33" s="98"/>
      <c r="WGE33" s="98"/>
      <c r="WGF33" s="98"/>
      <c r="WGG33" s="98"/>
      <c r="WGH33" s="98"/>
      <c r="WGI33" s="98"/>
      <c r="WGJ33" s="98"/>
      <c r="WGK33" s="98"/>
      <c r="WGL33" s="98"/>
      <c r="WGM33" s="98"/>
      <c r="WGN33" s="98"/>
      <c r="WGO33" s="98"/>
      <c r="WGP33" s="98"/>
      <c r="WGQ33" s="98"/>
      <c r="WGR33" s="98"/>
      <c r="WGS33" s="98"/>
      <c r="WGT33" s="98"/>
      <c r="WGU33" s="98"/>
      <c r="WGV33" s="98"/>
      <c r="WGW33" s="98"/>
      <c r="WGX33" s="98"/>
      <c r="WGY33" s="98"/>
      <c r="WGZ33" s="98"/>
      <c r="WHA33" s="98"/>
      <c r="WHB33" s="98"/>
      <c r="WHC33" s="98"/>
      <c r="WHD33" s="98"/>
      <c r="WHE33" s="98"/>
      <c r="WHF33" s="98"/>
      <c r="WHG33" s="98"/>
      <c r="WHH33" s="98"/>
      <c r="WHI33" s="98"/>
      <c r="WHJ33" s="98"/>
      <c r="WHK33" s="98"/>
      <c r="WHL33" s="98"/>
      <c r="WHM33" s="98"/>
      <c r="WHN33" s="98"/>
      <c r="WHO33" s="98"/>
      <c r="WHP33" s="98"/>
      <c r="WHQ33" s="98"/>
      <c r="WHR33" s="98"/>
      <c r="WHS33" s="98"/>
      <c r="WHT33" s="98"/>
      <c r="WHU33" s="98"/>
      <c r="WHV33" s="98"/>
      <c r="WHW33" s="98"/>
      <c r="WHX33" s="98"/>
      <c r="WHY33" s="98"/>
      <c r="WHZ33" s="98"/>
      <c r="WIA33" s="98"/>
      <c r="WIB33" s="98"/>
      <c r="WIC33" s="98"/>
      <c r="WID33" s="98"/>
      <c r="WIE33" s="98"/>
      <c r="WIF33" s="98"/>
      <c r="WIG33" s="98"/>
      <c r="WIH33" s="98"/>
      <c r="WII33" s="98"/>
      <c r="WIJ33" s="98"/>
      <c r="WIK33" s="98"/>
      <c r="WIL33" s="98"/>
      <c r="WIM33" s="98"/>
      <c r="WIN33" s="98"/>
      <c r="WIO33" s="98"/>
      <c r="WIP33" s="98"/>
      <c r="WIQ33" s="98"/>
      <c r="WIR33" s="98"/>
      <c r="WIS33" s="98"/>
      <c r="WIT33" s="98"/>
      <c r="WIU33" s="98"/>
      <c r="WIV33" s="98"/>
      <c r="WIW33" s="98"/>
      <c r="WIX33" s="98"/>
      <c r="WIY33" s="98"/>
      <c r="WIZ33" s="98"/>
      <c r="WJA33" s="98"/>
      <c r="WJB33" s="98"/>
      <c r="WJC33" s="98"/>
      <c r="WJD33" s="98"/>
      <c r="WJE33" s="98"/>
      <c r="WJF33" s="98"/>
      <c r="WJG33" s="98"/>
      <c r="WJH33" s="98"/>
      <c r="WJI33" s="98"/>
      <c r="WJJ33" s="98"/>
      <c r="WJK33" s="98"/>
      <c r="WJL33" s="98"/>
      <c r="WJM33" s="98"/>
      <c r="WJN33" s="98"/>
      <c r="WJO33" s="98"/>
      <c r="WJP33" s="98"/>
      <c r="WJQ33" s="98"/>
      <c r="WJR33" s="98"/>
      <c r="WJS33" s="98"/>
      <c r="WJT33" s="98"/>
      <c r="WJU33" s="98"/>
      <c r="WJV33" s="98"/>
      <c r="WJW33" s="98"/>
      <c r="WJX33" s="98"/>
      <c r="WJY33" s="98"/>
      <c r="WJZ33" s="98"/>
      <c r="WKA33" s="98"/>
      <c r="WKB33" s="98"/>
      <c r="WKC33" s="98"/>
      <c r="WKD33" s="98"/>
      <c r="WKE33" s="98"/>
      <c r="WKF33" s="98"/>
      <c r="WKG33" s="98"/>
      <c r="WKH33" s="98"/>
      <c r="WKI33" s="98"/>
      <c r="WKJ33" s="98"/>
      <c r="WKK33" s="98"/>
      <c r="WKL33" s="98"/>
      <c r="WKM33" s="98"/>
      <c r="WKN33" s="98"/>
      <c r="WKO33" s="98"/>
      <c r="WKP33" s="98"/>
      <c r="WKQ33" s="98"/>
      <c r="WKR33" s="98"/>
      <c r="WKS33" s="98"/>
      <c r="WKT33" s="98"/>
      <c r="WKU33" s="98"/>
      <c r="WKV33" s="98"/>
      <c r="WKW33" s="98"/>
      <c r="WKX33" s="98"/>
      <c r="WKY33" s="98"/>
      <c r="WKZ33" s="98"/>
      <c r="WLA33" s="98"/>
      <c r="WLB33" s="98"/>
      <c r="WLC33" s="98"/>
      <c r="WLD33" s="98"/>
      <c r="WLE33" s="98"/>
      <c r="WLF33" s="98"/>
      <c r="WLG33" s="98"/>
      <c r="WLH33" s="98"/>
      <c r="WLI33" s="98"/>
      <c r="WLJ33" s="98"/>
      <c r="WLK33" s="98"/>
      <c r="WLL33" s="98"/>
      <c r="WLM33" s="98"/>
      <c r="WLN33" s="98"/>
      <c r="WLO33" s="98"/>
      <c r="WLP33" s="98"/>
      <c r="WLQ33" s="98"/>
      <c r="WLR33" s="98"/>
      <c r="WLS33" s="98"/>
      <c r="WLT33" s="98"/>
      <c r="WLU33" s="98"/>
      <c r="WLV33" s="98"/>
      <c r="WLW33" s="98"/>
      <c r="WLX33" s="98"/>
      <c r="WLY33" s="98"/>
      <c r="WLZ33" s="98"/>
      <c r="WMA33" s="98"/>
      <c r="WMB33" s="98"/>
      <c r="WMC33" s="98"/>
      <c r="WMD33" s="98"/>
      <c r="WME33" s="98"/>
      <c r="WMF33" s="98"/>
      <c r="WMG33" s="98"/>
      <c r="WMH33" s="98"/>
      <c r="WMI33" s="98"/>
      <c r="WMJ33" s="98"/>
      <c r="WMK33" s="98"/>
      <c r="WML33" s="98"/>
      <c r="WMM33" s="98"/>
      <c r="WMN33" s="98"/>
      <c r="WMO33" s="98"/>
      <c r="WMP33" s="98"/>
      <c r="WMQ33" s="98"/>
      <c r="WMR33" s="98"/>
      <c r="WMS33" s="98"/>
      <c r="WMT33" s="98"/>
      <c r="WMU33" s="98"/>
      <c r="WMV33" s="98"/>
      <c r="WMW33" s="98"/>
      <c r="WMX33" s="98"/>
      <c r="WMY33" s="98"/>
      <c r="WMZ33" s="98"/>
      <c r="WNA33" s="98"/>
      <c r="WNB33" s="98"/>
      <c r="WNC33" s="98"/>
      <c r="WND33" s="98"/>
      <c r="WNE33" s="98"/>
      <c r="WNF33" s="98"/>
      <c r="WNG33" s="98"/>
      <c r="WNH33" s="98"/>
      <c r="WNI33" s="98"/>
      <c r="WNJ33" s="98"/>
      <c r="WNK33" s="98"/>
      <c r="WNL33" s="98"/>
      <c r="WNM33" s="98"/>
      <c r="WNN33" s="98"/>
      <c r="WNO33" s="98"/>
      <c r="WNP33" s="98"/>
      <c r="WNQ33" s="98"/>
      <c r="WNR33" s="98"/>
      <c r="WNS33" s="98"/>
      <c r="WNT33" s="98"/>
      <c r="WNU33" s="98"/>
      <c r="WNV33" s="98"/>
      <c r="WNW33" s="98"/>
      <c r="WNX33" s="98"/>
      <c r="WNY33" s="98"/>
      <c r="WNZ33" s="98"/>
      <c r="WOA33" s="98"/>
      <c r="WOB33" s="98"/>
      <c r="WOC33" s="98"/>
      <c r="WOD33" s="98"/>
      <c r="WOE33" s="98"/>
      <c r="WOF33" s="98"/>
      <c r="WOG33" s="98"/>
      <c r="WOH33" s="98"/>
      <c r="WOI33" s="98"/>
      <c r="WOJ33" s="98"/>
      <c r="WOK33" s="98"/>
      <c r="WOL33" s="98"/>
      <c r="WOM33" s="98"/>
      <c r="WON33" s="98"/>
      <c r="WOO33" s="98"/>
      <c r="WOP33" s="98"/>
      <c r="WOQ33" s="98"/>
      <c r="WOR33" s="98"/>
      <c r="WOS33" s="98"/>
      <c r="WOT33" s="98"/>
      <c r="WOU33" s="98"/>
      <c r="WOV33" s="98"/>
      <c r="WOW33" s="98"/>
      <c r="WOX33" s="98"/>
      <c r="WOY33" s="98"/>
      <c r="WOZ33" s="98"/>
      <c r="WPA33" s="98"/>
      <c r="WPB33" s="98"/>
      <c r="WPC33" s="98"/>
      <c r="WPD33" s="98"/>
      <c r="WPE33" s="98"/>
      <c r="WPF33" s="98"/>
      <c r="WPG33" s="98"/>
      <c r="WPH33" s="98"/>
      <c r="WPI33" s="98"/>
      <c r="WPJ33" s="98"/>
      <c r="WPK33" s="98"/>
      <c r="WPL33" s="98"/>
      <c r="WPM33" s="98"/>
      <c r="WPN33" s="98"/>
      <c r="WPO33" s="98"/>
      <c r="WPP33" s="98"/>
      <c r="WPQ33" s="98"/>
      <c r="WPR33" s="98"/>
      <c r="WPS33" s="98"/>
      <c r="WPT33" s="98"/>
      <c r="WPU33" s="98"/>
      <c r="WPV33" s="98"/>
      <c r="WPW33" s="98"/>
      <c r="WPX33" s="98"/>
      <c r="WPY33" s="98"/>
      <c r="WPZ33" s="98"/>
      <c r="WQA33" s="98"/>
      <c r="WQB33" s="98"/>
      <c r="WQC33" s="98"/>
      <c r="WQD33" s="98"/>
      <c r="WQE33" s="98"/>
      <c r="WQF33" s="98"/>
      <c r="WQG33" s="98"/>
      <c r="WQH33" s="98"/>
      <c r="WQI33" s="98"/>
      <c r="WQJ33" s="98"/>
      <c r="WQK33" s="98"/>
      <c r="WQL33" s="98"/>
      <c r="WQM33" s="98"/>
      <c r="WQN33" s="98"/>
      <c r="WQO33" s="98"/>
      <c r="WQP33" s="98"/>
      <c r="WQQ33" s="98"/>
      <c r="WQR33" s="98"/>
      <c r="WQS33" s="98"/>
      <c r="WQT33" s="98"/>
      <c r="WQU33" s="98"/>
      <c r="WQV33" s="98"/>
      <c r="WQW33" s="98"/>
      <c r="WQX33" s="98"/>
      <c r="WQY33" s="98"/>
      <c r="WQZ33" s="98"/>
      <c r="WRA33" s="98"/>
      <c r="WRB33" s="98"/>
      <c r="WRC33" s="98"/>
      <c r="WRD33" s="98"/>
      <c r="WRE33" s="98"/>
      <c r="WRF33" s="98"/>
      <c r="WRG33" s="98"/>
      <c r="WRH33" s="98"/>
      <c r="WRI33" s="98"/>
      <c r="WRJ33" s="98"/>
      <c r="WRK33" s="98"/>
      <c r="WRL33" s="98"/>
      <c r="WRM33" s="98"/>
      <c r="WRN33" s="98"/>
      <c r="WRO33" s="98"/>
      <c r="WRP33" s="98"/>
      <c r="WRQ33" s="98"/>
      <c r="WRR33" s="98"/>
      <c r="WRS33" s="98"/>
      <c r="WRT33" s="98"/>
      <c r="WRU33" s="98"/>
      <c r="WRV33" s="98"/>
      <c r="WRW33" s="98"/>
      <c r="WRX33" s="98"/>
      <c r="WRY33" s="98"/>
      <c r="WRZ33" s="98"/>
      <c r="WSA33" s="98"/>
      <c r="WSB33" s="98"/>
      <c r="WSC33" s="98"/>
      <c r="WSD33" s="98"/>
      <c r="WSE33" s="98"/>
      <c r="WSF33" s="98"/>
      <c r="WSG33" s="98"/>
      <c r="WSH33" s="98"/>
      <c r="WSI33" s="98"/>
      <c r="WSJ33" s="98"/>
      <c r="WSK33" s="98"/>
      <c r="WSL33" s="98"/>
      <c r="WSM33" s="98"/>
      <c r="WSN33" s="98"/>
      <c r="WSO33" s="98"/>
      <c r="WSP33" s="98"/>
      <c r="WSQ33" s="98"/>
      <c r="WSR33" s="98"/>
      <c r="WSS33" s="98"/>
      <c r="WST33" s="98"/>
      <c r="WSU33" s="98"/>
      <c r="WSV33" s="98"/>
      <c r="WSW33" s="98"/>
      <c r="WSX33" s="98"/>
      <c r="WSY33" s="98"/>
      <c r="WSZ33" s="98"/>
      <c r="WTA33" s="98"/>
      <c r="WTB33" s="98"/>
      <c r="WTC33" s="98"/>
      <c r="WTD33" s="98"/>
      <c r="WTE33" s="98"/>
      <c r="WTF33" s="98"/>
      <c r="WTG33" s="98"/>
      <c r="WTH33" s="98"/>
      <c r="WTI33" s="98"/>
      <c r="WTJ33" s="98"/>
      <c r="WTK33" s="98"/>
      <c r="WTL33" s="98"/>
      <c r="WTM33" s="98"/>
      <c r="WTN33" s="98"/>
      <c r="WTO33" s="98"/>
      <c r="WTP33" s="98"/>
      <c r="WTQ33" s="98"/>
      <c r="WTR33" s="98"/>
      <c r="WTS33" s="98"/>
      <c r="WTT33" s="98"/>
      <c r="WTU33" s="98"/>
      <c r="WTV33" s="98"/>
      <c r="WTW33" s="98"/>
      <c r="WTX33" s="98"/>
      <c r="WTY33" s="98"/>
      <c r="WTZ33" s="98"/>
      <c r="WUA33" s="98"/>
      <c r="WUB33" s="98"/>
      <c r="WUC33" s="98"/>
      <c r="WUD33" s="98"/>
      <c r="WUE33" s="98"/>
      <c r="WUF33" s="98"/>
      <c r="WUG33" s="98"/>
      <c r="WUH33" s="98"/>
      <c r="WUI33" s="98"/>
      <c r="WUJ33" s="98"/>
      <c r="WUK33" s="98"/>
      <c r="WUL33" s="98"/>
      <c r="WUM33" s="98"/>
      <c r="WUN33" s="98"/>
      <c r="WUO33" s="98"/>
      <c r="WUP33" s="98"/>
      <c r="WUQ33" s="98"/>
      <c r="WUR33" s="98"/>
      <c r="WUS33" s="98"/>
      <c r="WUT33" s="98"/>
      <c r="WUU33" s="98"/>
      <c r="WUV33" s="98"/>
      <c r="WUW33" s="98"/>
      <c r="WUX33" s="98"/>
      <c r="WUY33" s="98"/>
      <c r="WUZ33" s="98"/>
      <c r="WVA33" s="98"/>
      <c r="WVB33" s="98"/>
      <c r="WVC33" s="98"/>
      <c r="WVD33" s="98"/>
      <c r="WVE33" s="98"/>
      <c r="WVF33" s="98"/>
      <c r="WVG33" s="98"/>
      <c r="WVH33" s="98"/>
      <c r="WVI33" s="98"/>
      <c r="WVJ33" s="98"/>
      <c r="WVK33" s="98"/>
      <c r="WVL33" s="98"/>
      <c r="WVM33" s="98"/>
      <c r="WVN33" s="98"/>
      <c r="WVO33" s="98"/>
      <c r="WVP33" s="98"/>
      <c r="WVQ33" s="98"/>
      <c r="WVR33" s="98"/>
      <c r="WVS33" s="98"/>
      <c r="WVT33" s="98"/>
      <c r="WVU33" s="98"/>
      <c r="WVV33" s="98"/>
      <c r="WVW33" s="98"/>
      <c r="WVX33" s="98"/>
      <c r="WVY33" s="98"/>
      <c r="WVZ33" s="98"/>
      <c r="WWA33" s="98"/>
      <c r="WWB33" s="98"/>
      <c r="WWC33" s="98"/>
      <c r="WWD33" s="98"/>
      <c r="WWE33" s="98"/>
      <c r="WWF33" s="98"/>
      <c r="WWG33" s="98"/>
      <c r="WWH33" s="98"/>
      <c r="WWI33" s="98"/>
      <c r="WWJ33" s="98"/>
      <c r="WWK33" s="98"/>
      <c r="WWL33" s="98"/>
      <c r="WWM33" s="98"/>
      <c r="WWN33" s="98"/>
      <c r="WWO33" s="98"/>
      <c r="WWP33" s="98"/>
      <c r="WWQ33" s="98"/>
      <c r="WWR33" s="98"/>
      <c r="WWS33" s="98"/>
      <c r="WWT33" s="98"/>
      <c r="WWU33" s="98"/>
      <c r="WWV33" s="98"/>
      <c r="WWW33" s="98"/>
      <c r="WWX33" s="98"/>
      <c r="WWY33" s="98"/>
      <c r="WWZ33" s="98"/>
      <c r="WXA33" s="98"/>
      <c r="WXB33" s="98"/>
      <c r="WXC33" s="98"/>
      <c r="WXD33" s="98"/>
      <c r="WXE33" s="98"/>
      <c r="WXF33" s="98"/>
      <c r="WXG33" s="98"/>
      <c r="WXH33" s="98"/>
      <c r="WXI33" s="98"/>
      <c r="WXJ33" s="98"/>
      <c r="WXK33" s="98"/>
      <c r="WXL33" s="98"/>
      <c r="WXM33" s="98"/>
      <c r="WXN33" s="98"/>
      <c r="WXO33" s="98"/>
      <c r="WXP33" s="98"/>
      <c r="WXQ33" s="98"/>
      <c r="WXR33" s="98"/>
      <c r="WXS33" s="98"/>
      <c r="WXT33" s="98"/>
      <c r="WXU33" s="98"/>
      <c r="WXV33" s="98"/>
      <c r="WXW33" s="98"/>
      <c r="WXX33" s="98"/>
      <c r="WXY33" s="98"/>
      <c r="WXZ33" s="98"/>
      <c r="WYA33" s="98"/>
      <c r="WYB33" s="98"/>
      <c r="WYC33" s="98"/>
      <c r="WYD33" s="98"/>
      <c r="WYE33" s="98"/>
      <c r="WYF33" s="98"/>
      <c r="WYG33" s="98"/>
      <c r="WYH33" s="98"/>
      <c r="WYI33" s="98"/>
      <c r="WYJ33" s="98"/>
      <c r="WYK33" s="98"/>
      <c r="WYL33" s="98"/>
      <c r="WYM33" s="98"/>
      <c r="WYN33" s="98"/>
      <c r="WYO33" s="98"/>
      <c r="WYP33" s="98"/>
      <c r="WYQ33" s="98"/>
      <c r="WYR33" s="98"/>
      <c r="WYS33" s="98"/>
      <c r="WYT33" s="98"/>
      <c r="WYU33" s="98"/>
      <c r="WYV33" s="98"/>
      <c r="WYW33" s="98"/>
      <c r="WYX33" s="98"/>
      <c r="WYY33" s="98"/>
      <c r="WYZ33" s="98"/>
      <c r="WZA33" s="98"/>
      <c r="WZB33" s="98"/>
      <c r="WZC33" s="98"/>
      <c r="WZD33" s="98"/>
      <c r="WZE33" s="98"/>
      <c r="WZF33" s="98"/>
      <c r="WZG33" s="98"/>
      <c r="WZH33" s="98"/>
      <c r="WZI33" s="98"/>
      <c r="WZJ33" s="98"/>
      <c r="WZK33" s="98"/>
      <c r="WZL33" s="98"/>
      <c r="WZM33" s="98"/>
      <c r="WZN33" s="98"/>
      <c r="WZO33" s="98"/>
      <c r="WZP33" s="98"/>
      <c r="WZQ33" s="98"/>
      <c r="WZR33" s="98"/>
      <c r="WZS33" s="98"/>
      <c r="WZT33" s="98"/>
      <c r="WZU33" s="98"/>
      <c r="WZV33" s="98"/>
      <c r="WZW33" s="98"/>
      <c r="WZX33" s="98"/>
      <c r="WZY33" s="98"/>
      <c r="WZZ33" s="98"/>
      <c r="XAA33" s="98"/>
      <c r="XAB33" s="98"/>
      <c r="XAC33" s="98"/>
      <c r="XAD33" s="98"/>
      <c r="XAE33" s="98"/>
      <c r="XAF33" s="98"/>
      <c r="XAG33" s="98"/>
      <c r="XAH33" s="98"/>
      <c r="XAI33" s="98"/>
      <c r="XAJ33" s="98"/>
      <c r="XAK33" s="98"/>
      <c r="XAL33" s="98"/>
      <c r="XAM33" s="98"/>
      <c r="XAN33" s="98"/>
      <c r="XAO33" s="98"/>
      <c r="XAP33" s="98"/>
      <c r="XAQ33" s="98"/>
      <c r="XAR33" s="98"/>
      <c r="XAS33" s="98"/>
      <c r="XAT33" s="98"/>
      <c r="XAU33" s="98"/>
      <c r="XAV33" s="98"/>
      <c r="XAW33" s="98"/>
      <c r="XAX33" s="98"/>
      <c r="XAY33" s="98"/>
      <c r="XAZ33" s="98"/>
      <c r="XBA33" s="98"/>
      <c r="XBB33" s="98"/>
      <c r="XBC33" s="98"/>
      <c r="XBD33" s="98"/>
      <c r="XBE33" s="98"/>
      <c r="XBF33" s="98"/>
      <c r="XBG33" s="98"/>
      <c r="XBH33" s="98"/>
      <c r="XBI33" s="98"/>
      <c r="XBJ33" s="98"/>
      <c r="XBK33" s="98"/>
      <c r="XBL33" s="98"/>
      <c r="XBM33" s="98"/>
      <c r="XBN33" s="98"/>
      <c r="XBO33" s="98"/>
      <c r="XBP33" s="98"/>
      <c r="XBQ33" s="98"/>
      <c r="XBR33" s="98"/>
      <c r="XBS33" s="98"/>
      <c r="XBT33" s="98"/>
      <c r="XBU33" s="98"/>
      <c r="XBV33" s="98"/>
      <c r="XBW33" s="98"/>
      <c r="XBX33" s="98"/>
      <c r="XBY33" s="98"/>
      <c r="XBZ33" s="98"/>
      <c r="XCA33" s="98"/>
      <c r="XCB33" s="98"/>
      <c r="XCC33" s="98"/>
      <c r="XCD33" s="98"/>
      <c r="XCE33" s="98"/>
      <c r="XCF33" s="98"/>
      <c r="XCG33" s="98"/>
      <c r="XCH33" s="98"/>
      <c r="XCI33" s="98"/>
      <c r="XCJ33" s="98"/>
      <c r="XCK33" s="98"/>
      <c r="XCL33" s="98"/>
      <c r="XCM33" s="98"/>
      <c r="XCN33" s="98"/>
      <c r="XCO33" s="98"/>
      <c r="XCP33" s="98"/>
      <c r="XCQ33" s="98"/>
      <c r="XCR33" s="98"/>
      <c r="XCS33" s="98"/>
      <c r="XCT33" s="98"/>
      <c r="XCU33" s="98"/>
      <c r="XCV33" s="98"/>
      <c r="XCW33" s="98"/>
      <c r="XCX33" s="98"/>
      <c r="XCY33" s="98"/>
      <c r="XCZ33" s="98"/>
      <c r="XDA33" s="98"/>
      <c r="XDB33" s="98"/>
      <c r="XDC33" s="98"/>
      <c r="XDD33" s="98"/>
      <c r="XDE33" s="98"/>
      <c r="XDF33" s="98"/>
      <c r="XDG33" s="98"/>
      <c r="XDH33" s="98"/>
      <c r="XDI33" s="98"/>
      <c r="XDJ33" s="98"/>
      <c r="XDK33" s="98"/>
      <c r="XDL33" s="98"/>
      <c r="XDM33" s="98"/>
      <c r="XDN33" s="98"/>
      <c r="XDO33" s="98"/>
      <c r="XDP33" s="98"/>
      <c r="XDQ33" s="98"/>
      <c r="XDR33" s="98"/>
      <c r="XDS33" s="98"/>
      <c r="XDT33" s="98"/>
      <c r="XDU33" s="98"/>
      <c r="XDV33" s="98"/>
      <c r="XDW33" s="98"/>
      <c r="XDX33" s="98"/>
      <c r="XDY33" s="98"/>
      <c r="XDZ33" s="98"/>
      <c r="XEA33" s="98"/>
      <c r="XEB33" s="98"/>
      <c r="XEC33" s="98"/>
      <c r="XED33" s="98"/>
      <c r="XEE33" s="98"/>
      <c r="XEF33" s="98"/>
      <c r="XEG33" s="98"/>
      <c r="XEH33" s="98"/>
      <c r="XEI33" s="98"/>
      <c r="XEJ33" s="98"/>
    </row>
    <row r="35" spans="1:16364" ht="17.25" thickBot="1" x14ac:dyDescent="0.35">
      <c r="B35" s="154" t="s">
        <v>332</v>
      </c>
    </row>
    <row r="36" spans="1:16364" ht="17.25" thickBot="1" x14ac:dyDescent="0.35">
      <c r="B36" s="244"/>
      <c r="C36" s="245">
        <v>45291</v>
      </c>
      <c r="D36" s="245">
        <v>45322</v>
      </c>
      <c r="E36" s="245">
        <v>45351</v>
      </c>
      <c r="F36" s="245">
        <v>45382</v>
      </c>
      <c r="G36" s="245">
        <v>45412</v>
      </c>
      <c r="H36" s="245">
        <v>45443</v>
      </c>
      <c r="I36" s="245">
        <v>45473</v>
      </c>
      <c r="J36" s="245">
        <v>45504</v>
      </c>
      <c r="K36" s="245">
        <v>45535</v>
      </c>
      <c r="L36" s="245">
        <v>45565</v>
      </c>
      <c r="M36" s="245">
        <v>45596</v>
      </c>
      <c r="N36" s="245">
        <v>45626</v>
      </c>
      <c r="O36" s="246">
        <v>45657</v>
      </c>
      <c r="P36" s="353">
        <f>EOMONTH(O36,1)</f>
        <v>45688</v>
      </c>
      <c r="Q36" s="245">
        <f t="shared" ref="Q36:AA36" si="38">EOMONTH(P36,1)</f>
        <v>45716</v>
      </c>
      <c r="R36" s="245">
        <f t="shared" si="38"/>
        <v>45747</v>
      </c>
      <c r="S36" s="245">
        <f t="shared" si="38"/>
        <v>45777</v>
      </c>
      <c r="T36" s="245">
        <f t="shared" si="38"/>
        <v>45808</v>
      </c>
      <c r="U36" s="245">
        <f t="shared" si="38"/>
        <v>45838</v>
      </c>
      <c r="V36" s="245">
        <f t="shared" si="38"/>
        <v>45869</v>
      </c>
      <c r="W36" s="245">
        <f t="shared" si="38"/>
        <v>45900</v>
      </c>
      <c r="X36" s="245">
        <f t="shared" si="38"/>
        <v>45930</v>
      </c>
      <c r="Y36" s="245">
        <f t="shared" si="38"/>
        <v>45961</v>
      </c>
      <c r="Z36" s="245">
        <f t="shared" si="38"/>
        <v>45991</v>
      </c>
      <c r="AA36" s="246">
        <f t="shared" si="38"/>
        <v>46022</v>
      </c>
      <c r="AB36" s="353">
        <f>EOMONTH(AA36,1)</f>
        <v>46053</v>
      </c>
      <c r="AC36" s="245">
        <f t="shared" ref="AC36" si="39">EOMONTH(AB36,1)</f>
        <v>46081</v>
      </c>
      <c r="AD36" s="245">
        <f t="shared" ref="AD36" si="40">EOMONTH(AC36,1)</f>
        <v>46112</v>
      </c>
      <c r="AE36" s="245">
        <f t="shared" ref="AE36" si="41">EOMONTH(AD36,1)</f>
        <v>46142</v>
      </c>
      <c r="AF36" s="245">
        <f t="shared" ref="AF36" si="42">EOMONTH(AE36,1)</f>
        <v>46173</v>
      </c>
      <c r="AG36" s="245">
        <f t="shared" ref="AG36" si="43">EOMONTH(AF36,1)</f>
        <v>46203</v>
      </c>
      <c r="AH36" s="245">
        <f t="shared" ref="AH36" si="44">EOMONTH(AG36,1)</f>
        <v>46234</v>
      </c>
      <c r="AI36" s="245">
        <f t="shared" ref="AI36" si="45">EOMONTH(AH36,1)</f>
        <v>46265</v>
      </c>
      <c r="AJ36" s="245">
        <f t="shared" ref="AJ36" si="46">EOMONTH(AI36,1)</f>
        <v>46295</v>
      </c>
      <c r="AK36" s="245">
        <f t="shared" ref="AK36" si="47">EOMONTH(AJ36,1)</f>
        <v>46326</v>
      </c>
      <c r="AL36" s="245">
        <f t="shared" ref="AL36" si="48">EOMONTH(AK36,1)</f>
        <v>46356</v>
      </c>
      <c r="AM36" s="246">
        <f t="shared" ref="AM36" si="49">EOMONTH(AL36,1)</f>
        <v>46387</v>
      </c>
    </row>
    <row r="37" spans="1:16364" x14ac:dyDescent="0.3">
      <c r="B37" s="242" t="s">
        <v>328</v>
      </c>
      <c r="C37" s="243">
        <v>41648795</v>
      </c>
      <c r="D37" s="243">
        <v>40510892</v>
      </c>
      <c r="E37" s="251">
        <v>39372989</v>
      </c>
      <c r="F37" s="251">
        <v>38235086</v>
      </c>
      <c r="G37" s="251">
        <v>37097183</v>
      </c>
      <c r="H37" s="251">
        <v>35959280</v>
      </c>
      <c r="I37" s="251">
        <v>34821377</v>
      </c>
      <c r="J37" s="251">
        <v>33683474</v>
      </c>
      <c r="K37" s="251">
        <v>32545571</v>
      </c>
      <c r="L37" s="251">
        <v>31407668</v>
      </c>
      <c r="M37" s="251">
        <v>30269765</v>
      </c>
      <c r="N37" s="251">
        <v>29131862</v>
      </c>
      <c r="O37" s="292">
        <v>27993959</v>
      </c>
      <c r="P37" s="354">
        <v>35256306</v>
      </c>
      <c r="Q37" s="354">
        <v>33939653</v>
      </c>
      <c r="R37" s="354">
        <v>32623000</v>
      </c>
      <c r="S37" s="354">
        <v>31306347</v>
      </c>
      <c r="T37" s="349">
        <v>29989694</v>
      </c>
      <c r="U37" s="349">
        <v>28675025</v>
      </c>
      <c r="V37" s="349">
        <v>27576080</v>
      </c>
      <c r="W37" s="349">
        <v>26477135</v>
      </c>
      <c r="X37" s="349">
        <v>25378190</v>
      </c>
      <c r="Y37" s="349">
        <v>24279245</v>
      </c>
      <c r="Z37" s="349">
        <v>23180300</v>
      </c>
      <c r="AA37" s="292">
        <v>22081355</v>
      </c>
      <c r="AB37" s="354">
        <f t="shared" ref="AB37:AE37" si="50">AA43+AA44</f>
        <v>20982410</v>
      </c>
      <c r="AC37" s="354">
        <f t="shared" si="50"/>
        <v>19883465</v>
      </c>
      <c r="AD37" s="354">
        <f t="shared" si="50"/>
        <v>18784520</v>
      </c>
      <c r="AE37" s="354">
        <f t="shared" si="50"/>
        <v>17685575</v>
      </c>
      <c r="AF37" s="349"/>
      <c r="AG37" s="349"/>
      <c r="AH37" s="349"/>
      <c r="AI37" s="349"/>
      <c r="AJ37" s="349"/>
      <c r="AK37" s="349"/>
      <c r="AL37" s="349"/>
      <c r="AM37" s="292"/>
    </row>
    <row r="38" spans="1:16364" x14ac:dyDescent="0.3">
      <c r="B38" s="155" t="s">
        <v>329</v>
      </c>
      <c r="C38" s="212">
        <v>0</v>
      </c>
      <c r="D38" s="212">
        <v>0</v>
      </c>
      <c r="E38" s="215">
        <v>0</v>
      </c>
      <c r="F38" s="215">
        <v>0</v>
      </c>
      <c r="G38" s="215">
        <v>0</v>
      </c>
      <c r="H38" s="215">
        <v>0</v>
      </c>
      <c r="I38" s="215">
        <v>0</v>
      </c>
      <c r="J38" s="215">
        <v>0</v>
      </c>
      <c r="K38" s="215">
        <v>0</v>
      </c>
      <c r="L38" s="215">
        <v>0</v>
      </c>
      <c r="M38" s="215">
        <v>0</v>
      </c>
      <c r="N38" s="215">
        <v>0</v>
      </c>
      <c r="O38" s="293">
        <v>8580000</v>
      </c>
      <c r="P38" s="355">
        <v>0</v>
      </c>
      <c r="Q38" s="355">
        <v>0</v>
      </c>
      <c r="R38" s="355">
        <v>0</v>
      </c>
      <c r="S38" s="355">
        <v>0</v>
      </c>
      <c r="T38" s="350">
        <v>0</v>
      </c>
      <c r="U38" s="350">
        <v>0</v>
      </c>
      <c r="V38" s="350">
        <v>0</v>
      </c>
      <c r="W38" s="350">
        <v>0</v>
      </c>
      <c r="X38" s="350">
        <v>0</v>
      </c>
      <c r="Y38" s="350">
        <v>0</v>
      </c>
      <c r="Z38" s="350">
        <v>0</v>
      </c>
      <c r="AA38" s="293">
        <v>0</v>
      </c>
      <c r="AB38" s="355"/>
      <c r="AC38" s="355"/>
      <c r="AD38" s="355"/>
      <c r="AE38" s="355"/>
      <c r="AF38" s="350"/>
      <c r="AG38" s="350"/>
      <c r="AH38" s="350"/>
      <c r="AI38" s="350"/>
      <c r="AJ38" s="350"/>
      <c r="AK38" s="350"/>
      <c r="AL38" s="350"/>
      <c r="AM38" s="293"/>
    </row>
    <row r="39" spans="1:16364" x14ac:dyDescent="0.3">
      <c r="B39" s="213" t="s">
        <v>333</v>
      </c>
      <c r="C39" s="214">
        <v>0</v>
      </c>
      <c r="D39" s="214">
        <v>0</v>
      </c>
      <c r="E39" s="215">
        <v>0</v>
      </c>
      <c r="F39" s="215">
        <v>0</v>
      </c>
      <c r="G39" s="215">
        <v>0</v>
      </c>
      <c r="H39" s="215">
        <v>0</v>
      </c>
      <c r="I39" s="215">
        <v>0</v>
      </c>
      <c r="J39" s="215">
        <v>0</v>
      </c>
      <c r="K39" s="215">
        <v>0</v>
      </c>
      <c r="L39" s="215">
        <v>0</v>
      </c>
      <c r="M39" s="215">
        <v>0</v>
      </c>
      <c r="N39" s="215">
        <v>0</v>
      </c>
      <c r="O39" s="293">
        <v>17570000</v>
      </c>
      <c r="P39" s="355">
        <v>0</v>
      </c>
      <c r="Q39" s="355">
        <v>0</v>
      </c>
      <c r="R39" s="355">
        <v>0</v>
      </c>
      <c r="S39" s="355">
        <v>0</v>
      </c>
      <c r="T39" s="350">
        <v>0</v>
      </c>
      <c r="U39" s="350">
        <v>0</v>
      </c>
      <c r="V39" s="350">
        <v>0</v>
      </c>
      <c r="W39" s="350">
        <v>0</v>
      </c>
      <c r="X39" s="350">
        <v>0</v>
      </c>
      <c r="Y39" s="350">
        <v>0</v>
      </c>
      <c r="Z39" s="350">
        <v>0</v>
      </c>
      <c r="AA39" s="293">
        <v>0</v>
      </c>
      <c r="AB39" s="355"/>
      <c r="AC39" s="355"/>
      <c r="AD39" s="355"/>
      <c r="AE39" s="355"/>
      <c r="AF39" s="350"/>
      <c r="AG39" s="350"/>
      <c r="AH39" s="350"/>
      <c r="AI39" s="350"/>
      <c r="AJ39" s="350"/>
      <c r="AK39" s="350"/>
      <c r="AL39" s="350"/>
      <c r="AM39" s="293"/>
    </row>
    <row r="40" spans="1:16364" s="153" customFormat="1" x14ac:dyDescent="0.3">
      <c r="A40" s="384"/>
      <c r="B40" s="213" t="s">
        <v>330</v>
      </c>
      <c r="C40" s="214">
        <v>0</v>
      </c>
      <c r="D40" s="214">
        <v>0</v>
      </c>
      <c r="E40" s="215">
        <v>0</v>
      </c>
      <c r="F40" s="215">
        <v>0</v>
      </c>
      <c r="G40" s="215">
        <v>0</v>
      </c>
      <c r="H40" s="215">
        <v>0</v>
      </c>
      <c r="I40" s="215">
        <v>0</v>
      </c>
      <c r="J40" s="215">
        <v>0</v>
      </c>
      <c r="K40" s="215">
        <v>0</v>
      </c>
      <c r="L40" s="215">
        <v>0</v>
      </c>
      <c r="M40" s="215">
        <v>0</v>
      </c>
      <c r="N40" s="215">
        <v>0</v>
      </c>
      <c r="O40" s="293">
        <v>0</v>
      </c>
      <c r="P40" s="355">
        <v>0</v>
      </c>
      <c r="Q40" s="355">
        <v>0</v>
      </c>
      <c r="R40" s="355">
        <v>0</v>
      </c>
      <c r="S40" s="355">
        <v>0</v>
      </c>
      <c r="T40" s="350">
        <v>0</v>
      </c>
      <c r="U40" s="350">
        <v>0</v>
      </c>
      <c r="V40" s="350">
        <v>0</v>
      </c>
      <c r="W40" s="350">
        <v>0</v>
      </c>
      <c r="X40" s="350">
        <v>0</v>
      </c>
      <c r="Y40" s="350">
        <v>0</v>
      </c>
      <c r="Z40" s="350">
        <v>0</v>
      </c>
      <c r="AA40" s="293">
        <v>0</v>
      </c>
      <c r="AB40" s="355"/>
      <c r="AC40" s="355"/>
      <c r="AD40" s="355"/>
      <c r="AE40" s="355"/>
      <c r="AF40" s="350"/>
      <c r="AG40" s="350"/>
      <c r="AH40" s="350"/>
      <c r="AI40" s="350"/>
      <c r="AJ40" s="350"/>
      <c r="AK40" s="350"/>
      <c r="AL40" s="350"/>
      <c r="AM40" s="293"/>
    </row>
    <row r="41" spans="1:16364" x14ac:dyDescent="0.3">
      <c r="B41" s="213" t="s">
        <v>331</v>
      </c>
      <c r="C41" s="214">
        <v>-1137903</v>
      </c>
      <c r="D41" s="214">
        <v>-1137903</v>
      </c>
      <c r="E41" s="215">
        <v>-1137903</v>
      </c>
      <c r="F41" s="215">
        <v>-1137903</v>
      </c>
      <c r="G41" s="215">
        <v>-1137903</v>
      </c>
      <c r="H41" s="215">
        <v>-1137903</v>
      </c>
      <c r="I41" s="215">
        <v>-1137903</v>
      </c>
      <c r="J41" s="215">
        <v>-1137903</v>
      </c>
      <c r="K41" s="215">
        <v>-1137903</v>
      </c>
      <c r="L41" s="215">
        <v>-1137903</v>
      </c>
      <c r="M41" s="215">
        <v>-1137903</v>
      </c>
      <c r="N41" s="215">
        <v>-1137903</v>
      </c>
      <c r="O41" s="293">
        <v>-1316653</v>
      </c>
      <c r="P41" s="355">
        <v>-1316653</v>
      </c>
      <c r="Q41" s="355">
        <v>-1316653</v>
      </c>
      <c r="R41" s="355">
        <v>-1316653</v>
      </c>
      <c r="S41" s="355">
        <v>-1316653</v>
      </c>
      <c r="T41" s="350">
        <v>-1314669</v>
      </c>
      <c r="U41" s="350">
        <v>-1098945</v>
      </c>
      <c r="V41" s="350">
        <v>-1098945</v>
      </c>
      <c r="W41" s="350">
        <v>-1098945</v>
      </c>
      <c r="X41" s="350">
        <v>-1098945</v>
      </c>
      <c r="Y41" s="350">
        <v>-1098945</v>
      </c>
      <c r="Z41" s="350">
        <v>-1098945</v>
      </c>
      <c r="AA41" s="293">
        <v>-1098945</v>
      </c>
      <c r="AB41" s="355">
        <f>-시설장치!U32</f>
        <v>-1098945</v>
      </c>
      <c r="AC41" s="355">
        <f>-시설장치!V32</f>
        <v>-1098945</v>
      </c>
      <c r="AD41" s="355">
        <f>-시설장치!W32</f>
        <v>-1098945</v>
      </c>
      <c r="AE41" s="355">
        <f>-시설장치!X32</f>
        <v>-1098945</v>
      </c>
      <c r="AF41" s="350"/>
      <c r="AG41" s="350"/>
      <c r="AH41" s="350"/>
      <c r="AI41" s="350"/>
      <c r="AJ41" s="350"/>
      <c r="AK41" s="350"/>
      <c r="AL41" s="350"/>
      <c r="AM41" s="293"/>
    </row>
    <row r="42" spans="1:16364" x14ac:dyDescent="0.3">
      <c r="B42" s="155" t="s">
        <v>321</v>
      </c>
      <c r="C42" s="212">
        <v>40510892</v>
      </c>
      <c r="D42" s="212">
        <v>39372989</v>
      </c>
      <c r="E42" s="215">
        <v>38235086</v>
      </c>
      <c r="F42" s="215">
        <v>37097183</v>
      </c>
      <c r="G42" s="215">
        <v>35959280</v>
      </c>
      <c r="H42" s="215">
        <v>34821377</v>
      </c>
      <c r="I42" s="215">
        <v>33683474</v>
      </c>
      <c r="J42" s="215">
        <v>32545571</v>
      </c>
      <c r="K42" s="215">
        <v>31407668</v>
      </c>
      <c r="L42" s="215">
        <v>30269765</v>
      </c>
      <c r="M42" s="215">
        <v>29131862</v>
      </c>
      <c r="N42" s="215">
        <v>27993959</v>
      </c>
      <c r="O42" s="293">
        <v>35256306</v>
      </c>
      <c r="P42" s="355">
        <v>33939653</v>
      </c>
      <c r="Q42" s="355">
        <v>32623000</v>
      </c>
      <c r="R42" s="355">
        <v>31306347</v>
      </c>
      <c r="S42" s="355">
        <v>29989694</v>
      </c>
      <c r="T42" s="350">
        <v>28675025</v>
      </c>
      <c r="U42" s="350">
        <v>27576080</v>
      </c>
      <c r="V42" s="350">
        <v>26477135</v>
      </c>
      <c r="W42" s="350">
        <v>25378190</v>
      </c>
      <c r="X42" s="350">
        <v>24279245</v>
      </c>
      <c r="Y42" s="350">
        <v>23180300</v>
      </c>
      <c r="Z42" s="350">
        <v>22081355</v>
      </c>
      <c r="AA42" s="293">
        <v>20982410</v>
      </c>
      <c r="AB42" s="355">
        <f t="shared" ref="AB42:AC42" si="51">AB43+AB44</f>
        <v>19883465</v>
      </c>
      <c r="AC42" s="355">
        <f t="shared" si="51"/>
        <v>18784520</v>
      </c>
      <c r="AD42" s="355">
        <f t="shared" ref="AD42:AE42" si="52">AD43+AD44</f>
        <v>17685575</v>
      </c>
      <c r="AE42" s="355">
        <f t="shared" si="52"/>
        <v>16586630</v>
      </c>
      <c r="AF42" s="350"/>
      <c r="AG42" s="350"/>
      <c r="AH42" s="350"/>
      <c r="AI42" s="350"/>
      <c r="AJ42" s="350"/>
      <c r="AK42" s="350"/>
      <c r="AL42" s="350"/>
      <c r="AM42" s="293"/>
    </row>
    <row r="43" spans="1:16364" x14ac:dyDescent="0.3">
      <c r="B43" s="155" t="s">
        <v>322</v>
      </c>
      <c r="C43" s="212">
        <v>302023329</v>
      </c>
      <c r="D43" s="212">
        <v>302023329</v>
      </c>
      <c r="E43" s="215">
        <v>302023329</v>
      </c>
      <c r="F43" s="215">
        <v>302023329</v>
      </c>
      <c r="G43" s="215">
        <v>302023329</v>
      </c>
      <c r="H43" s="215">
        <v>302023329</v>
      </c>
      <c r="I43" s="215">
        <v>302023329</v>
      </c>
      <c r="J43" s="215">
        <v>302023329</v>
      </c>
      <c r="K43" s="215">
        <v>302023329</v>
      </c>
      <c r="L43" s="215">
        <v>302023329</v>
      </c>
      <c r="M43" s="215">
        <v>302023329</v>
      </c>
      <c r="N43" s="215">
        <v>302023329</v>
      </c>
      <c r="O43" s="293">
        <v>293033329</v>
      </c>
      <c r="P43" s="355">
        <v>293033329</v>
      </c>
      <c r="Q43" s="355">
        <v>293033329</v>
      </c>
      <c r="R43" s="355">
        <v>293033329</v>
      </c>
      <c r="S43" s="355">
        <v>293033329</v>
      </c>
      <c r="T43" s="350">
        <v>293033329</v>
      </c>
      <c r="U43" s="350">
        <v>293033329</v>
      </c>
      <c r="V43" s="350">
        <v>293033329</v>
      </c>
      <c r="W43" s="350">
        <v>293033329</v>
      </c>
      <c r="X43" s="350">
        <v>293033329</v>
      </c>
      <c r="Y43" s="350">
        <v>293033329</v>
      </c>
      <c r="Z43" s="350">
        <v>293033329</v>
      </c>
      <c r="AA43" s="293">
        <v>293033329</v>
      </c>
      <c r="AB43" s="355">
        <f t="shared" ref="AB43:AE43" si="53">AA43+AB38-AB39-AB40</f>
        <v>293033329</v>
      </c>
      <c r="AC43" s="355">
        <f t="shared" si="53"/>
        <v>293033329</v>
      </c>
      <c r="AD43" s="355">
        <f t="shared" si="53"/>
        <v>293033329</v>
      </c>
      <c r="AE43" s="355">
        <f t="shared" si="53"/>
        <v>293033329</v>
      </c>
      <c r="AF43" s="350"/>
      <c r="AG43" s="350"/>
      <c r="AH43" s="350"/>
      <c r="AI43" s="350"/>
      <c r="AJ43" s="350"/>
      <c r="AK43" s="350"/>
      <c r="AL43" s="350"/>
      <c r="AM43" s="293"/>
    </row>
    <row r="44" spans="1:16364" ht="17.25" thickBot="1" x14ac:dyDescent="0.35">
      <c r="B44" s="156" t="s">
        <v>323</v>
      </c>
      <c r="C44" s="211">
        <v>-261512437</v>
      </c>
      <c r="D44" s="211">
        <v>-262650340</v>
      </c>
      <c r="E44" s="216">
        <v>-263788243</v>
      </c>
      <c r="F44" s="216">
        <v>-264926146</v>
      </c>
      <c r="G44" s="216">
        <v>-266064049</v>
      </c>
      <c r="H44" s="216">
        <v>-267201952</v>
      </c>
      <c r="I44" s="216">
        <v>-268339855</v>
      </c>
      <c r="J44" s="216">
        <v>-269477758</v>
      </c>
      <c r="K44" s="216">
        <v>-270615661</v>
      </c>
      <c r="L44" s="216">
        <v>-271753564</v>
      </c>
      <c r="M44" s="216">
        <v>-272891467</v>
      </c>
      <c r="N44" s="216">
        <v>-274029370</v>
      </c>
      <c r="O44" s="294">
        <v>-257777023</v>
      </c>
      <c r="P44" s="356">
        <v>-259093676</v>
      </c>
      <c r="Q44" s="356">
        <v>-260410329</v>
      </c>
      <c r="R44" s="356">
        <v>-261726982</v>
      </c>
      <c r="S44" s="356">
        <v>-263043635</v>
      </c>
      <c r="T44" s="352">
        <v>-264358304</v>
      </c>
      <c r="U44" s="352">
        <v>-265457249</v>
      </c>
      <c r="V44" s="352">
        <v>-266556194</v>
      </c>
      <c r="W44" s="352">
        <v>-267655139</v>
      </c>
      <c r="X44" s="352">
        <v>-268754084</v>
      </c>
      <c r="Y44" s="352">
        <v>-269853029</v>
      </c>
      <c r="Z44" s="352">
        <v>-270951974</v>
      </c>
      <c r="AA44" s="294">
        <v>-272050919</v>
      </c>
      <c r="AB44" s="356">
        <f>AA44+AB41</f>
        <v>-273149864</v>
      </c>
      <c r="AC44" s="356">
        <f>AB44+AC41</f>
        <v>-274248809</v>
      </c>
      <c r="AD44" s="356">
        <f>AC44+AD41</f>
        <v>-275347754</v>
      </c>
      <c r="AE44" s="356">
        <f>AD44+AE41</f>
        <v>-276446699</v>
      </c>
      <c r="AF44" s="352"/>
      <c r="AG44" s="352"/>
      <c r="AH44" s="352"/>
      <c r="AI44" s="352"/>
      <c r="AJ44" s="352"/>
      <c r="AK44" s="352"/>
      <c r="AL44" s="352"/>
      <c r="AM44" s="294"/>
    </row>
    <row r="45" spans="1:16364" x14ac:dyDescent="0.3">
      <c r="B45" s="157" t="s">
        <v>324</v>
      </c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9"/>
      <c r="P45" s="357" t="b">
        <f>P41=-[1]결산전표입력후BSP!E26</f>
        <v>1</v>
      </c>
      <c r="Q45" s="158" t="b">
        <f>Q41=-[1]결산전표입력후BSP!F26</f>
        <v>1</v>
      </c>
      <c r="R45" s="158" t="b">
        <f>R41=-[1]결산전표입력후BSP!G26</f>
        <v>1</v>
      </c>
      <c r="S45" s="158" t="b">
        <f>S41=-[1]결산전표입력후BSP!H26</f>
        <v>1</v>
      </c>
      <c r="T45" s="158" t="b">
        <f>T41=-[1]결산전표입력후BSP!I26</f>
        <v>1</v>
      </c>
      <c r="U45" s="158" t="b">
        <f>U41=-[1]결산전표입력후BSP!J26</f>
        <v>1</v>
      </c>
      <c r="V45" s="158" t="b">
        <f>V41=-[1]결산전표입력후BSP!K26</f>
        <v>1</v>
      </c>
      <c r="W45" s="158" t="b">
        <f>W41=-[1]결산전표입력후BSP!L26</f>
        <v>1</v>
      </c>
      <c r="X45" s="158" t="b">
        <f>X41=-[1]결산전표입력후BSP!M26</f>
        <v>1</v>
      </c>
      <c r="Y45" s="158" t="b">
        <f>Y41=-[1]결산전표입력후BSP!N26</f>
        <v>1</v>
      </c>
      <c r="Z45" s="158" t="b">
        <f>Z41=-[1]결산전표입력후BSP!O26</f>
        <v>1</v>
      </c>
      <c r="AA45" s="159" t="b">
        <f>AA41=-[1]결산전표입력후BSP!P26</f>
        <v>1</v>
      </c>
      <c r="AB45" s="357" t="b">
        <f>AB41=-결산전표입력후BSP!E26</f>
        <v>1</v>
      </c>
      <c r="AC45" s="357" t="b">
        <f>AC41=-결산전표입력후BSP!F26</f>
        <v>1</v>
      </c>
      <c r="AD45" s="357" t="b">
        <f>AD41=-결산전표입력후BSP!G26</f>
        <v>1</v>
      </c>
      <c r="AE45" s="357" t="b">
        <f>AE41=-결산전표입력후BSP!H26</f>
        <v>0</v>
      </c>
      <c r="AF45" s="357" t="b">
        <f>AF41=-결산전표입력후BSP!I26</f>
        <v>1</v>
      </c>
      <c r="AG45" s="357" t="b">
        <f>AG41=-결산전표입력후BSP!J26</f>
        <v>1</v>
      </c>
      <c r="AH45" s="357" t="b">
        <f>AH41=-결산전표입력후BSP!K26</f>
        <v>1</v>
      </c>
      <c r="AI45" s="357" t="b">
        <f>AI41=-결산전표입력후BSP!L26</f>
        <v>1</v>
      </c>
      <c r="AJ45" s="357" t="b">
        <f>AJ41=-결산전표입력후BSP!M26</f>
        <v>1</v>
      </c>
      <c r="AK45" s="357" t="b">
        <f>AK41=-결산전표입력후BSP!N26</f>
        <v>1</v>
      </c>
      <c r="AL45" s="357" t="b">
        <f>AL41=-결산전표입력후BSP!O26</f>
        <v>1</v>
      </c>
      <c r="AM45" s="391" t="b">
        <f>AM41=-결산전표입력후BSP!P26</f>
        <v>1</v>
      </c>
    </row>
    <row r="46" spans="1:16364" x14ac:dyDescent="0.3">
      <c r="B46" s="160" t="s">
        <v>325</v>
      </c>
      <c r="C46" s="161"/>
      <c r="D46" s="161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2"/>
      <c r="P46" s="358" t="b">
        <f>P44=[1]결산전표입력후BSP!E8</f>
        <v>1</v>
      </c>
      <c r="Q46" s="161" t="b">
        <f>Q44=[1]결산전표입력후BSP!F8</f>
        <v>1</v>
      </c>
      <c r="R46" s="161" t="b">
        <f>R44=[1]결산전표입력후BSP!G8</f>
        <v>1</v>
      </c>
      <c r="S46" s="161" t="b">
        <f>S44=[1]결산전표입력후BSP!H8</f>
        <v>1</v>
      </c>
      <c r="T46" s="161" t="b">
        <f>T44=[1]결산전표입력후BSP!I8</f>
        <v>1</v>
      </c>
      <c r="U46" s="161" t="b">
        <f>U44=[1]결산전표입력후BSP!J8</f>
        <v>1</v>
      </c>
      <c r="V46" s="161" t="b">
        <f>V44=[1]결산전표입력후BSP!K8</f>
        <v>1</v>
      </c>
      <c r="W46" s="161" t="b">
        <f>W44=[1]결산전표입력후BSP!L8</f>
        <v>1</v>
      </c>
      <c r="X46" s="161" t="b">
        <f>X44=[1]결산전표입력후BSP!M8</f>
        <v>1</v>
      </c>
      <c r="Y46" s="161" t="b">
        <f>Y44=[1]결산전표입력후BSP!N8</f>
        <v>1</v>
      </c>
      <c r="Z46" s="161" t="b">
        <f>Z44=[1]결산전표입력후BSP!O8</f>
        <v>1</v>
      </c>
      <c r="AA46" s="162" t="b">
        <f>AA44=[1]결산전표입력후BSP!P8</f>
        <v>1</v>
      </c>
      <c r="AB46" s="358" t="b">
        <f>AB44=결산전표입력후BSP!E8</f>
        <v>1</v>
      </c>
      <c r="AC46" s="358" t="b">
        <f>AC44=결산전표입력후BSP!F8</f>
        <v>1</v>
      </c>
      <c r="AD46" s="358" t="b">
        <f>AD44=결산전표입력후BSP!G8</f>
        <v>1</v>
      </c>
      <c r="AE46" s="358" t="b">
        <f>AE44=결산전표입력후BSP!H8</f>
        <v>0</v>
      </c>
      <c r="AF46" s="358" t="b">
        <f>AF44=결산전표입력후BSP!I8</f>
        <v>1</v>
      </c>
      <c r="AG46" s="358" t="b">
        <f>AG44=결산전표입력후BSP!J8</f>
        <v>1</v>
      </c>
      <c r="AH46" s="358" t="b">
        <f>AH44=결산전표입력후BSP!K8</f>
        <v>1</v>
      </c>
      <c r="AI46" s="358" t="b">
        <f>AI44=결산전표입력후BSP!L8</f>
        <v>1</v>
      </c>
      <c r="AJ46" s="358" t="b">
        <f>AJ44=결산전표입력후BSP!M8</f>
        <v>1</v>
      </c>
      <c r="AK46" s="358" t="b">
        <f>AK44=결산전표입력후BSP!N8</f>
        <v>1</v>
      </c>
      <c r="AL46" s="358" t="b">
        <f>AL44=결산전표입력후BSP!O8</f>
        <v>1</v>
      </c>
      <c r="AM46" s="392" t="b">
        <f>AM44=결산전표입력후BSP!P8</f>
        <v>1</v>
      </c>
    </row>
    <row r="47" spans="1:16364" ht="17.25" thickBot="1" x14ac:dyDescent="0.35">
      <c r="B47" s="163" t="s">
        <v>326</v>
      </c>
      <c r="C47" s="164"/>
      <c r="D47" s="164"/>
      <c r="E47" s="164"/>
      <c r="F47" s="164"/>
      <c r="G47" s="164"/>
      <c r="H47" s="164"/>
      <c r="I47" s="164"/>
      <c r="J47" s="164"/>
      <c r="K47" s="164"/>
      <c r="L47" s="164"/>
      <c r="M47" s="164"/>
      <c r="N47" s="164"/>
      <c r="O47" s="165"/>
      <c r="P47" s="359" t="b">
        <f>P43=[1]결산전표입력후BSP!E7</f>
        <v>1</v>
      </c>
      <c r="Q47" s="164" t="b">
        <f>Q43=[1]결산전표입력후BSP!F7</f>
        <v>1</v>
      </c>
      <c r="R47" s="164" t="b">
        <f>R43=[1]결산전표입력후BSP!G7</f>
        <v>1</v>
      </c>
      <c r="S47" s="164" t="b">
        <f>S43=[1]결산전표입력후BSP!H7</f>
        <v>1</v>
      </c>
      <c r="T47" s="164" t="b">
        <f>T43=[1]결산전표입력후BSP!I7</f>
        <v>1</v>
      </c>
      <c r="U47" s="164" t="b">
        <f>U43=[1]결산전표입력후BSP!J7</f>
        <v>1</v>
      </c>
      <c r="V47" s="164" t="b">
        <f>V43=[1]결산전표입력후BSP!K7</f>
        <v>1</v>
      </c>
      <c r="W47" s="164" t="b">
        <f>W43=[1]결산전표입력후BSP!L7</f>
        <v>1</v>
      </c>
      <c r="X47" s="164" t="b">
        <f>X43=[1]결산전표입력후BSP!M7</f>
        <v>1</v>
      </c>
      <c r="Y47" s="164" t="b">
        <f>Y43=[1]결산전표입력후BSP!N7</f>
        <v>1</v>
      </c>
      <c r="Z47" s="164" t="b">
        <f>Z43=[1]결산전표입력후BSP!O7</f>
        <v>1</v>
      </c>
      <c r="AA47" s="383" t="b">
        <f>AA43=[1]결산전표입력후BSP!P7</f>
        <v>1</v>
      </c>
      <c r="AB47" s="359" t="b">
        <f>AB43=결산전표입력후BSP!E7</f>
        <v>1</v>
      </c>
      <c r="AC47" s="359" t="b">
        <f>AC43=결산전표입력후BSP!F7</f>
        <v>1</v>
      </c>
      <c r="AD47" s="359" t="b">
        <f>AD43=결산전표입력후BSP!G7</f>
        <v>1</v>
      </c>
      <c r="AE47" s="359" t="b">
        <f>AE43=결산전표입력후BSP!H7</f>
        <v>0</v>
      </c>
      <c r="AF47" s="359" t="b">
        <f>AF43=결산전표입력후BSP!I7</f>
        <v>1</v>
      </c>
      <c r="AG47" s="359" t="b">
        <f>AG43=결산전표입력후BSP!J7</f>
        <v>1</v>
      </c>
      <c r="AH47" s="359" t="b">
        <f>AH43=결산전표입력후BSP!K7</f>
        <v>1</v>
      </c>
      <c r="AI47" s="359" t="b">
        <f>AI43=결산전표입력후BSP!L7</f>
        <v>1</v>
      </c>
      <c r="AJ47" s="359" t="b">
        <f>AJ43=결산전표입력후BSP!M7</f>
        <v>1</v>
      </c>
      <c r="AK47" s="359" t="b">
        <f>AK43=결산전표입력후BSP!N7</f>
        <v>1</v>
      </c>
      <c r="AL47" s="359" t="b">
        <f>AL43=결산전표입력후BSP!O7</f>
        <v>1</v>
      </c>
      <c r="AM47" s="393" t="b">
        <f>AM43=결산전표입력후BSP!P7</f>
        <v>1</v>
      </c>
    </row>
    <row r="49" spans="1:39" s="153" customFormat="1" x14ac:dyDescent="0.3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</row>
    <row r="50" spans="1:39" ht="17.25" thickBot="1" x14ac:dyDescent="0.35">
      <c r="B50" s="154" t="s">
        <v>334</v>
      </c>
    </row>
    <row r="51" spans="1:39" ht="17.25" thickBot="1" x14ac:dyDescent="0.35">
      <c r="B51" s="244"/>
      <c r="C51" s="245">
        <v>45291</v>
      </c>
      <c r="D51" s="245">
        <v>45322</v>
      </c>
      <c r="E51" s="245">
        <v>45351</v>
      </c>
      <c r="F51" s="245">
        <v>45382</v>
      </c>
      <c r="G51" s="245">
        <v>45412</v>
      </c>
      <c r="H51" s="245">
        <v>45443</v>
      </c>
      <c r="I51" s="245">
        <v>45473</v>
      </c>
      <c r="J51" s="245">
        <v>45504</v>
      </c>
      <c r="K51" s="245">
        <v>45535</v>
      </c>
      <c r="L51" s="245">
        <v>45565</v>
      </c>
      <c r="M51" s="245">
        <v>45596</v>
      </c>
      <c r="N51" s="245">
        <v>45626</v>
      </c>
      <c r="O51" s="246">
        <v>45657</v>
      </c>
      <c r="P51" s="353">
        <f>EOMONTH(O51,1)</f>
        <v>45688</v>
      </c>
      <c r="Q51" s="245">
        <f t="shared" ref="Q51:AA51" si="54">EOMONTH(P51,1)</f>
        <v>45716</v>
      </c>
      <c r="R51" s="245">
        <f t="shared" si="54"/>
        <v>45747</v>
      </c>
      <c r="S51" s="245">
        <f t="shared" si="54"/>
        <v>45777</v>
      </c>
      <c r="T51" s="245">
        <f t="shared" si="54"/>
        <v>45808</v>
      </c>
      <c r="U51" s="245">
        <f t="shared" si="54"/>
        <v>45838</v>
      </c>
      <c r="V51" s="245">
        <f t="shared" si="54"/>
        <v>45869</v>
      </c>
      <c r="W51" s="245">
        <f t="shared" si="54"/>
        <v>45900</v>
      </c>
      <c r="X51" s="245">
        <f t="shared" si="54"/>
        <v>45930</v>
      </c>
      <c r="Y51" s="245">
        <f t="shared" si="54"/>
        <v>45961</v>
      </c>
      <c r="Z51" s="245">
        <f t="shared" si="54"/>
        <v>45991</v>
      </c>
      <c r="AA51" s="246">
        <f t="shared" si="54"/>
        <v>46022</v>
      </c>
      <c r="AB51" s="353">
        <f>EOMONTH(AA51,1)</f>
        <v>46053</v>
      </c>
      <c r="AC51" s="245">
        <f t="shared" ref="AC51" si="55">EOMONTH(AB51,1)</f>
        <v>46081</v>
      </c>
      <c r="AD51" s="245">
        <f t="shared" ref="AD51" si="56">EOMONTH(AC51,1)</f>
        <v>46112</v>
      </c>
      <c r="AE51" s="245">
        <f t="shared" ref="AE51" si="57">EOMONTH(AD51,1)</f>
        <v>46142</v>
      </c>
      <c r="AF51" s="245">
        <f t="shared" ref="AF51" si="58">EOMONTH(AE51,1)</f>
        <v>46173</v>
      </c>
      <c r="AG51" s="245">
        <f t="shared" ref="AG51" si="59">EOMONTH(AF51,1)</f>
        <v>46203</v>
      </c>
      <c r="AH51" s="245">
        <f t="shared" ref="AH51" si="60">EOMONTH(AG51,1)</f>
        <v>46234</v>
      </c>
      <c r="AI51" s="245">
        <f t="shared" ref="AI51" si="61">EOMONTH(AH51,1)</f>
        <v>46265</v>
      </c>
      <c r="AJ51" s="245">
        <f t="shared" ref="AJ51" si="62">EOMONTH(AI51,1)</f>
        <v>46295</v>
      </c>
      <c r="AK51" s="245">
        <f t="shared" ref="AK51" si="63">EOMONTH(AJ51,1)</f>
        <v>46326</v>
      </c>
      <c r="AL51" s="245">
        <f t="shared" ref="AL51" si="64">EOMONTH(AK51,1)</f>
        <v>46356</v>
      </c>
      <c r="AM51" s="246">
        <f t="shared" ref="AM51" si="65">EOMONTH(AL51,1)</f>
        <v>46387</v>
      </c>
    </row>
    <row r="52" spans="1:39" x14ac:dyDescent="0.3">
      <c r="B52" s="242" t="s">
        <v>335</v>
      </c>
      <c r="C52" s="251">
        <v>178022429.16666666</v>
      </c>
      <c r="D52" s="251">
        <v>165539417.16666666</v>
      </c>
      <c r="E52" s="251">
        <v>153418581.16666666</v>
      </c>
      <c r="F52" s="251">
        <v>141297745.16666666</v>
      </c>
      <c r="G52" s="251">
        <v>129176909.16666666</v>
      </c>
      <c r="H52" s="251">
        <v>117056073.16666666</v>
      </c>
      <c r="I52" s="251">
        <v>104935237.16666666</v>
      </c>
      <c r="J52" s="251">
        <v>92814401.166666657</v>
      </c>
      <c r="K52" s="251">
        <v>80693565.166666657</v>
      </c>
      <c r="L52" s="251">
        <v>68572729.166666657</v>
      </c>
      <c r="M52" s="251">
        <v>56453853.166666657</v>
      </c>
      <c r="N52" s="251">
        <v>45068630.166666657</v>
      </c>
      <c r="O52" s="281">
        <v>33806480.166666657</v>
      </c>
      <c r="P52" s="340">
        <v>22544330.166666657</v>
      </c>
      <c r="Q52" s="340">
        <v>11282180.166666657</v>
      </c>
      <c r="R52" s="340">
        <v>21000.166666656733</v>
      </c>
      <c r="S52" s="340">
        <v>21000.166666656733</v>
      </c>
      <c r="T52" s="251">
        <v>21000.166666656733</v>
      </c>
      <c r="U52" s="251">
        <v>21000.166666656733</v>
      </c>
      <c r="V52" s="251">
        <v>21000.166666656733</v>
      </c>
      <c r="W52" s="251">
        <v>21000.166666656733</v>
      </c>
      <c r="X52" s="251">
        <v>21000.166666656733</v>
      </c>
      <c r="Y52" s="251">
        <v>21000.166666656733</v>
      </c>
      <c r="Z52" s="251">
        <v>21000.166666656733</v>
      </c>
      <c r="AA52" s="281">
        <v>21000.166666656733</v>
      </c>
      <c r="AB52" s="340">
        <f t="shared" ref="AB52:AE52" si="66">AA57</f>
        <v>21000.166666656733</v>
      </c>
      <c r="AC52" s="340">
        <f t="shared" si="66"/>
        <v>21000.166666656733</v>
      </c>
      <c r="AD52" s="340">
        <f t="shared" si="66"/>
        <v>21000.166666656733</v>
      </c>
      <c r="AE52" s="340">
        <f t="shared" si="66"/>
        <v>21000.166666656733</v>
      </c>
      <c r="AF52" s="251"/>
      <c r="AG52" s="251"/>
      <c r="AH52" s="251"/>
      <c r="AI52" s="251"/>
      <c r="AJ52" s="251"/>
      <c r="AK52" s="251"/>
      <c r="AL52" s="251"/>
      <c r="AM52" s="281"/>
    </row>
    <row r="53" spans="1:39" x14ac:dyDescent="0.3">
      <c r="B53" s="155" t="s">
        <v>329</v>
      </c>
      <c r="C53" s="215"/>
      <c r="D53" s="215">
        <v>0</v>
      </c>
      <c r="E53" s="215">
        <v>0</v>
      </c>
      <c r="F53" s="215">
        <v>0</v>
      </c>
      <c r="G53" s="215">
        <v>0</v>
      </c>
      <c r="H53" s="215">
        <v>0</v>
      </c>
      <c r="I53" s="215">
        <v>0</v>
      </c>
      <c r="J53" s="215">
        <v>0</v>
      </c>
      <c r="K53" s="215">
        <v>0</v>
      </c>
      <c r="L53" s="215">
        <v>0</v>
      </c>
      <c r="M53" s="215">
        <v>0</v>
      </c>
      <c r="N53" s="215">
        <v>0</v>
      </c>
      <c r="O53" s="254">
        <v>0</v>
      </c>
      <c r="P53" s="341">
        <v>0</v>
      </c>
      <c r="Q53" s="341">
        <v>0</v>
      </c>
      <c r="R53" s="341">
        <v>0</v>
      </c>
      <c r="S53" s="341">
        <v>0</v>
      </c>
      <c r="T53" s="215">
        <v>0</v>
      </c>
      <c r="U53" s="215">
        <v>0</v>
      </c>
      <c r="V53" s="215">
        <v>0</v>
      </c>
      <c r="W53" s="215">
        <v>0</v>
      </c>
      <c r="X53" s="215">
        <v>0</v>
      </c>
      <c r="Y53" s="215">
        <v>0</v>
      </c>
      <c r="Z53" s="215">
        <v>0</v>
      </c>
      <c r="AA53" s="254">
        <v>0</v>
      </c>
      <c r="AB53" s="341">
        <v>0</v>
      </c>
      <c r="AC53" s="341">
        <v>0</v>
      </c>
      <c r="AD53" s="341">
        <v>0</v>
      </c>
      <c r="AE53" s="341">
        <v>0</v>
      </c>
      <c r="AF53" s="215"/>
      <c r="AG53" s="215"/>
      <c r="AH53" s="215"/>
      <c r="AI53" s="215"/>
      <c r="AJ53" s="215"/>
      <c r="AK53" s="215"/>
      <c r="AL53" s="215"/>
      <c r="AM53" s="254"/>
    </row>
    <row r="54" spans="1:39" s="153" customFormat="1" x14ac:dyDescent="0.3">
      <c r="A54" s="384"/>
      <c r="B54" s="155" t="s">
        <v>333</v>
      </c>
      <c r="C54" s="215"/>
      <c r="D54" s="215">
        <v>0</v>
      </c>
      <c r="E54" s="215">
        <v>0</v>
      </c>
      <c r="F54" s="215">
        <v>0</v>
      </c>
      <c r="G54" s="215">
        <v>0</v>
      </c>
      <c r="H54" s="215">
        <v>0</v>
      </c>
      <c r="I54" s="215">
        <v>0</v>
      </c>
      <c r="J54" s="215">
        <v>0</v>
      </c>
      <c r="K54" s="215">
        <v>0</v>
      </c>
      <c r="L54" s="215">
        <v>0</v>
      </c>
      <c r="M54" s="215">
        <v>0</v>
      </c>
      <c r="N54" s="215">
        <v>0</v>
      </c>
      <c r="O54" s="254">
        <v>0</v>
      </c>
      <c r="P54" s="341">
        <v>0</v>
      </c>
      <c r="Q54" s="341">
        <v>0</v>
      </c>
      <c r="R54" s="341">
        <v>0</v>
      </c>
      <c r="S54" s="341">
        <v>0</v>
      </c>
      <c r="T54" s="215">
        <v>0</v>
      </c>
      <c r="U54" s="215">
        <v>0</v>
      </c>
      <c r="V54" s="215">
        <v>0</v>
      </c>
      <c r="W54" s="215">
        <v>0</v>
      </c>
      <c r="X54" s="215">
        <v>0</v>
      </c>
      <c r="Y54" s="215">
        <v>0</v>
      </c>
      <c r="Z54" s="215">
        <v>0</v>
      </c>
      <c r="AA54" s="254">
        <v>0</v>
      </c>
      <c r="AB54" s="341">
        <v>0</v>
      </c>
      <c r="AC54" s="341">
        <v>0</v>
      </c>
      <c r="AD54" s="341">
        <v>0</v>
      </c>
      <c r="AE54" s="341">
        <v>0</v>
      </c>
      <c r="AF54" s="215"/>
      <c r="AG54" s="215"/>
      <c r="AH54" s="215"/>
      <c r="AI54" s="215"/>
      <c r="AJ54" s="215"/>
      <c r="AK54" s="215"/>
      <c r="AL54" s="215"/>
      <c r="AM54" s="254"/>
    </row>
    <row r="55" spans="1:39" s="153" customFormat="1" x14ac:dyDescent="0.3">
      <c r="A55" s="384"/>
      <c r="B55" s="155" t="s">
        <v>330</v>
      </c>
      <c r="C55" s="215"/>
      <c r="D55" s="215">
        <v>0</v>
      </c>
      <c r="E55" s="215">
        <v>0</v>
      </c>
      <c r="F55" s="215">
        <v>0</v>
      </c>
      <c r="G55" s="215">
        <v>0</v>
      </c>
      <c r="H55" s="215">
        <v>0</v>
      </c>
      <c r="I55" s="215">
        <v>0</v>
      </c>
      <c r="J55" s="215">
        <v>0</v>
      </c>
      <c r="K55" s="215">
        <v>0</v>
      </c>
      <c r="L55" s="215">
        <v>0</v>
      </c>
      <c r="M55" s="215">
        <v>0</v>
      </c>
      <c r="N55" s="215">
        <v>0</v>
      </c>
      <c r="O55" s="254">
        <v>0</v>
      </c>
      <c r="P55" s="341">
        <v>0</v>
      </c>
      <c r="Q55" s="341">
        <v>0</v>
      </c>
      <c r="R55" s="341">
        <v>0</v>
      </c>
      <c r="S55" s="341">
        <v>0</v>
      </c>
      <c r="T55" s="215">
        <v>0</v>
      </c>
      <c r="U55" s="215">
        <v>0</v>
      </c>
      <c r="V55" s="215">
        <v>0</v>
      </c>
      <c r="W55" s="215">
        <v>0</v>
      </c>
      <c r="X55" s="215">
        <v>0</v>
      </c>
      <c r="Y55" s="215">
        <v>0</v>
      </c>
      <c r="Z55" s="215">
        <v>0</v>
      </c>
      <c r="AA55" s="254">
        <v>0</v>
      </c>
      <c r="AB55" s="341">
        <v>0</v>
      </c>
      <c r="AC55" s="341">
        <v>0</v>
      </c>
      <c r="AD55" s="341">
        <v>0</v>
      </c>
      <c r="AE55" s="341">
        <v>0</v>
      </c>
      <c r="AF55" s="215"/>
      <c r="AG55" s="215"/>
      <c r="AH55" s="215"/>
      <c r="AI55" s="215"/>
      <c r="AJ55" s="215"/>
      <c r="AK55" s="215"/>
      <c r="AL55" s="215"/>
      <c r="AM55" s="254"/>
    </row>
    <row r="56" spans="1:39" x14ac:dyDescent="0.3">
      <c r="B56" s="155" t="s">
        <v>336</v>
      </c>
      <c r="C56" s="215">
        <v>-12483012</v>
      </c>
      <c r="D56" s="215">
        <v>-12120836</v>
      </c>
      <c r="E56" s="215">
        <v>-12120836</v>
      </c>
      <c r="F56" s="215">
        <v>-12120836</v>
      </c>
      <c r="G56" s="215">
        <v>-12120836</v>
      </c>
      <c r="H56" s="215">
        <v>-12120836</v>
      </c>
      <c r="I56" s="215">
        <v>-12120836</v>
      </c>
      <c r="J56" s="215">
        <v>-12120836</v>
      </c>
      <c r="K56" s="215">
        <v>-12120836</v>
      </c>
      <c r="L56" s="215">
        <v>-12118876</v>
      </c>
      <c r="M56" s="215">
        <v>-11385223</v>
      </c>
      <c r="N56" s="215">
        <v>-11262150</v>
      </c>
      <c r="O56" s="254">
        <v>-11262150</v>
      </c>
      <c r="P56" s="341">
        <v>-11262150</v>
      </c>
      <c r="Q56" s="341">
        <v>-11261180</v>
      </c>
      <c r="R56" s="341">
        <v>0</v>
      </c>
      <c r="S56" s="341">
        <v>0</v>
      </c>
      <c r="T56" s="215">
        <v>0</v>
      </c>
      <c r="U56" s="215">
        <v>0</v>
      </c>
      <c r="V56" s="215">
        <v>0</v>
      </c>
      <c r="W56" s="215">
        <v>0</v>
      </c>
      <c r="X56" s="215">
        <v>0</v>
      </c>
      <c r="Y56" s="215">
        <v>0</v>
      </c>
      <c r="Z56" s="215">
        <v>0</v>
      </c>
      <c r="AA56" s="254">
        <v>0</v>
      </c>
      <c r="AB56" s="341">
        <f>-소프트웨어!U30</f>
        <v>0</v>
      </c>
      <c r="AC56" s="341">
        <f>-소프트웨어!V30</f>
        <v>0</v>
      </c>
      <c r="AD56" s="341">
        <f>-소프트웨어!W30</f>
        <v>0</v>
      </c>
      <c r="AE56" s="341">
        <f>-소프트웨어!X30</f>
        <v>0</v>
      </c>
      <c r="AF56" s="215"/>
      <c r="AG56" s="215"/>
      <c r="AH56" s="215"/>
      <c r="AI56" s="215"/>
      <c r="AJ56" s="215"/>
      <c r="AK56" s="215"/>
      <c r="AL56" s="215"/>
      <c r="AM56" s="254"/>
    </row>
    <row r="57" spans="1:39" ht="17.25" thickBot="1" x14ac:dyDescent="0.35">
      <c r="B57" s="156" t="s">
        <v>337</v>
      </c>
      <c r="C57" s="216">
        <v>165539417.16666666</v>
      </c>
      <c r="D57" s="216">
        <v>153418581.16666666</v>
      </c>
      <c r="E57" s="216">
        <v>141297745.16666666</v>
      </c>
      <c r="F57" s="216">
        <v>129176909.16666666</v>
      </c>
      <c r="G57" s="216">
        <v>117056073.16666666</v>
      </c>
      <c r="H57" s="216">
        <v>104935237.16666666</v>
      </c>
      <c r="I57" s="216">
        <v>92814401.166666657</v>
      </c>
      <c r="J57" s="216">
        <v>80693565.166666657</v>
      </c>
      <c r="K57" s="216">
        <v>68572729.166666657</v>
      </c>
      <c r="L57" s="216">
        <v>56453853.166666657</v>
      </c>
      <c r="M57" s="216">
        <v>45068630.166666657</v>
      </c>
      <c r="N57" s="216">
        <v>33806480.166666657</v>
      </c>
      <c r="O57" s="255">
        <v>22544330.166666657</v>
      </c>
      <c r="P57" s="342">
        <v>11282180.166666657</v>
      </c>
      <c r="Q57" s="342">
        <v>21000.166666656733</v>
      </c>
      <c r="R57" s="342">
        <v>21000.166666656733</v>
      </c>
      <c r="S57" s="342">
        <v>21000.166666656733</v>
      </c>
      <c r="T57" s="216">
        <v>21000.166666656733</v>
      </c>
      <c r="U57" s="216">
        <v>21000.166666656733</v>
      </c>
      <c r="V57" s="216">
        <v>21000.166666656733</v>
      </c>
      <c r="W57" s="216">
        <v>21000.166666656733</v>
      </c>
      <c r="X57" s="216">
        <v>21000.166666656733</v>
      </c>
      <c r="Y57" s="216">
        <v>21000.166666656733</v>
      </c>
      <c r="Z57" s="216">
        <v>21000.166666656733</v>
      </c>
      <c r="AA57" s="255">
        <v>21000.166666656733</v>
      </c>
      <c r="AB57" s="342">
        <f t="shared" ref="AB57:AC57" si="67">AB52+AB56</f>
        <v>21000.166666656733</v>
      </c>
      <c r="AC57" s="342">
        <f t="shared" si="67"/>
        <v>21000.166666656733</v>
      </c>
      <c r="AD57" s="342">
        <f t="shared" ref="AD57:AE57" si="68">AD52+AD56</f>
        <v>21000.166666656733</v>
      </c>
      <c r="AE57" s="342">
        <f t="shared" si="68"/>
        <v>21000.166666656733</v>
      </c>
      <c r="AF57" s="216"/>
      <c r="AG57" s="216"/>
      <c r="AH57" s="216"/>
      <c r="AI57" s="216"/>
      <c r="AJ57" s="216"/>
      <c r="AK57" s="216"/>
      <c r="AL57" s="216"/>
      <c r="AM57" s="255"/>
    </row>
    <row r="58" spans="1:39" hidden="1" x14ac:dyDescent="0.3">
      <c r="B58" s="157" t="s">
        <v>338</v>
      </c>
      <c r="C58" s="158"/>
      <c r="D58" s="253" t="b">
        <f>ROUND(D57,0)=[1]결산전표입력후BSP!E16</f>
        <v>0</v>
      </c>
      <c r="E58" s="253" t="b">
        <f>ROUND(E57,0)=[1]결산전표입력후BSP!F16</f>
        <v>0</v>
      </c>
      <c r="F58" s="253" t="b">
        <f>ROUND(F57,0)=[1]결산전표입력후BSP!G16</f>
        <v>0</v>
      </c>
      <c r="G58" s="253" t="b">
        <f>ROUND(G57,0)=[1]결산전표입력후BSP!H16</f>
        <v>0</v>
      </c>
      <c r="H58" s="253" t="b">
        <f>ROUND(H57,0)=[1]결산전표입력후BSP!I16</f>
        <v>0</v>
      </c>
      <c r="I58" s="253" t="b">
        <f>ROUND(I57,0)=[1]결산전표입력후BSP!J16</f>
        <v>0</v>
      </c>
      <c r="J58" s="253" t="b">
        <f>ROUND(J57,0)=[1]결산전표입력후BSP!K16</f>
        <v>0</v>
      </c>
      <c r="K58" s="253" t="b">
        <f>ROUND(K57,0)=[1]결산전표입력후BSP!L16</f>
        <v>0</v>
      </c>
      <c r="L58" s="253" t="b">
        <f>ROUND(L57,0)=[1]결산전표입력후BSP!M16</f>
        <v>0</v>
      </c>
      <c r="M58" s="158"/>
      <c r="N58" s="158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9"/>
      <c r="AB58" s="159"/>
      <c r="AC58" s="159"/>
      <c r="AD58" s="159"/>
      <c r="AE58" s="159"/>
      <c r="AF58" s="159"/>
      <c r="AG58" s="159"/>
      <c r="AH58" s="159"/>
      <c r="AI58" s="159"/>
      <c r="AJ58" s="159"/>
      <c r="AK58" s="159"/>
      <c r="AL58" s="159"/>
      <c r="AM58" s="159"/>
    </row>
    <row r="59" spans="1:39" ht="17.25" hidden="1" thickBot="1" x14ac:dyDescent="0.35">
      <c r="B59" s="163" t="s">
        <v>339</v>
      </c>
      <c r="C59" s="164"/>
      <c r="D59" s="164" t="b">
        <f>D56=-[1]결산전표입력후BSP!E28</f>
        <v>0</v>
      </c>
      <c r="E59" s="164" t="b">
        <f>E56=-[1]결산전표입력후BSP!F28</f>
        <v>0</v>
      </c>
      <c r="F59" s="164" t="b">
        <f>F56=-[1]결산전표입력후BSP!G28</f>
        <v>0</v>
      </c>
      <c r="G59" s="164" t="b">
        <f>G56=-[1]결산전표입력후BSP!H28</f>
        <v>0</v>
      </c>
      <c r="H59" s="164" t="b">
        <f>H56=-[1]결산전표입력후BSP!I28</f>
        <v>0</v>
      </c>
      <c r="I59" s="164" t="b">
        <f>I56=-[1]결산전표입력후BSP!J28</f>
        <v>0</v>
      </c>
      <c r="J59" s="164" t="b">
        <f>J56=-[1]결산전표입력후BSP!K28</f>
        <v>0</v>
      </c>
      <c r="K59" s="164" t="b">
        <f>K56=-[1]결산전표입력후BSP!L28</f>
        <v>0</v>
      </c>
      <c r="L59" s="164" t="b">
        <f>L56=-[1]결산전표입력후BSP!M28</f>
        <v>0</v>
      </c>
      <c r="M59" s="164"/>
      <c r="N59" s="164"/>
      <c r="O59" s="165"/>
      <c r="P59" s="165"/>
      <c r="Q59" s="165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  <c r="AC59" s="165"/>
      <c r="AD59" s="165"/>
      <c r="AE59" s="165"/>
      <c r="AF59" s="165"/>
      <c r="AG59" s="165"/>
      <c r="AH59" s="165"/>
      <c r="AI59" s="165"/>
      <c r="AJ59" s="165"/>
      <c r="AK59" s="165"/>
      <c r="AL59" s="165"/>
      <c r="AM59" s="165"/>
    </row>
    <row r="62" spans="1:39" ht="17.25" thickBot="1" x14ac:dyDescent="0.35">
      <c r="B62" s="154" t="s">
        <v>340</v>
      </c>
    </row>
    <row r="63" spans="1:39" ht="17.25" thickBot="1" x14ac:dyDescent="0.35">
      <c r="B63" s="244"/>
      <c r="C63" s="245">
        <v>45291</v>
      </c>
      <c r="D63" s="245">
        <v>45322</v>
      </c>
      <c r="E63" s="245">
        <v>45351</v>
      </c>
      <c r="F63" s="245">
        <v>45382</v>
      </c>
      <c r="G63" s="245">
        <v>45412</v>
      </c>
      <c r="H63" s="245">
        <v>45443</v>
      </c>
      <c r="I63" s="245">
        <v>45473</v>
      </c>
      <c r="J63" s="245">
        <v>45504</v>
      </c>
      <c r="K63" s="245">
        <v>45535</v>
      </c>
      <c r="L63" s="245">
        <v>45565</v>
      </c>
      <c r="M63" s="245">
        <v>45596</v>
      </c>
      <c r="N63" s="245">
        <v>45626</v>
      </c>
      <c r="O63" s="246">
        <v>45657</v>
      </c>
      <c r="P63" s="353">
        <f>EOMONTH(O63,1)</f>
        <v>45688</v>
      </c>
      <c r="Q63" s="245">
        <f t="shared" ref="Q63:AA63" si="69">EOMONTH(P63,1)</f>
        <v>45716</v>
      </c>
      <c r="R63" s="245">
        <f t="shared" si="69"/>
        <v>45747</v>
      </c>
      <c r="S63" s="245">
        <f t="shared" si="69"/>
        <v>45777</v>
      </c>
      <c r="T63" s="245">
        <f t="shared" si="69"/>
        <v>45808</v>
      </c>
      <c r="U63" s="245">
        <f t="shared" si="69"/>
        <v>45838</v>
      </c>
      <c r="V63" s="245">
        <f t="shared" si="69"/>
        <v>45869</v>
      </c>
      <c r="W63" s="245">
        <f t="shared" si="69"/>
        <v>45900</v>
      </c>
      <c r="X63" s="245">
        <f t="shared" si="69"/>
        <v>45930</v>
      </c>
      <c r="Y63" s="245">
        <f t="shared" si="69"/>
        <v>45961</v>
      </c>
      <c r="Z63" s="245">
        <f t="shared" si="69"/>
        <v>45991</v>
      </c>
      <c r="AA63" s="339">
        <f t="shared" si="69"/>
        <v>46022</v>
      </c>
      <c r="AB63" s="353">
        <f>EOMONTH(AA63,1)</f>
        <v>46053</v>
      </c>
      <c r="AC63" s="245">
        <f t="shared" ref="AC63" si="70">EOMONTH(AB63,1)</f>
        <v>46081</v>
      </c>
      <c r="AD63" s="245">
        <f t="shared" ref="AD63" si="71">EOMONTH(AC63,1)</f>
        <v>46112</v>
      </c>
      <c r="AE63" s="245">
        <f t="shared" ref="AE63" si="72">EOMONTH(AD63,1)</f>
        <v>46142</v>
      </c>
      <c r="AF63" s="245">
        <f t="shared" ref="AF63" si="73">EOMONTH(AE63,1)</f>
        <v>46173</v>
      </c>
      <c r="AG63" s="245">
        <f t="shared" ref="AG63" si="74">EOMONTH(AF63,1)</f>
        <v>46203</v>
      </c>
      <c r="AH63" s="245">
        <f t="shared" ref="AH63" si="75">EOMONTH(AG63,1)</f>
        <v>46234</v>
      </c>
      <c r="AI63" s="245">
        <f t="shared" ref="AI63" si="76">EOMONTH(AH63,1)</f>
        <v>46265</v>
      </c>
      <c r="AJ63" s="245">
        <f t="shared" ref="AJ63" si="77">EOMONTH(AI63,1)</f>
        <v>46295</v>
      </c>
      <c r="AK63" s="245">
        <f t="shared" ref="AK63" si="78">EOMONTH(AJ63,1)</f>
        <v>46326</v>
      </c>
      <c r="AL63" s="245">
        <f t="shared" ref="AL63" si="79">EOMONTH(AK63,1)</f>
        <v>46356</v>
      </c>
      <c r="AM63" s="339">
        <f t="shared" ref="AM63" si="80">EOMONTH(AL63,1)</f>
        <v>46387</v>
      </c>
    </row>
    <row r="64" spans="1:39" x14ac:dyDescent="0.3">
      <c r="B64" s="242" t="s">
        <v>335</v>
      </c>
      <c r="C64" s="251">
        <v>242727</v>
      </c>
      <c r="D64" s="251">
        <v>191721</v>
      </c>
      <c r="E64" s="251">
        <v>164497</v>
      </c>
      <c r="F64" s="251">
        <v>137273</v>
      </c>
      <c r="G64" s="251">
        <v>110049</v>
      </c>
      <c r="H64" s="251">
        <v>82825</v>
      </c>
      <c r="I64" s="251">
        <v>87455</v>
      </c>
      <c r="J64" s="251">
        <v>75168</v>
      </c>
      <c r="K64" s="251">
        <v>62881</v>
      </c>
      <c r="L64" s="251">
        <v>50594</v>
      </c>
      <c r="M64" s="251">
        <v>38307</v>
      </c>
      <c r="N64" s="251">
        <v>28000</v>
      </c>
      <c r="O64" s="281">
        <v>28000</v>
      </c>
      <c r="P64" s="340">
        <v>28000</v>
      </c>
      <c r="Q64" s="340">
        <v>28000</v>
      </c>
      <c r="R64" s="340">
        <v>2784127</v>
      </c>
      <c r="S64" s="340">
        <v>2737414</v>
      </c>
      <c r="T64" s="251">
        <v>2690701</v>
      </c>
      <c r="U64" s="251">
        <v>2643988</v>
      </c>
      <c r="V64" s="251">
        <v>2597275</v>
      </c>
      <c r="W64" s="251">
        <v>2550562</v>
      </c>
      <c r="X64" s="251">
        <v>2503849</v>
      </c>
      <c r="Y64" s="251">
        <v>2457136</v>
      </c>
      <c r="Z64" s="251">
        <v>2410423</v>
      </c>
      <c r="AA64" s="343">
        <v>2363710</v>
      </c>
      <c r="AB64" s="340">
        <f t="shared" ref="AB64:AE64" si="81">AA69</f>
        <v>2316997</v>
      </c>
      <c r="AC64" s="340">
        <f t="shared" si="81"/>
        <v>2669636</v>
      </c>
      <c r="AD64" s="340">
        <f t="shared" si="81"/>
        <v>2616155</v>
      </c>
      <c r="AE64" s="340">
        <f t="shared" si="81"/>
        <v>2562674</v>
      </c>
      <c r="AF64" s="251"/>
      <c r="AG64" s="251"/>
      <c r="AH64" s="251"/>
      <c r="AI64" s="251"/>
      <c r="AJ64" s="251"/>
      <c r="AK64" s="251"/>
      <c r="AL64" s="251"/>
      <c r="AM64" s="343"/>
    </row>
    <row r="65" spans="1:39" ht="17.25" customHeight="1" x14ac:dyDescent="0.3">
      <c r="B65" s="155" t="s">
        <v>329</v>
      </c>
      <c r="C65" s="212"/>
      <c r="D65" s="212">
        <v>0</v>
      </c>
      <c r="E65" s="215">
        <v>0</v>
      </c>
      <c r="F65" s="215">
        <v>0</v>
      </c>
      <c r="G65" s="215">
        <v>0</v>
      </c>
      <c r="H65" s="215">
        <v>0</v>
      </c>
      <c r="I65" s="215">
        <v>0</v>
      </c>
      <c r="J65" s="215">
        <v>0</v>
      </c>
      <c r="K65" s="215">
        <v>0</v>
      </c>
      <c r="L65" s="215">
        <v>0</v>
      </c>
      <c r="M65" s="215">
        <v>0</v>
      </c>
      <c r="N65" s="215">
        <v>0</v>
      </c>
      <c r="O65" s="254">
        <v>0</v>
      </c>
      <c r="P65" s="341">
        <v>0</v>
      </c>
      <c r="Q65" s="341">
        <v>2802840</v>
      </c>
      <c r="R65" s="341">
        <v>0</v>
      </c>
      <c r="S65" s="341">
        <v>0</v>
      </c>
      <c r="T65" s="215">
        <v>0</v>
      </c>
      <c r="U65" s="215">
        <v>0</v>
      </c>
      <c r="V65" s="215">
        <v>0</v>
      </c>
      <c r="W65" s="215">
        <v>0</v>
      </c>
      <c r="X65" s="215">
        <v>0</v>
      </c>
      <c r="Y65" s="215">
        <v>0</v>
      </c>
      <c r="Z65" s="215">
        <v>0</v>
      </c>
      <c r="AA65" s="344">
        <v>0</v>
      </c>
      <c r="AB65" s="341">
        <f>상표권!O37+상표권!O38</f>
        <v>406120</v>
      </c>
      <c r="AC65" s="341">
        <v>0</v>
      </c>
      <c r="AD65" s="341">
        <v>0</v>
      </c>
      <c r="AE65" s="341">
        <v>0</v>
      </c>
      <c r="AF65" s="215"/>
      <c r="AG65" s="215"/>
      <c r="AH65" s="215"/>
      <c r="AI65" s="215"/>
      <c r="AJ65" s="215"/>
      <c r="AK65" s="215"/>
      <c r="AL65" s="215"/>
      <c r="AM65" s="344"/>
    </row>
    <row r="66" spans="1:39" s="153" customFormat="1" ht="17.25" customHeight="1" x14ac:dyDescent="0.3">
      <c r="A66" s="384"/>
      <c r="B66" s="155" t="s">
        <v>333</v>
      </c>
      <c r="C66" s="212"/>
      <c r="D66" s="212">
        <v>0</v>
      </c>
      <c r="E66" s="215">
        <v>0</v>
      </c>
      <c r="F66" s="215">
        <v>0</v>
      </c>
      <c r="G66" s="215">
        <v>0</v>
      </c>
      <c r="H66" s="215">
        <v>0</v>
      </c>
      <c r="I66" s="215">
        <v>0</v>
      </c>
      <c r="J66" s="215">
        <v>0</v>
      </c>
      <c r="K66" s="215">
        <v>0</v>
      </c>
      <c r="L66" s="215">
        <v>0</v>
      </c>
      <c r="M66" s="215">
        <v>0</v>
      </c>
      <c r="N66" s="215">
        <v>0</v>
      </c>
      <c r="O66" s="254">
        <v>0</v>
      </c>
      <c r="P66" s="341">
        <v>0</v>
      </c>
      <c r="Q66" s="341">
        <v>0</v>
      </c>
      <c r="R66" s="341">
        <v>0</v>
      </c>
      <c r="S66" s="341">
        <v>0</v>
      </c>
      <c r="T66" s="215">
        <v>0</v>
      </c>
      <c r="U66" s="215">
        <v>0</v>
      </c>
      <c r="V66" s="215">
        <v>0</v>
      </c>
      <c r="W66" s="215">
        <v>0</v>
      </c>
      <c r="X66" s="215">
        <v>0</v>
      </c>
      <c r="Y66" s="215">
        <v>0</v>
      </c>
      <c r="Z66" s="215">
        <v>0</v>
      </c>
      <c r="AA66" s="344">
        <v>0</v>
      </c>
      <c r="AB66" s="341">
        <v>0</v>
      </c>
      <c r="AC66" s="341">
        <v>0</v>
      </c>
      <c r="AD66" s="341">
        <v>0</v>
      </c>
      <c r="AE66" s="341">
        <v>0</v>
      </c>
      <c r="AF66" s="215"/>
      <c r="AG66" s="215"/>
      <c r="AH66" s="215"/>
      <c r="AI66" s="215"/>
      <c r="AJ66" s="215"/>
      <c r="AK66" s="215"/>
      <c r="AL66" s="215"/>
      <c r="AM66" s="344"/>
    </row>
    <row r="67" spans="1:39" s="153" customFormat="1" ht="17.25" customHeight="1" x14ac:dyDescent="0.3">
      <c r="A67" s="384"/>
      <c r="B67" s="155" t="s">
        <v>330</v>
      </c>
      <c r="C67" s="212"/>
      <c r="D67" s="212">
        <v>0</v>
      </c>
      <c r="E67" s="215">
        <v>0</v>
      </c>
      <c r="F67" s="215">
        <v>0</v>
      </c>
      <c r="G67" s="215">
        <v>0</v>
      </c>
      <c r="H67" s="215">
        <v>0</v>
      </c>
      <c r="I67" s="215">
        <v>0</v>
      </c>
      <c r="J67" s="215">
        <v>0</v>
      </c>
      <c r="K67" s="215">
        <v>0</v>
      </c>
      <c r="L67" s="215">
        <v>0</v>
      </c>
      <c r="M67" s="215">
        <v>0</v>
      </c>
      <c r="N67" s="215">
        <v>0</v>
      </c>
      <c r="O67" s="254">
        <v>0</v>
      </c>
      <c r="P67" s="341">
        <v>0</v>
      </c>
      <c r="Q67" s="341">
        <v>0</v>
      </c>
      <c r="R67" s="341">
        <v>0</v>
      </c>
      <c r="S67" s="341">
        <v>0</v>
      </c>
      <c r="T67" s="215">
        <v>0</v>
      </c>
      <c r="U67" s="215">
        <v>0</v>
      </c>
      <c r="V67" s="215">
        <v>0</v>
      </c>
      <c r="W67" s="215">
        <v>0</v>
      </c>
      <c r="X67" s="215">
        <v>0</v>
      </c>
      <c r="Y67" s="215">
        <v>0</v>
      </c>
      <c r="Z67" s="215">
        <v>0</v>
      </c>
      <c r="AA67" s="344">
        <v>0</v>
      </c>
      <c r="AB67" s="341">
        <v>0</v>
      </c>
      <c r="AC67" s="341">
        <v>0</v>
      </c>
      <c r="AD67" s="341">
        <v>0</v>
      </c>
      <c r="AE67" s="341">
        <v>0</v>
      </c>
      <c r="AF67" s="215"/>
      <c r="AG67" s="215"/>
      <c r="AH67" s="215"/>
      <c r="AI67" s="215"/>
      <c r="AJ67" s="215"/>
      <c r="AK67" s="215"/>
      <c r="AL67" s="215"/>
      <c r="AM67" s="344"/>
    </row>
    <row r="68" spans="1:39" x14ac:dyDescent="0.3">
      <c r="B68" s="155" t="s">
        <v>244</v>
      </c>
      <c r="C68" s="215">
        <v>-51006</v>
      </c>
      <c r="D68" s="215">
        <v>-27224</v>
      </c>
      <c r="E68" s="215">
        <v>-27224</v>
      </c>
      <c r="F68" s="215">
        <v>-27224</v>
      </c>
      <c r="G68" s="215">
        <v>-27224</v>
      </c>
      <c r="H68" s="215">
        <v>4630</v>
      </c>
      <c r="I68" s="215">
        <v>-12287</v>
      </c>
      <c r="J68" s="215">
        <v>-12287</v>
      </c>
      <c r="K68" s="215">
        <v>-12287</v>
      </c>
      <c r="L68" s="215">
        <v>-12287</v>
      </c>
      <c r="M68" s="215">
        <v>-10307</v>
      </c>
      <c r="N68" s="215">
        <v>0</v>
      </c>
      <c r="O68" s="254">
        <v>0</v>
      </c>
      <c r="P68" s="341">
        <v>0</v>
      </c>
      <c r="Q68" s="341">
        <v>-46713</v>
      </c>
      <c r="R68" s="341">
        <v>-46713</v>
      </c>
      <c r="S68" s="341">
        <v>-46713</v>
      </c>
      <c r="T68" s="215">
        <v>-46713</v>
      </c>
      <c r="U68" s="215">
        <v>-46713</v>
      </c>
      <c r="V68" s="215">
        <v>-46713</v>
      </c>
      <c r="W68" s="215">
        <v>-46713</v>
      </c>
      <c r="X68" s="215">
        <v>-46713</v>
      </c>
      <c r="Y68" s="215">
        <v>-46713</v>
      </c>
      <c r="Z68" s="215">
        <v>-46713</v>
      </c>
      <c r="AA68" s="344">
        <v>-46713</v>
      </c>
      <c r="AB68" s="341">
        <f>-상표권!U40</f>
        <v>-53481</v>
      </c>
      <c r="AC68" s="341">
        <f>-상표권!V40</f>
        <v>-53481</v>
      </c>
      <c r="AD68" s="341">
        <f>-상표권!W40</f>
        <v>-53481</v>
      </c>
      <c r="AE68" s="341">
        <f>-상표권!X40</f>
        <v>-53481</v>
      </c>
      <c r="AF68" s="215"/>
      <c r="AG68" s="215"/>
      <c r="AH68" s="215"/>
      <c r="AI68" s="215"/>
      <c r="AJ68" s="215"/>
      <c r="AK68" s="215"/>
      <c r="AL68" s="215"/>
      <c r="AM68" s="344"/>
    </row>
    <row r="69" spans="1:39" ht="17.25" thickBot="1" x14ac:dyDescent="0.35">
      <c r="B69" s="156" t="s">
        <v>337</v>
      </c>
      <c r="C69" s="216">
        <v>191721</v>
      </c>
      <c r="D69" s="216">
        <v>164497</v>
      </c>
      <c r="E69" s="216">
        <v>137273</v>
      </c>
      <c r="F69" s="216">
        <v>110049</v>
      </c>
      <c r="G69" s="216">
        <v>82825</v>
      </c>
      <c r="H69" s="216">
        <v>87455</v>
      </c>
      <c r="I69" s="216">
        <v>75168</v>
      </c>
      <c r="J69" s="216">
        <v>62881</v>
      </c>
      <c r="K69" s="216">
        <v>50594</v>
      </c>
      <c r="L69" s="216">
        <v>38307</v>
      </c>
      <c r="M69" s="216">
        <v>28000</v>
      </c>
      <c r="N69" s="216">
        <v>28000</v>
      </c>
      <c r="O69" s="255">
        <v>28000</v>
      </c>
      <c r="P69" s="342">
        <v>28000</v>
      </c>
      <c r="Q69" s="342">
        <v>2784127</v>
      </c>
      <c r="R69" s="342">
        <v>2737414</v>
      </c>
      <c r="S69" s="342">
        <v>2690701</v>
      </c>
      <c r="T69" s="216">
        <v>2643988</v>
      </c>
      <c r="U69" s="216">
        <v>2597275</v>
      </c>
      <c r="V69" s="216">
        <v>2550562</v>
      </c>
      <c r="W69" s="216">
        <v>2503849</v>
      </c>
      <c r="X69" s="216">
        <v>2457136</v>
      </c>
      <c r="Y69" s="216">
        <v>2410423</v>
      </c>
      <c r="Z69" s="216">
        <v>2363710</v>
      </c>
      <c r="AA69" s="345">
        <v>2316997</v>
      </c>
      <c r="AB69" s="342">
        <f>AB64+AB68+AB65</f>
        <v>2669636</v>
      </c>
      <c r="AC69" s="342">
        <f>AC64+AC68+AC65</f>
        <v>2616155</v>
      </c>
      <c r="AD69" s="342">
        <f>AD64+AD68+AD65</f>
        <v>2562674</v>
      </c>
      <c r="AE69" s="342">
        <f>AE64+AE68+AE65</f>
        <v>2509193</v>
      </c>
      <c r="AF69" s="216"/>
      <c r="AG69" s="216"/>
      <c r="AH69" s="216"/>
      <c r="AI69" s="216"/>
      <c r="AJ69" s="216"/>
      <c r="AK69" s="216"/>
      <c r="AL69" s="216"/>
      <c r="AM69" s="345"/>
    </row>
    <row r="70" spans="1:39" hidden="1" x14ac:dyDescent="0.3">
      <c r="B70" s="157" t="s">
        <v>338</v>
      </c>
      <c r="C70" s="158"/>
      <c r="D70" s="158" t="b">
        <f>D69=[1]결산전표입력후BSP!E17</f>
        <v>0</v>
      </c>
      <c r="E70" s="158" t="b">
        <f>E69=[1]결산전표입력후BSP!F17</f>
        <v>0</v>
      </c>
      <c r="F70" s="158" t="b">
        <f>F69=[1]결산전표입력후BSP!G17</f>
        <v>0</v>
      </c>
      <c r="G70" s="158" t="b">
        <f>G69=[1]결산전표입력후BSP!H17</f>
        <v>0</v>
      </c>
      <c r="H70" s="158" t="b">
        <f>H69=[1]결산전표입력후BSP!I17</f>
        <v>0</v>
      </c>
      <c r="I70" s="158" t="b">
        <f>I69=[1]결산전표입력후BSP!J17</f>
        <v>0</v>
      </c>
      <c r="J70" s="158" t="b">
        <f>J69=[1]결산전표입력후BSP!K17</f>
        <v>0</v>
      </c>
      <c r="K70" s="158" t="b">
        <f>K69=[1]결산전표입력후BSP!L17</f>
        <v>0</v>
      </c>
      <c r="L70" s="158" t="b">
        <f>L69=[1]결산전표입력후BSP!M17</f>
        <v>0</v>
      </c>
      <c r="M70" s="158"/>
      <c r="N70" s="158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  <c r="AA70" s="159"/>
      <c r="AB70" s="159"/>
      <c r="AC70" s="159"/>
      <c r="AD70" s="159"/>
      <c r="AE70" s="159"/>
      <c r="AF70" s="159"/>
      <c r="AG70" s="159"/>
      <c r="AH70" s="159"/>
      <c r="AI70" s="159"/>
      <c r="AJ70" s="159"/>
      <c r="AK70" s="159"/>
      <c r="AL70" s="159"/>
      <c r="AM70" s="159"/>
    </row>
    <row r="71" spans="1:39" ht="17.25" hidden="1" thickBot="1" x14ac:dyDescent="0.35">
      <c r="B71" s="163" t="s">
        <v>339</v>
      </c>
      <c r="C71" s="164"/>
      <c r="D71" s="164" t="b">
        <f>D68=-[1]결산전표입력후BSP!E29</f>
        <v>0</v>
      </c>
      <c r="E71" s="164" t="b">
        <f>E68=-[1]결산전표입력후BSP!F29</f>
        <v>0</v>
      </c>
      <c r="F71" s="164" t="b">
        <f>F68=-[1]결산전표입력후BSP!G29</f>
        <v>0</v>
      </c>
      <c r="G71" s="164" t="b">
        <f>G68=-[1]결산전표입력후BSP!H29</f>
        <v>0</v>
      </c>
      <c r="H71" s="164" t="b">
        <f>H68=-[1]결산전표입력후BSP!I29</f>
        <v>0</v>
      </c>
      <c r="I71" s="164" t="b">
        <f>I68=-[1]결산전표입력후BSP!J29</f>
        <v>0</v>
      </c>
      <c r="J71" s="164" t="b">
        <f>J68=-[1]결산전표입력후BSP!K29</f>
        <v>0</v>
      </c>
      <c r="K71" s="164" t="b">
        <f>K68=-[1]결산전표입력후BSP!L29</f>
        <v>0</v>
      </c>
      <c r="L71" s="164" t="b">
        <f>L68=-[1]결산전표입력후BSP!M29</f>
        <v>0</v>
      </c>
      <c r="M71" s="164"/>
      <c r="N71" s="164"/>
      <c r="O71" s="165"/>
      <c r="P71" s="165"/>
      <c r="Q71" s="165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  <c r="AD71" s="165"/>
      <c r="AE71" s="165"/>
      <c r="AF71" s="165"/>
      <c r="AG71" s="165"/>
      <c r="AH71" s="165"/>
      <c r="AI71" s="165"/>
      <c r="AJ71" s="165"/>
      <c r="AK71" s="165"/>
      <c r="AL71" s="165"/>
      <c r="AM71" s="165"/>
    </row>
    <row r="74" spans="1:39" ht="17.25" thickBot="1" x14ac:dyDescent="0.35">
      <c r="B74" s="154" t="s">
        <v>341</v>
      </c>
    </row>
    <row r="75" spans="1:39" ht="17.25" thickBot="1" x14ac:dyDescent="0.35">
      <c r="B75" s="244"/>
      <c r="C75" s="245">
        <v>45291</v>
      </c>
      <c r="D75" s="245">
        <v>45322</v>
      </c>
      <c r="E75" s="245">
        <v>45351</v>
      </c>
      <c r="F75" s="245">
        <v>45382</v>
      </c>
      <c r="G75" s="245">
        <v>45412</v>
      </c>
      <c r="H75" s="245">
        <v>45443</v>
      </c>
      <c r="I75" s="245">
        <v>45473</v>
      </c>
      <c r="J75" s="245">
        <v>45504</v>
      </c>
      <c r="K75" s="245">
        <v>45535</v>
      </c>
      <c r="L75" s="245">
        <v>45565</v>
      </c>
      <c r="M75" s="245">
        <v>45596</v>
      </c>
      <c r="N75" s="245">
        <v>45626</v>
      </c>
      <c r="O75" s="246">
        <v>45657</v>
      </c>
      <c r="P75" s="353">
        <f>EOMONTH(O75,1)</f>
        <v>45688</v>
      </c>
      <c r="Q75" s="245">
        <f t="shared" ref="Q75:AA75" si="82">EOMONTH(P75,1)</f>
        <v>45716</v>
      </c>
      <c r="R75" s="245">
        <f t="shared" si="82"/>
        <v>45747</v>
      </c>
      <c r="S75" s="245">
        <f t="shared" si="82"/>
        <v>45777</v>
      </c>
      <c r="T75" s="245">
        <f t="shared" si="82"/>
        <v>45808</v>
      </c>
      <c r="U75" s="245">
        <f t="shared" si="82"/>
        <v>45838</v>
      </c>
      <c r="V75" s="245">
        <f t="shared" si="82"/>
        <v>45869</v>
      </c>
      <c r="W75" s="245">
        <f t="shared" si="82"/>
        <v>45900</v>
      </c>
      <c r="X75" s="245">
        <f t="shared" si="82"/>
        <v>45930</v>
      </c>
      <c r="Y75" s="245">
        <f t="shared" si="82"/>
        <v>45961</v>
      </c>
      <c r="Z75" s="245">
        <f t="shared" si="82"/>
        <v>45991</v>
      </c>
      <c r="AA75" s="246">
        <f t="shared" si="82"/>
        <v>46022</v>
      </c>
      <c r="AB75" s="353">
        <f>EOMONTH(AA75,1)</f>
        <v>46053</v>
      </c>
      <c r="AC75" s="245">
        <f t="shared" ref="AC75" si="83">EOMONTH(AB75,1)</f>
        <v>46081</v>
      </c>
      <c r="AD75" s="245">
        <f t="shared" ref="AD75" si="84">EOMONTH(AC75,1)</f>
        <v>46112</v>
      </c>
      <c r="AE75" s="245">
        <f t="shared" ref="AE75" si="85">EOMONTH(AD75,1)</f>
        <v>46142</v>
      </c>
      <c r="AF75" s="245">
        <f t="shared" ref="AF75" si="86">EOMONTH(AE75,1)</f>
        <v>46173</v>
      </c>
      <c r="AG75" s="245">
        <f t="shared" ref="AG75" si="87">EOMONTH(AF75,1)</f>
        <v>46203</v>
      </c>
      <c r="AH75" s="245">
        <f t="shared" ref="AH75" si="88">EOMONTH(AG75,1)</f>
        <v>46234</v>
      </c>
      <c r="AI75" s="245">
        <f t="shared" ref="AI75" si="89">EOMONTH(AH75,1)</f>
        <v>46265</v>
      </c>
      <c r="AJ75" s="245">
        <f t="shared" ref="AJ75" si="90">EOMONTH(AI75,1)</f>
        <v>46295</v>
      </c>
      <c r="AK75" s="245">
        <f t="shared" ref="AK75" si="91">EOMONTH(AJ75,1)</f>
        <v>46326</v>
      </c>
      <c r="AL75" s="245">
        <f t="shared" ref="AL75" si="92">EOMONTH(AK75,1)</f>
        <v>46356</v>
      </c>
      <c r="AM75" s="339">
        <f t="shared" ref="AM75" si="93">EOMONTH(AL75,1)</f>
        <v>46387</v>
      </c>
    </row>
    <row r="76" spans="1:39" x14ac:dyDescent="0.3">
      <c r="B76" s="242" t="s">
        <v>335</v>
      </c>
      <c r="C76" s="251">
        <v>67180000</v>
      </c>
      <c r="D76" s="251">
        <v>67180000</v>
      </c>
      <c r="E76" s="251">
        <v>67180000</v>
      </c>
      <c r="F76" s="251">
        <v>67180000</v>
      </c>
      <c r="G76" s="251">
        <v>67180000</v>
      </c>
      <c r="H76" s="251">
        <v>67180000</v>
      </c>
      <c r="I76" s="251">
        <v>67180000</v>
      </c>
      <c r="J76" s="251">
        <v>67180000</v>
      </c>
      <c r="K76" s="251">
        <v>67180000</v>
      </c>
      <c r="L76" s="251">
        <v>67180000</v>
      </c>
      <c r="M76" s="251">
        <v>67180000</v>
      </c>
      <c r="N76" s="251">
        <v>67180000</v>
      </c>
      <c r="O76" s="281">
        <v>67180000</v>
      </c>
      <c r="P76" s="340">
        <f t="shared" ref="P76:AA76" si="94">O81</f>
        <v>67180000</v>
      </c>
      <c r="Q76" s="340">
        <f t="shared" si="94"/>
        <v>67180000</v>
      </c>
      <c r="R76" s="340">
        <f t="shared" si="94"/>
        <v>67180000</v>
      </c>
      <c r="S76" s="340">
        <f t="shared" si="94"/>
        <v>67180000</v>
      </c>
      <c r="T76" s="251">
        <f t="shared" si="94"/>
        <v>67180000</v>
      </c>
      <c r="U76" s="251">
        <f t="shared" si="94"/>
        <v>67180000</v>
      </c>
      <c r="V76" s="251">
        <f t="shared" si="94"/>
        <v>67180000</v>
      </c>
      <c r="W76" s="251">
        <f t="shared" si="94"/>
        <v>67180000</v>
      </c>
      <c r="X76" s="251">
        <f t="shared" si="94"/>
        <v>67180000</v>
      </c>
      <c r="Y76" s="251">
        <f t="shared" si="94"/>
        <v>67180000</v>
      </c>
      <c r="Z76" s="251">
        <f t="shared" si="94"/>
        <v>67180000</v>
      </c>
      <c r="AA76" s="281">
        <f t="shared" si="94"/>
        <v>67180000</v>
      </c>
      <c r="AB76" s="340">
        <f t="shared" ref="AB76:AE76" si="95">AA81</f>
        <v>67180000</v>
      </c>
      <c r="AC76" s="340">
        <f t="shared" si="95"/>
        <v>67180000</v>
      </c>
      <c r="AD76" s="340">
        <f t="shared" si="95"/>
        <v>67180000</v>
      </c>
      <c r="AE76" s="340">
        <f t="shared" si="95"/>
        <v>67180000</v>
      </c>
      <c r="AF76" s="251"/>
      <c r="AG76" s="251"/>
      <c r="AH76" s="251"/>
      <c r="AI76" s="251"/>
      <c r="AJ76" s="251"/>
      <c r="AK76" s="251"/>
      <c r="AL76" s="251"/>
      <c r="AM76" s="251"/>
    </row>
    <row r="77" spans="1:39" x14ac:dyDescent="0.3">
      <c r="B77" s="155" t="s">
        <v>329</v>
      </c>
      <c r="C77" s="212"/>
      <c r="D77" s="212">
        <v>0</v>
      </c>
      <c r="E77" s="215">
        <v>0</v>
      </c>
      <c r="F77" s="215">
        <v>0</v>
      </c>
      <c r="G77" s="215">
        <v>0</v>
      </c>
      <c r="H77" s="215">
        <v>0</v>
      </c>
      <c r="I77" s="215">
        <v>0</v>
      </c>
      <c r="J77" s="215">
        <v>0</v>
      </c>
      <c r="K77" s="215">
        <v>0</v>
      </c>
      <c r="L77" s="215">
        <v>0</v>
      </c>
      <c r="M77" s="215">
        <v>0</v>
      </c>
      <c r="N77" s="215">
        <v>0</v>
      </c>
      <c r="O77" s="254">
        <v>0</v>
      </c>
      <c r="P77" s="341">
        <v>0</v>
      </c>
      <c r="Q77" s="341">
        <v>0</v>
      </c>
      <c r="R77" s="341">
        <v>0</v>
      </c>
      <c r="S77" s="341">
        <v>0</v>
      </c>
      <c r="T77" s="215">
        <v>0</v>
      </c>
      <c r="U77" s="215">
        <v>0</v>
      </c>
      <c r="V77" s="215">
        <v>0</v>
      </c>
      <c r="W77" s="215">
        <v>0</v>
      </c>
      <c r="X77" s="215">
        <v>0</v>
      </c>
      <c r="Y77" s="215">
        <v>0</v>
      </c>
      <c r="Z77" s="215">
        <v>0</v>
      </c>
      <c r="AA77" s="254">
        <v>0</v>
      </c>
      <c r="AB77" s="341">
        <v>0</v>
      </c>
      <c r="AC77" s="341">
        <v>0</v>
      </c>
      <c r="AD77" s="341">
        <v>0</v>
      </c>
      <c r="AE77" s="341">
        <v>0</v>
      </c>
      <c r="AF77" s="215"/>
      <c r="AG77" s="215"/>
      <c r="AH77" s="215"/>
      <c r="AI77" s="215"/>
      <c r="AJ77" s="215"/>
      <c r="AK77" s="215"/>
      <c r="AL77" s="215"/>
      <c r="AM77" s="215"/>
    </row>
    <row r="78" spans="1:39" s="153" customFormat="1" x14ac:dyDescent="0.3">
      <c r="A78" s="384"/>
      <c r="B78" s="155" t="s">
        <v>333</v>
      </c>
      <c r="C78" s="212"/>
      <c r="D78" s="212">
        <v>0</v>
      </c>
      <c r="E78" s="215">
        <v>0</v>
      </c>
      <c r="F78" s="215">
        <v>0</v>
      </c>
      <c r="G78" s="215">
        <v>0</v>
      </c>
      <c r="H78" s="215">
        <v>0</v>
      </c>
      <c r="I78" s="215">
        <v>0</v>
      </c>
      <c r="J78" s="215">
        <v>0</v>
      </c>
      <c r="K78" s="215">
        <v>0</v>
      </c>
      <c r="L78" s="215">
        <v>0</v>
      </c>
      <c r="M78" s="215">
        <v>0</v>
      </c>
      <c r="N78" s="215">
        <v>0</v>
      </c>
      <c r="O78" s="254">
        <v>0</v>
      </c>
      <c r="P78" s="341">
        <v>0</v>
      </c>
      <c r="Q78" s="341">
        <v>0</v>
      </c>
      <c r="R78" s="341">
        <v>0</v>
      </c>
      <c r="S78" s="341">
        <v>0</v>
      </c>
      <c r="T78" s="215">
        <v>0</v>
      </c>
      <c r="U78" s="215">
        <v>0</v>
      </c>
      <c r="V78" s="215">
        <v>0</v>
      </c>
      <c r="W78" s="215">
        <v>0</v>
      </c>
      <c r="X78" s="215">
        <v>0</v>
      </c>
      <c r="Y78" s="215">
        <v>0</v>
      </c>
      <c r="Z78" s="215">
        <v>0</v>
      </c>
      <c r="AA78" s="254">
        <v>0</v>
      </c>
      <c r="AB78" s="341">
        <v>0</v>
      </c>
      <c r="AC78" s="341">
        <v>0</v>
      </c>
      <c r="AD78" s="341">
        <v>0</v>
      </c>
      <c r="AE78" s="341">
        <v>0</v>
      </c>
      <c r="AF78" s="215"/>
      <c r="AG78" s="215"/>
      <c r="AH78" s="215"/>
      <c r="AI78" s="215"/>
      <c r="AJ78" s="215"/>
      <c r="AK78" s="215"/>
      <c r="AL78" s="215"/>
      <c r="AM78" s="215"/>
    </row>
    <row r="79" spans="1:39" s="153" customFormat="1" x14ac:dyDescent="0.3">
      <c r="A79" s="384"/>
      <c r="B79" s="155" t="s">
        <v>330</v>
      </c>
      <c r="C79" s="212"/>
      <c r="D79" s="212">
        <v>0</v>
      </c>
      <c r="E79" s="215">
        <v>0</v>
      </c>
      <c r="F79" s="215">
        <v>0</v>
      </c>
      <c r="G79" s="215">
        <v>0</v>
      </c>
      <c r="H79" s="215">
        <v>0</v>
      </c>
      <c r="I79" s="215">
        <v>0</v>
      </c>
      <c r="J79" s="215">
        <v>0</v>
      </c>
      <c r="K79" s="215">
        <v>0</v>
      </c>
      <c r="L79" s="215">
        <v>0</v>
      </c>
      <c r="M79" s="215">
        <v>0</v>
      </c>
      <c r="N79" s="215">
        <v>0</v>
      </c>
      <c r="O79" s="254">
        <v>0</v>
      </c>
      <c r="P79" s="341">
        <v>0</v>
      </c>
      <c r="Q79" s="341">
        <v>0</v>
      </c>
      <c r="R79" s="341">
        <v>0</v>
      </c>
      <c r="S79" s="341">
        <v>0</v>
      </c>
      <c r="T79" s="215">
        <v>0</v>
      </c>
      <c r="U79" s="215">
        <v>0</v>
      </c>
      <c r="V79" s="215">
        <v>0</v>
      </c>
      <c r="W79" s="215">
        <v>0</v>
      </c>
      <c r="X79" s="215">
        <v>0</v>
      </c>
      <c r="Y79" s="215">
        <v>0</v>
      </c>
      <c r="Z79" s="215">
        <v>0</v>
      </c>
      <c r="AA79" s="254">
        <v>0</v>
      </c>
      <c r="AB79" s="341">
        <v>0</v>
      </c>
      <c r="AC79" s="341">
        <v>0</v>
      </c>
      <c r="AD79" s="341">
        <v>0</v>
      </c>
      <c r="AE79" s="341">
        <v>0</v>
      </c>
      <c r="AF79" s="215"/>
      <c r="AG79" s="215"/>
      <c r="AH79" s="215"/>
      <c r="AI79" s="215"/>
      <c r="AJ79" s="215"/>
      <c r="AK79" s="215"/>
      <c r="AL79" s="215"/>
      <c r="AM79" s="215"/>
    </row>
    <row r="80" spans="1:39" x14ac:dyDescent="0.3">
      <c r="B80" s="155" t="s">
        <v>336</v>
      </c>
      <c r="C80" s="215">
        <v>0</v>
      </c>
      <c r="D80" s="215">
        <v>0</v>
      </c>
      <c r="E80" s="215">
        <v>0</v>
      </c>
      <c r="F80" s="215">
        <v>0</v>
      </c>
      <c r="G80" s="215">
        <v>0</v>
      </c>
      <c r="H80" s="215">
        <v>0</v>
      </c>
      <c r="I80" s="215">
        <v>0</v>
      </c>
      <c r="J80" s="215">
        <v>0</v>
      </c>
      <c r="K80" s="215">
        <v>0</v>
      </c>
      <c r="L80" s="215">
        <v>0</v>
      </c>
      <c r="M80" s="215">
        <v>0</v>
      </c>
      <c r="N80" s="215">
        <v>0</v>
      </c>
      <c r="O80" s="254">
        <v>0</v>
      </c>
      <c r="P80" s="341">
        <v>0</v>
      </c>
      <c r="Q80" s="341">
        <v>0</v>
      </c>
      <c r="R80" s="341">
        <v>0</v>
      </c>
      <c r="S80" s="341">
        <v>0</v>
      </c>
      <c r="T80" s="215">
        <v>0</v>
      </c>
      <c r="U80" s="215">
        <v>0</v>
      </c>
      <c r="V80" s="215">
        <v>0</v>
      </c>
      <c r="W80" s="215">
        <v>0</v>
      </c>
      <c r="X80" s="215">
        <v>0</v>
      </c>
      <c r="Y80" s="215">
        <v>0</v>
      </c>
      <c r="Z80" s="215">
        <v>0</v>
      </c>
      <c r="AA80" s="254">
        <v>0</v>
      </c>
      <c r="AB80" s="341">
        <v>0</v>
      </c>
      <c r="AC80" s="341">
        <v>0</v>
      </c>
      <c r="AD80" s="341">
        <v>0</v>
      </c>
      <c r="AE80" s="341">
        <v>0</v>
      </c>
      <c r="AF80" s="215"/>
      <c r="AG80" s="215"/>
      <c r="AH80" s="215"/>
      <c r="AI80" s="215"/>
      <c r="AJ80" s="215"/>
      <c r="AK80" s="215"/>
      <c r="AL80" s="215"/>
      <c r="AM80" s="215"/>
    </row>
    <row r="81" spans="2:39" ht="17.25" thickBot="1" x14ac:dyDescent="0.35">
      <c r="B81" s="156" t="s">
        <v>337</v>
      </c>
      <c r="C81" s="216">
        <v>67180000</v>
      </c>
      <c r="D81" s="216">
        <v>67180000</v>
      </c>
      <c r="E81" s="216">
        <v>67180000</v>
      </c>
      <c r="F81" s="216">
        <v>67180000</v>
      </c>
      <c r="G81" s="216">
        <v>67180000</v>
      </c>
      <c r="H81" s="216">
        <v>67180000</v>
      </c>
      <c r="I81" s="216">
        <v>67180000</v>
      </c>
      <c r="J81" s="216">
        <v>67180000</v>
      </c>
      <c r="K81" s="216">
        <v>67180000</v>
      </c>
      <c r="L81" s="216">
        <v>67180000</v>
      </c>
      <c r="M81" s="216">
        <v>67180000</v>
      </c>
      <c r="N81" s="216">
        <v>67180000</v>
      </c>
      <c r="O81" s="255">
        <v>67180000</v>
      </c>
      <c r="P81" s="342">
        <f t="shared" ref="P81:AA81" si="96">P76+P80</f>
        <v>67180000</v>
      </c>
      <c r="Q81" s="342">
        <f t="shared" si="96"/>
        <v>67180000</v>
      </c>
      <c r="R81" s="342">
        <f t="shared" si="96"/>
        <v>67180000</v>
      </c>
      <c r="S81" s="342">
        <f t="shared" si="96"/>
        <v>67180000</v>
      </c>
      <c r="T81" s="216">
        <f t="shared" si="96"/>
        <v>67180000</v>
      </c>
      <c r="U81" s="216">
        <f t="shared" si="96"/>
        <v>67180000</v>
      </c>
      <c r="V81" s="216">
        <f t="shared" si="96"/>
        <v>67180000</v>
      </c>
      <c r="W81" s="216">
        <f t="shared" si="96"/>
        <v>67180000</v>
      </c>
      <c r="X81" s="216">
        <f t="shared" si="96"/>
        <v>67180000</v>
      </c>
      <c r="Y81" s="216">
        <f t="shared" si="96"/>
        <v>67180000</v>
      </c>
      <c r="Z81" s="216">
        <f t="shared" si="96"/>
        <v>67180000</v>
      </c>
      <c r="AA81" s="255">
        <f t="shared" si="96"/>
        <v>67180000</v>
      </c>
      <c r="AB81" s="342">
        <f t="shared" ref="AB81:AC81" si="97">AB76+AB80</f>
        <v>67180000</v>
      </c>
      <c r="AC81" s="342">
        <f t="shared" si="97"/>
        <v>67180000</v>
      </c>
      <c r="AD81" s="342">
        <f t="shared" ref="AD81:AE81" si="98">AD76+AD80</f>
        <v>67180000</v>
      </c>
      <c r="AE81" s="342">
        <f t="shared" si="98"/>
        <v>67180000</v>
      </c>
      <c r="AF81" s="216"/>
      <c r="AG81" s="216"/>
      <c r="AH81" s="216"/>
      <c r="AI81" s="216"/>
      <c r="AJ81" s="216"/>
      <c r="AK81" s="216"/>
      <c r="AL81" s="216"/>
      <c r="AM81" s="216"/>
    </row>
    <row r="82" spans="2:39" hidden="1" x14ac:dyDescent="0.3">
      <c r="B82" s="157" t="s">
        <v>338</v>
      </c>
      <c r="C82" s="158"/>
      <c r="D82" s="158" t="e">
        <f>D80=[1]결산전표입력후BSP!#REF!</f>
        <v>#REF!</v>
      </c>
      <c r="E82" s="158" t="e">
        <f>E80=[1]결산전표입력후BSP!#REF!</f>
        <v>#REF!</v>
      </c>
      <c r="F82" s="158" t="e">
        <f>F80=[1]결산전표입력후BSP!#REF!</f>
        <v>#REF!</v>
      </c>
      <c r="G82" s="158" t="e">
        <f>G80=[1]결산전표입력후BSP!#REF!</f>
        <v>#REF!</v>
      </c>
      <c r="H82" s="158" t="e">
        <f>H80=[1]결산전표입력후BSP!#REF!</f>
        <v>#REF!</v>
      </c>
      <c r="I82" s="158" t="e">
        <f>I80=[1]결산전표입력후BSP!#REF!</f>
        <v>#REF!</v>
      </c>
      <c r="J82" s="158" t="e">
        <f>J80=[1]결산전표입력후BSP!#REF!</f>
        <v>#REF!</v>
      </c>
      <c r="K82" s="158" t="e">
        <f>K80=[1]결산전표입력후BSP!#REF!</f>
        <v>#REF!</v>
      </c>
      <c r="L82" s="158" t="e">
        <f>L80=[1]결산전표입력후BSP!#REF!</f>
        <v>#REF!</v>
      </c>
      <c r="M82" s="158"/>
      <c r="N82" s="158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  <c r="AJ82" s="159"/>
      <c r="AK82" s="159"/>
      <c r="AL82" s="159"/>
      <c r="AM82" s="159"/>
    </row>
    <row r="83" spans="2:39" ht="17.25" hidden="1" thickBot="1" x14ac:dyDescent="0.35">
      <c r="B83" s="163" t="s">
        <v>339</v>
      </c>
      <c r="C83" s="164"/>
      <c r="D83" s="164" t="b">
        <f>D81=[1]결산전표입력후BSP!E18</f>
        <v>1</v>
      </c>
      <c r="E83" s="164" t="b">
        <f>E81=[1]결산전표입력후BSP!F18</f>
        <v>1</v>
      </c>
      <c r="F83" s="164" t="b">
        <f>F81=[1]결산전표입력후BSP!G18</f>
        <v>1</v>
      </c>
      <c r="G83" s="164" t="b">
        <f>G81=[1]결산전표입력후BSP!H18</f>
        <v>1</v>
      </c>
      <c r="H83" s="164" t="b">
        <f>H81=[1]결산전표입력후BSP!I18</f>
        <v>1</v>
      </c>
      <c r="I83" s="164" t="b">
        <f>I81=[1]결산전표입력후BSP!J18</f>
        <v>1</v>
      </c>
      <c r="J83" s="164" t="b">
        <f>J81=[1]결산전표입력후BSP!K18</f>
        <v>1</v>
      </c>
      <c r="K83" s="164" t="b">
        <f>K81=[1]결산전표입력후BSP!L18</f>
        <v>1</v>
      </c>
      <c r="L83" s="164" t="b">
        <f>L81=[1]결산전표입력후BSP!M18</f>
        <v>1</v>
      </c>
      <c r="M83" s="164"/>
      <c r="N83" s="164"/>
      <c r="O83" s="165"/>
      <c r="P83" s="165"/>
      <c r="Q83" s="165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  <c r="AD83" s="165"/>
      <c r="AE83" s="165"/>
      <c r="AF83" s="165"/>
      <c r="AG83" s="165"/>
      <c r="AH83" s="165"/>
      <c r="AI83" s="165"/>
      <c r="AJ83" s="165"/>
      <c r="AK83" s="165"/>
      <c r="AL83" s="165"/>
      <c r="AM83" s="165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"/>
  <sheetViews>
    <sheetView zoomScale="80" zoomScaleNormal="80" workbookViewId="0">
      <selection activeCell="N29" sqref="N29"/>
    </sheetView>
  </sheetViews>
  <sheetFormatPr defaultColWidth="9" defaultRowHeight="16.5" x14ac:dyDescent="0.3"/>
  <cols>
    <col min="1" max="1" width="3.875" style="97" bestFit="1" customWidth="1"/>
    <col min="2" max="2" width="11.25" style="97" bestFit="1" customWidth="1"/>
    <col min="3" max="4" width="8.125" style="97" bestFit="1" customWidth="1"/>
    <col min="5" max="5" width="15" style="97" bestFit="1" customWidth="1"/>
    <col min="6" max="7" width="13.875" style="97" bestFit="1" customWidth="1"/>
    <col min="8" max="8" width="36.125" style="97" bestFit="1" customWidth="1"/>
    <col min="9" max="9" width="23.25" style="97" bestFit="1" customWidth="1"/>
    <col min="10" max="11" width="9" style="97"/>
    <col min="12" max="12" width="9.625" style="97" bestFit="1" customWidth="1"/>
    <col min="13" max="13" width="9" style="97"/>
    <col min="14" max="14" width="25" style="97" bestFit="1" customWidth="1"/>
    <col min="15" max="15" width="10.625" style="97" bestFit="1" customWidth="1"/>
    <col min="16" max="16" width="5.625" style="97" bestFit="1" customWidth="1"/>
    <col min="17" max="16384" width="9" style="97"/>
  </cols>
  <sheetData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AL18"/>
  <sheetViews>
    <sheetView view="pageBreakPreview" zoomScale="90" zoomScaleNormal="100" zoomScaleSheetLayoutView="90" workbookViewId="0">
      <pane xSplit="9" ySplit="6" topLeftCell="N7" activePane="bottomRight" state="frozen"/>
      <selection pane="topRight" activeCell="G1" sqref="G1"/>
      <selection pane="bottomLeft" activeCell="A7" sqref="A7"/>
      <selection pane="bottomRight" activeCell="D4" sqref="D4"/>
    </sheetView>
  </sheetViews>
  <sheetFormatPr defaultRowHeight="13.5" outlineLevelRow="1" outlineLevelCol="1" x14ac:dyDescent="0.3"/>
  <cols>
    <col min="1" max="1" width="3.5" style="1" customWidth="1"/>
    <col min="2" max="2" width="3.75" style="1" bestFit="1" customWidth="1"/>
    <col min="3" max="3" width="10" style="1" bestFit="1" customWidth="1"/>
    <col min="4" max="4" width="10" style="3" customWidth="1"/>
    <col min="5" max="5" width="10.625" style="3" customWidth="1"/>
    <col min="6" max="6" width="8" style="3" customWidth="1"/>
    <col min="7" max="7" width="13" style="3" customWidth="1"/>
    <col min="8" max="8" width="6.375" style="3" customWidth="1"/>
    <col min="9" max="9" width="37.75" style="1" bestFit="1" customWidth="1"/>
    <col min="10" max="10" width="9" style="1"/>
    <col min="11" max="11" width="12.75" style="1" bestFit="1" customWidth="1"/>
    <col min="12" max="13" width="10.25" style="1" customWidth="1" outlineLevel="1"/>
    <col min="14" max="14" width="11.875" style="1" customWidth="1" outlineLevel="1"/>
    <col min="15" max="15" width="12.75" style="1" bestFit="1" customWidth="1"/>
    <col min="16" max="17" width="11.625" style="1" customWidth="1"/>
    <col min="18" max="18" width="13.25" style="1" customWidth="1"/>
    <col min="19" max="19" width="11.625" style="1" customWidth="1"/>
    <col min="20" max="20" width="2" style="1" customWidth="1"/>
    <col min="21" max="32" width="12.75" style="1" customWidth="1"/>
    <col min="33" max="33" width="4.25" style="1" customWidth="1"/>
    <col min="34" max="34" width="2" style="1" customWidth="1"/>
    <col min="35" max="35" width="12.125" style="1" bestFit="1" customWidth="1"/>
    <col min="36" max="36" width="12.375" style="1" customWidth="1"/>
    <col min="37" max="37" width="14" style="1" bestFit="1" customWidth="1"/>
    <col min="38" max="38" width="12.875" style="1" bestFit="1" customWidth="1"/>
    <col min="39" max="16384" width="9" style="1"/>
  </cols>
  <sheetData>
    <row r="1" spans="2:38" ht="17.25" x14ac:dyDescent="0.3">
      <c r="B1" s="82" t="s">
        <v>154</v>
      </c>
    </row>
    <row r="3" spans="2:38" x14ac:dyDescent="0.3">
      <c r="B3" s="93" t="s">
        <v>23</v>
      </c>
      <c r="C3" s="93"/>
      <c r="D3" s="94">
        <v>46142</v>
      </c>
    </row>
    <row r="4" spans="2:38" ht="14.25" thickBot="1" x14ac:dyDescent="0.35">
      <c r="C4" s="1" t="s">
        <v>19</v>
      </c>
      <c r="D4" s="4" t="s">
        <v>18</v>
      </c>
      <c r="E4" s="1">
        <v>48</v>
      </c>
      <c r="F4" s="1"/>
      <c r="G4" s="1"/>
      <c r="H4" s="1"/>
      <c r="P4" s="3" t="s">
        <v>315</v>
      </c>
      <c r="Q4" s="3" t="s">
        <v>316</v>
      </c>
      <c r="S4" s="3" t="s">
        <v>317</v>
      </c>
    </row>
    <row r="5" spans="2:38" ht="16.5" customHeight="1" thickBot="1" x14ac:dyDescent="0.35">
      <c r="B5" s="405" t="s">
        <v>11</v>
      </c>
      <c r="C5" s="201"/>
      <c r="D5" s="201"/>
      <c r="E5" s="201"/>
      <c r="F5" s="186"/>
      <c r="G5" s="187"/>
      <c r="H5" s="186"/>
      <c r="I5" s="201"/>
      <c r="J5" s="188"/>
      <c r="K5" s="405" t="s">
        <v>4</v>
      </c>
      <c r="L5" s="407"/>
      <c r="M5" s="407"/>
      <c r="N5" s="407"/>
      <c r="O5" s="408"/>
      <c r="P5" s="405" t="s">
        <v>16</v>
      </c>
      <c r="Q5" s="407"/>
      <c r="R5" s="408"/>
      <c r="S5" s="409" t="s">
        <v>17</v>
      </c>
      <c r="T5" s="14"/>
      <c r="U5" s="411" t="s">
        <v>276</v>
      </c>
      <c r="V5" s="412"/>
      <c r="W5" s="412"/>
      <c r="X5" s="412"/>
      <c r="Y5" s="412"/>
      <c r="Z5" s="412"/>
      <c r="AA5" s="412"/>
      <c r="AB5" s="412"/>
      <c r="AC5" s="412"/>
      <c r="AD5" s="412"/>
      <c r="AE5" s="412"/>
      <c r="AF5" s="413"/>
      <c r="AI5" s="402" t="s">
        <v>20</v>
      </c>
      <c r="AJ5" s="403"/>
      <c r="AK5" s="403"/>
      <c r="AL5" s="404"/>
    </row>
    <row r="6" spans="2:38" ht="30" customHeight="1" thickBot="1" x14ac:dyDescent="0.35">
      <c r="B6" s="406"/>
      <c r="C6" s="200" t="s">
        <v>0</v>
      </c>
      <c r="D6" s="200" t="s">
        <v>133</v>
      </c>
      <c r="E6" s="200" t="s">
        <v>261</v>
      </c>
      <c r="F6" s="197" t="s">
        <v>262</v>
      </c>
      <c r="G6" s="198" t="s">
        <v>263</v>
      </c>
      <c r="H6" s="197" t="s">
        <v>264</v>
      </c>
      <c r="I6" s="200" t="s">
        <v>265</v>
      </c>
      <c r="J6" s="189" t="s">
        <v>266</v>
      </c>
      <c r="K6" s="58" t="s">
        <v>13</v>
      </c>
      <c r="L6" s="12" t="s">
        <v>12</v>
      </c>
      <c r="M6" s="33" t="s">
        <v>5</v>
      </c>
      <c r="N6" s="12" t="s">
        <v>14</v>
      </c>
      <c r="O6" s="59" t="s">
        <v>1</v>
      </c>
      <c r="P6" s="58" t="s">
        <v>239</v>
      </c>
      <c r="Q6" s="12" t="s">
        <v>240</v>
      </c>
      <c r="R6" s="59" t="s">
        <v>16</v>
      </c>
      <c r="S6" s="410"/>
      <c r="T6" s="14"/>
      <c r="U6" s="229" t="s">
        <v>306</v>
      </c>
      <c r="V6" s="231" t="s">
        <v>307</v>
      </c>
      <c r="W6" s="231" t="s">
        <v>308</v>
      </c>
      <c r="X6" s="231" t="s">
        <v>309</v>
      </c>
      <c r="Y6" s="231" t="s">
        <v>310</v>
      </c>
      <c r="Z6" s="231" t="s">
        <v>311</v>
      </c>
      <c r="AA6" s="231" t="s">
        <v>312</v>
      </c>
      <c r="AB6" s="231" t="s">
        <v>313</v>
      </c>
      <c r="AC6" s="230" t="s">
        <v>314</v>
      </c>
      <c r="AD6" s="232" t="s">
        <v>303</v>
      </c>
      <c r="AE6" s="231" t="s">
        <v>304</v>
      </c>
      <c r="AF6" s="233" t="s">
        <v>305</v>
      </c>
      <c r="AI6" s="38" t="s">
        <v>6</v>
      </c>
      <c r="AJ6" s="42" t="s">
        <v>16</v>
      </c>
      <c r="AK6" s="44" t="s">
        <v>21</v>
      </c>
      <c r="AL6" s="39" t="s">
        <v>22</v>
      </c>
    </row>
    <row r="7" spans="2:38" x14ac:dyDescent="0.3">
      <c r="B7" s="13">
        <v>1</v>
      </c>
      <c r="C7" s="7" t="s">
        <v>6</v>
      </c>
      <c r="D7" s="8">
        <v>44539</v>
      </c>
      <c r="E7" s="8"/>
      <c r="F7" s="8"/>
      <c r="G7" s="8" t="s">
        <v>250</v>
      </c>
      <c r="H7" s="8" t="s">
        <v>251</v>
      </c>
      <c r="I7" s="7" t="s">
        <v>10</v>
      </c>
      <c r="J7" s="14" t="s">
        <v>9</v>
      </c>
      <c r="K7" s="60">
        <v>56123338</v>
      </c>
      <c r="L7" s="17"/>
      <c r="M7" s="17"/>
      <c r="N7" s="101"/>
      <c r="O7" s="102">
        <f t="shared" ref="O7" si="0">K7+L7-M7-N7</f>
        <v>56123338</v>
      </c>
      <c r="P7" s="25">
        <f>29230900+14030832+12861596</f>
        <v>56123328</v>
      </c>
      <c r="Q7" s="17">
        <f>SUM(U7:AF7)</f>
        <v>0</v>
      </c>
      <c r="R7" s="30">
        <f>P7+Q7</f>
        <v>56123328</v>
      </c>
      <c r="S7" s="30">
        <f>O7-R7</f>
        <v>10</v>
      </c>
      <c r="T7" s="14"/>
      <c r="U7" s="363">
        <v>0</v>
      </c>
      <c r="V7" s="363">
        <v>0</v>
      </c>
      <c r="W7" s="363">
        <v>0</v>
      </c>
      <c r="X7" s="363">
        <v>0</v>
      </c>
      <c r="Y7" s="362"/>
      <c r="Z7" s="362"/>
      <c r="AA7" s="362"/>
      <c r="AB7" s="362"/>
      <c r="AC7" s="362"/>
      <c r="AD7" s="362"/>
      <c r="AE7" s="362"/>
      <c r="AF7" s="280"/>
      <c r="AI7" s="19"/>
      <c r="AJ7" s="14"/>
      <c r="AK7" s="6"/>
      <c r="AL7" s="20"/>
    </row>
    <row r="8" spans="2:38" outlineLevel="1" x14ac:dyDescent="0.3">
      <c r="B8" s="13"/>
      <c r="C8" s="7"/>
      <c r="D8" s="9"/>
      <c r="E8" s="9"/>
      <c r="F8" s="9"/>
      <c r="G8" s="9"/>
      <c r="H8" s="9"/>
      <c r="I8" s="7"/>
      <c r="J8" s="14"/>
      <c r="K8" s="25"/>
      <c r="L8" s="17"/>
      <c r="M8" s="17"/>
      <c r="N8" s="29"/>
      <c r="O8" s="102"/>
      <c r="P8" s="19"/>
      <c r="Q8" s="7"/>
      <c r="R8" s="30"/>
      <c r="S8" s="30"/>
      <c r="T8" s="14"/>
      <c r="U8" s="218"/>
      <c r="V8" s="217"/>
      <c r="W8" s="217"/>
      <c r="X8" s="217"/>
      <c r="Y8" s="217"/>
      <c r="Z8" s="217"/>
      <c r="AA8" s="217"/>
      <c r="AB8" s="217"/>
      <c r="AC8" s="217"/>
      <c r="AD8" s="217"/>
      <c r="AE8" s="217"/>
      <c r="AF8" s="219"/>
      <c r="AI8" s="19"/>
      <c r="AJ8" s="14"/>
      <c r="AK8" s="6"/>
      <c r="AL8" s="20"/>
    </row>
    <row r="9" spans="2:38" outlineLevel="1" x14ac:dyDescent="0.3">
      <c r="B9" s="13"/>
      <c r="C9" s="7"/>
      <c r="D9" s="9"/>
      <c r="E9" s="9"/>
      <c r="F9" s="9"/>
      <c r="G9" s="9"/>
      <c r="H9" s="9"/>
      <c r="I9" s="7"/>
      <c r="J9" s="14"/>
      <c r="K9" s="19"/>
      <c r="L9" s="7"/>
      <c r="M9" s="7"/>
      <c r="N9" s="14"/>
      <c r="O9" s="15"/>
      <c r="P9" s="19"/>
      <c r="Q9" s="7"/>
      <c r="R9" s="30"/>
      <c r="S9" s="30"/>
      <c r="T9" s="14"/>
      <c r="U9" s="218"/>
      <c r="V9" s="217"/>
      <c r="W9" s="217"/>
      <c r="X9" s="217"/>
      <c r="Y9" s="217"/>
      <c r="Z9" s="217"/>
      <c r="AA9" s="217"/>
      <c r="AB9" s="217"/>
      <c r="AC9" s="217"/>
      <c r="AD9" s="217"/>
      <c r="AE9" s="217"/>
      <c r="AF9" s="219"/>
      <c r="AI9" s="19"/>
      <c r="AJ9" s="14"/>
      <c r="AK9" s="6"/>
      <c r="AL9" s="20"/>
    </row>
    <row r="10" spans="2:38" outlineLevel="1" x14ac:dyDescent="0.3">
      <c r="B10" s="13"/>
      <c r="C10" s="7"/>
      <c r="D10" s="9"/>
      <c r="E10" s="9"/>
      <c r="F10" s="9"/>
      <c r="G10" s="9"/>
      <c r="H10" s="9"/>
      <c r="I10" s="7"/>
      <c r="J10" s="14"/>
      <c r="K10" s="19"/>
      <c r="L10" s="7"/>
      <c r="M10" s="7"/>
      <c r="N10" s="14"/>
      <c r="O10" s="15"/>
      <c r="P10" s="19"/>
      <c r="Q10" s="7"/>
      <c r="R10" s="30"/>
      <c r="S10" s="30"/>
      <c r="T10" s="14"/>
      <c r="U10" s="218"/>
      <c r="V10" s="217"/>
      <c r="W10" s="217"/>
      <c r="X10" s="217"/>
      <c r="Y10" s="217"/>
      <c r="Z10" s="217"/>
      <c r="AA10" s="217"/>
      <c r="AB10" s="217"/>
      <c r="AC10" s="217"/>
      <c r="AD10" s="217"/>
      <c r="AE10" s="217"/>
      <c r="AF10" s="219"/>
      <c r="AI10" s="19"/>
      <c r="AJ10" s="14"/>
      <c r="AK10" s="6"/>
      <c r="AL10" s="20"/>
    </row>
    <row r="11" spans="2:38" ht="14.25" outlineLevel="1" thickBot="1" x14ac:dyDescent="0.35">
      <c r="B11" s="13"/>
      <c r="C11" s="7"/>
      <c r="D11" s="9"/>
      <c r="E11" s="9"/>
      <c r="F11" s="9"/>
      <c r="G11" s="9"/>
      <c r="H11" s="9"/>
      <c r="I11" s="7"/>
      <c r="J11" s="14"/>
      <c r="K11" s="19"/>
      <c r="L11" s="7"/>
      <c r="M11" s="99"/>
      <c r="N11" s="14"/>
      <c r="O11" s="15"/>
      <c r="P11" s="19"/>
      <c r="Q11" s="7"/>
      <c r="R11" s="30"/>
      <c r="S11" s="30"/>
      <c r="T11" s="14"/>
      <c r="U11" s="226"/>
      <c r="V11" s="227"/>
      <c r="W11" s="227"/>
      <c r="X11" s="227"/>
      <c r="Y11" s="227"/>
      <c r="Z11" s="227"/>
      <c r="AA11" s="227"/>
      <c r="AB11" s="227"/>
      <c r="AC11" s="227"/>
      <c r="AD11" s="227"/>
      <c r="AE11" s="227"/>
      <c r="AF11" s="228"/>
      <c r="AI11" s="19"/>
      <c r="AJ11" s="14"/>
      <c r="AK11" s="6"/>
      <c r="AL11" s="20"/>
    </row>
    <row r="12" spans="2:38" s="2" customFormat="1" ht="19.5" customHeight="1" thickBot="1" x14ac:dyDescent="0.35">
      <c r="B12" s="400" t="s">
        <v>7</v>
      </c>
      <c r="C12" s="401"/>
      <c r="D12" s="401"/>
      <c r="E12" s="401"/>
      <c r="F12" s="401"/>
      <c r="G12" s="401"/>
      <c r="H12" s="401"/>
      <c r="I12" s="401"/>
      <c r="J12" s="10"/>
      <c r="K12" s="63">
        <f>SUM(K7:K11)</f>
        <v>56123338</v>
      </c>
      <c r="L12" s="36"/>
      <c r="M12" s="36"/>
      <c r="N12" s="36"/>
      <c r="O12" s="64">
        <f>SUM(O7:O11)</f>
        <v>56123338</v>
      </c>
      <c r="P12" s="63">
        <f>SUM(P7:P11)</f>
        <v>56123328</v>
      </c>
      <c r="Q12" s="36">
        <f>SUM(Q7:Q11)</f>
        <v>0</v>
      </c>
      <c r="R12" s="35">
        <f>SUM(R7:R11)</f>
        <v>56123328</v>
      </c>
      <c r="S12" s="65">
        <f>SUM(S7:S11)</f>
        <v>10</v>
      </c>
      <c r="T12" s="14"/>
      <c r="U12" s="223">
        <f t="shared" ref="U12:AF12" si="1">SUM(U7:U11)</f>
        <v>0</v>
      </c>
      <c r="V12" s="224">
        <f t="shared" si="1"/>
        <v>0</v>
      </c>
      <c r="W12" s="224">
        <f t="shared" si="1"/>
        <v>0</v>
      </c>
      <c r="X12" s="224">
        <f t="shared" si="1"/>
        <v>0</v>
      </c>
      <c r="Y12" s="224">
        <f t="shared" si="1"/>
        <v>0</v>
      </c>
      <c r="Z12" s="224">
        <f t="shared" si="1"/>
        <v>0</v>
      </c>
      <c r="AA12" s="224">
        <f t="shared" si="1"/>
        <v>0</v>
      </c>
      <c r="AB12" s="224">
        <f t="shared" si="1"/>
        <v>0</v>
      </c>
      <c r="AC12" s="224">
        <f t="shared" si="1"/>
        <v>0</v>
      </c>
      <c r="AD12" s="224">
        <f t="shared" si="1"/>
        <v>0</v>
      </c>
      <c r="AE12" s="224">
        <f t="shared" si="1"/>
        <v>0</v>
      </c>
      <c r="AF12" s="225">
        <f t="shared" si="1"/>
        <v>0</v>
      </c>
      <c r="AG12" s="1"/>
      <c r="AI12" s="40">
        <v>106632407</v>
      </c>
      <c r="AJ12" s="43">
        <v>42472985</v>
      </c>
      <c r="AK12" s="45">
        <f>AI12-O12</f>
        <v>50509069</v>
      </c>
      <c r="AL12" s="41">
        <f>AJ12-R12</f>
        <v>-13650343</v>
      </c>
    </row>
    <row r="16" spans="2:38" x14ac:dyDescent="0.3">
      <c r="D16" s="103"/>
    </row>
    <row r="17" spans="4:4" x14ac:dyDescent="0.3">
      <c r="D17" s="49"/>
    </row>
    <row r="18" spans="4:4" ht="14.25" customHeight="1" x14ac:dyDescent="0.3"/>
  </sheetData>
  <mergeCells count="7">
    <mergeCell ref="B12:I12"/>
    <mergeCell ref="AI5:AL5"/>
    <mergeCell ref="B5:B6"/>
    <mergeCell ref="K5:O5"/>
    <mergeCell ref="P5:R5"/>
    <mergeCell ref="S5:S6"/>
    <mergeCell ref="U5:AF5"/>
  </mergeCells>
  <phoneticPr fontId="2" type="noConversion"/>
  <pageMargins left="0.7" right="0.7" top="0.75" bottom="0.75" header="0.3" footer="0.3"/>
  <pageSetup paperSize="9" scale="32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AM181"/>
  <sheetViews>
    <sheetView zoomScale="85" zoomScaleNormal="85" zoomScaleSheetLayoutView="70" workbookViewId="0">
      <pane xSplit="9" ySplit="6" topLeftCell="Q139" activePane="bottomRight" state="frozen"/>
      <selection pane="topRight" activeCell="G1" sqref="G1"/>
      <selection pane="bottomLeft" activeCell="A7" sqref="A7"/>
      <selection pane="bottomRight" activeCell="X176" sqref="X176"/>
    </sheetView>
  </sheetViews>
  <sheetFormatPr defaultRowHeight="13.5" outlineLevelRow="1" outlineLevelCol="1" x14ac:dyDescent="0.3"/>
  <cols>
    <col min="1" max="1" width="3.5" style="1" customWidth="1"/>
    <col min="2" max="2" width="8" style="1" bestFit="1" customWidth="1"/>
    <col min="3" max="3" width="8.625" style="1" customWidth="1"/>
    <col min="4" max="4" width="10.75" style="3" customWidth="1"/>
    <col min="5" max="5" width="10.25" style="3" bestFit="1" customWidth="1"/>
    <col min="6" max="6" width="12.625" style="3" customWidth="1"/>
    <col min="7" max="7" width="13" style="3" customWidth="1"/>
    <col min="8" max="8" width="6.375" style="3" customWidth="1"/>
    <col min="9" max="9" width="32.375" style="1" customWidth="1"/>
    <col min="10" max="10" width="13.125" style="1" bestFit="1" customWidth="1"/>
    <col min="11" max="11" width="14.25" style="34" bestFit="1" customWidth="1"/>
    <col min="12" max="13" width="10.25" style="1" customWidth="1" outlineLevel="1"/>
    <col min="14" max="14" width="12.75" style="178" bestFit="1" customWidth="1" outlineLevel="1"/>
    <col min="15" max="15" width="14.25" style="1" bestFit="1" customWidth="1"/>
    <col min="16" max="16" width="14.25" style="34" customWidth="1"/>
    <col min="17" max="17" width="11.625" style="1" customWidth="1"/>
    <col min="18" max="18" width="21.125" style="1" customWidth="1"/>
    <col min="19" max="19" width="14.25" style="1" customWidth="1"/>
    <col min="20" max="20" width="4" style="1" customWidth="1"/>
    <col min="21" max="32" width="12.75" style="1" customWidth="1"/>
    <col min="33" max="33" width="4.25" style="1" customWidth="1"/>
    <col min="34" max="34" width="2" style="1" customWidth="1"/>
    <col min="35" max="35" width="15.375" style="1" bestFit="1" customWidth="1"/>
    <col min="36" max="36" width="21.125" style="1" bestFit="1" customWidth="1"/>
    <col min="37" max="37" width="14.125" style="1" bestFit="1" customWidth="1"/>
    <col min="38" max="38" width="13" style="1" bestFit="1" customWidth="1"/>
    <col min="39" max="39" width="11.5" style="1" bestFit="1" customWidth="1"/>
    <col min="40" max="16384" width="9" style="1"/>
  </cols>
  <sheetData>
    <row r="1" spans="2:39" ht="20.25" x14ac:dyDescent="0.3">
      <c r="B1" s="72" t="s">
        <v>155</v>
      </c>
    </row>
    <row r="3" spans="2:39" x14ac:dyDescent="0.3">
      <c r="B3" s="93" t="s">
        <v>23</v>
      </c>
      <c r="C3" s="93"/>
      <c r="D3" s="94">
        <f>차량!D3</f>
        <v>46142</v>
      </c>
      <c r="J3" s="107"/>
    </row>
    <row r="4" spans="2:39" ht="14.25" thickBot="1" x14ac:dyDescent="0.35">
      <c r="C4" s="1" t="s">
        <v>19</v>
      </c>
      <c r="D4" s="4" t="s">
        <v>18</v>
      </c>
      <c r="E4" s="196">
        <v>48</v>
      </c>
      <c r="F4" s="1"/>
      <c r="G4" s="1"/>
      <c r="H4" s="1"/>
      <c r="P4" s="3" t="s">
        <v>315</v>
      </c>
      <c r="Q4" s="3" t="s">
        <v>316</v>
      </c>
      <c r="S4" s="3" t="s">
        <v>318</v>
      </c>
    </row>
    <row r="5" spans="2:39" ht="16.5" customHeight="1" x14ac:dyDescent="0.3">
      <c r="B5" s="405" t="s">
        <v>11</v>
      </c>
      <c r="C5" s="201"/>
      <c r="D5" s="201"/>
      <c r="E5" s="202"/>
      <c r="F5" s="186"/>
      <c r="G5" s="187"/>
      <c r="H5" s="186"/>
      <c r="I5" s="201"/>
      <c r="J5" s="190"/>
      <c r="K5" s="405" t="s">
        <v>4</v>
      </c>
      <c r="L5" s="414"/>
      <c r="M5" s="414"/>
      <c r="N5" s="414"/>
      <c r="O5" s="408"/>
      <c r="P5" s="405" t="s">
        <v>16</v>
      </c>
      <c r="Q5" s="407"/>
      <c r="R5" s="408"/>
      <c r="S5" s="409" t="s">
        <v>17</v>
      </c>
      <c r="T5" s="20"/>
      <c r="U5" s="402" t="s">
        <v>293</v>
      </c>
      <c r="V5" s="403"/>
      <c r="W5" s="403"/>
      <c r="X5" s="403"/>
      <c r="Y5" s="403"/>
      <c r="Z5" s="403"/>
      <c r="AA5" s="403"/>
      <c r="AB5" s="403"/>
      <c r="AC5" s="403"/>
      <c r="AD5" s="403"/>
      <c r="AE5" s="403"/>
      <c r="AF5" s="404"/>
      <c r="AI5" s="402" t="s">
        <v>20</v>
      </c>
      <c r="AJ5" s="403"/>
      <c r="AK5" s="403"/>
      <c r="AL5" s="404"/>
    </row>
    <row r="6" spans="2:39" ht="30" customHeight="1" thickBot="1" x14ac:dyDescent="0.35">
      <c r="B6" s="406"/>
      <c r="C6" s="200" t="s">
        <v>0</v>
      </c>
      <c r="D6" s="200" t="s">
        <v>133</v>
      </c>
      <c r="E6" s="199" t="s">
        <v>261</v>
      </c>
      <c r="F6" s="197" t="s">
        <v>262</v>
      </c>
      <c r="G6" s="198" t="s">
        <v>263</v>
      </c>
      <c r="H6" s="197" t="s">
        <v>264</v>
      </c>
      <c r="I6" s="199" t="s">
        <v>265</v>
      </c>
      <c r="J6" s="191" t="s">
        <v>266</v>
      </c>
      <c r="K6" s="182" t="s">
        <v>13</v>
      </c>
      <c r="L6" s="168" t="s">
        <v>12</v>
      </c>
      <c r="M6" s="168" t="s">
        <v>5</v>
      </c>
      <c r="N6" s="48" t="s">
        <v>14</v>
      </c>
      <c r="O6" s="169" t="s">
        <v>1</v>
      </c>
      <c r="P6" s="67" t="s">
        <v>239</v>
      </c>
      <c r="Q6" s="168" t="s">
        <v>240</v>
      </c>
      <c r="R6" s="59" t="s">
        <v>16</v>
      </c>
      <c r="S6" s="410"/>
      <c r="T6" s="20"/>
      <c r="U6" s="240" t="s">
        <v>306</v>
      </c>
      <c r="V6" s="21" t="s">
        <v>307</v>
      </c>
      <c r="W6" s="21" t="s">
        <v>308</v>
      </c>
      <c r="X6" s="21" t="s">
        <v>309</v>
      </c>
      <c r="Y6" s="21" t="s">
        <v>310</v>
      </c>
      <c r="Z6" s="21" t="s">
        <v>311</v>
      </c>
      <c r="AA6" s="21" t="s">
        <v>312</v>
      </c>
      <c r="AB6" s="21" t="s">
        <v>313</v>
      </c>
      <c r="AC6" s="21" t="s">
        <v>314</v>
      </c>
      <c r="AD6" s="21" t="s">
        <v>303</v>
      </c>
      <c r="AE6" s="21" t="s">
        <v>304</v>
      </c>
      <c r="AF6" s="22" t="s">
        <v>305</v>
      </c>
      <c r="AI6" s="38" t="s">
        <v>24</v>
      </c>
      <c r="AJ6" s="42" t="s">
        <v>16</v>
      </c>
      <c r="AK6" s="44" t="s">
        <v>26</v>
      </c>
      <c r="AL6" s="39" t="s">
        <v>22</v>
      </c>
    </row>
    <row r="7" spans="2:39" outlineLevel="1" x14ac:dyDescent="0.3">
      <c r="B7" s="13">
        <v>1</v>
      </c>
      <c r="C7" s="47" t="s">
        <v>24</v>
      </c>
      <c r="D7" s="70">
        <v>42153</v>
      </c>
      <c r="E7" s="89"/>
      <c r="F7" s="8"/>
      <c r="G7" s="8" t="s">
        <v>250</v>
      </c>
      <c r="H7" s="170" t="s">
        <v>256</v>
      </c>
      <c r="I7" s="6" t="s">
        <v>34</v>
      </c>
      <c r="J7" s="6" t="s">
        <v>8</v>
      </c>
      <c r="K7" s="25">
        <v>6000000</v>
      </c>
      <c r="L7" s="7"/>
      <c r="M7" s="7"/>
      <c r="N7" s="166">
        <f t="shared" ref="N7" si="0">IF(E7&gt;0,K7,0)</f>
        <v>0</v>
      </c>
      <c r="O7" s="177">
        <f t="shared" ref="O7" si="1">K7+L7-M7-N7</f>
        <v>6000000</v>
      </c>
      <c r="P7" s="25">
        <v>5999000</v>
      </c>
      <c r="Q7" s="17">
        <f t="shared" ref="Q7" si="2">SUM(U7:AF7)</f>
        <v>0</v>
      </c>
      <c r="R7" s="30">
        <f t="shared" ref="R7:R38" si="3">P7+Q7</f>
        <v>5999000</v>
      </c>
      <c r="S7" s="30">
        <f t="shared" ref="S7:S38" si="4">IF(N7&gt;0,0,O7-R7)</f>
        <v>1000</v>
      </c>
      <c r="T7" s="177"/>
      <c r="U7" s="318"/>
      <c r="V7" s="316"/>
      <c r="W7" s="234"/>
      <c r="X7" s="234"/>
      <c r="Y7" s="234"/>
      <c r="Z7" s="234"/>
      <c r="AA7" s="234"/>
      <c r="AB7" s="234"/>
      <c r="AC7" s="234"/>
      <c r="AD7" s="234"/>
      <c r="AE7" s="234"/>
      <c r="AF7" s="375"/>
      <c r="AI7" s="19"/>
      <c r="AJ7" s="14"/>
      <c r="AK7" s="6"/>
      <c r="AL7" s="20"/>
      <c r="AM7" s="5"/>
    </row>
    <row r="8" spans="2:39" outlineLevel="1" x14ac:dyDescent="0.3">
      <c r="B8" s="13">
        <f>B7+1</f>
        <v>2</v>
      </c>
      <c r="C8" s="47" t="s">
        <v>24</v>
      </c>
      <c r="D8" s="70">
        <v>43117</v>
      </c>
      <c r="E8" s="89"/>
      <c r="F8" s="172"/>
      <c r="G8" s="172" t="s">
        <v>257</v>
      </c>
      <c r="H8" s="170" t="s">
        <v>258</v>
      </c>
      <c r="I8" s="6" t="s">
        <v>35</v>
      </c>
      <c r="J8" s="6" t="s">
        <v>31</v>
      </c>
      <c r="K8" s="25">
        <v>1084215000</v>
      </c>
      <c r="L8" s="7"/>
      <c r="M8" s="7"/>
      <c r="N8" s="166">
        <f t="shared" ref="N8:N9" si="5">IF(E8&gt;0,K8,0)</f>
        <v>0</v>
      </c>
      <c r="O8" s="177">
        <f t="shared" ref="O8:O9" si="6">K8+L8-M8-N8</f>
        <v>1084215000</v>
      </c>
      <c r="P8" s="25">
        <v>1084214000</v>
      </c>
      <c r="Q8" s="17">
        <f t="shared" ref="Q8:Q9" si="7">SUM(U8:AF8)</f>
        <v>0</v>
      </c>
      <c r="R8" s="30">
        <f t="shared" si="3"/>
        <v>1084214000</v>
      </c>
      <c r="S8" s="30">
        <f t="shared" si="4"/>
        <v>1000</v>
      </c>
      <c r="T8" s="177"/>
      <c r="U8" s="235"/>
      <c r="V8" s="316"/>
      <c r="W8" s="234"/>
      <c r="X8" s="234"/>
      <c r="Y8" s="234"/>
      <c r="Z8" s="234"/>
      <c r="AA8" s="234"/>
      <c r="AB8" s="234"/>
      <c r="AC8" s="234"/>
      <c r="AD8" s="234"/>
      <c r="AE8" s="234"/>
      <c r="AF8" s="236"/>
      <c r="AI8" s="19"/>
      <c r="AJ8" s="14"/>
      <c r="AK8" s="6"/>
      <c r="AL8" s="20"/>
      <c r="AM8" s="5"/>
    </row>
    <row r="9" spans="2:39" x14ac:dyDescent="0.3">
      <c r="B9" s="13">
        <f t="shared" ref="B9:B72" si="8">B8+1</f>
        <v>3</v>
      </c>
      <c r="C9" s="47" t="s">
        <v>24</v>
      </c>
      <c r="D9" s="70">
        <v>43710</v>
      </c>
      <c r="E9" s="89"/>
      <c r="F9" s="172"/>
      <c r="G9" s="172" t="s">
        <v>250</v>
      </c>
      <c r="H9" s="170" t="s">
        <v>251</v>
      </c>
      <c r="I9" s="6" t="s">
        <v>36</v>
      </c>
      <c r="J9" s="6" t="s">
        <v>32</v>
      </c>
      <c r="K9" s="25">
        <v>11840680</v>
      </c>
      <c r="L9" s="7"/>
      <c r="M9" s="7"/>
      <c r="N9" s="166">
        <f t="shared" si="5"/>
        <v>0</v>
      </c>
      <c r="O9" s="177">
        <f t="shared" si="6"/>
        <v>11840680</v>
      </c>
      <c r="P9" s="25">
        <v>11839680</v>
      </c>
      <c r="Q9" s="17">
        <f t="shared" si="7"/>
        <v>0</v>
      </c>
      <c r="R9" s="30">
        <f t="shared" si="3"/>
        <v>11839680</v>
      </c>
      <c r="S9" s="30">
        <f t="shared" si="4"/>
        <v>1000</v>
      </c>
      <c r="T9" s="177"/>
      <c r="U9" s="235"/>
      <c r="V9" s="316"/>
      <c r="W9" s="234"/>
      <c r="X9" s="234"/>
      <c r="Y9" s="234"/>
      <c r="Z9" s="234"/>
      <c r="AA9" s="234"/>
      <c r="AB9" s="234"/>
      <c r="AC9" s="234"/>
      <c r="AD9" s="234"/>
      <c r="AE9" s="234"/>
      <c r="AF9" s="236"/>
      <c r="AI9" s="19"/>
      <c r="AJ9" s="14"/>
      <c r="AK9" s="6"/>
      <c r="AL9" s="20"/>
      <c r="AM9" s="5"/>
    </row>
    <row r="10" spans="2:39" x14ac:dyDescent="0.3">
      <c r="B10" s="13">
        <f t="shared" si="8"/>
        <v>4</v>
      </c>
      <c r="C10" s="47" t="s">
        <v>24</v>
      </c>
      <c r="D10" s="70">
        <v>43798</v>
      </c>
      <c r="E10" s="89"/>
      <c r="F10" s="172"/>
      <c r="G10" s="172" t="s">
        <v>250</v>
      </c>
      <c r="H10" s="170" t="s">
        <v>251</v>
      </c>
      <c r="I10" s="6" t="s">
        <v>37</v>
      </c>
      <c r="J10" s="6" t="s">
        <v>8</v>
      </c>
      <c r="K10" s="25">
        <v>7444800</v>
      </c>
      <c r="L10" s="7"/>
      <c r="M10" s="7"/>
      <c r="N10" s="166">
        <f t="shared" ref="N10:N12" si="9">IF(E10&gt;0,K10,0)</f>
        <v>0</v>
      </c>
      <c r="O10" s="177">
        <f t="shared" ref="O10:O15" si="10">K10+L10-M10-N10</f>
        <v>7444800</v>
      </c>
      <c r="P10" s="25">
        <v>7443800</v>
      </c>
      <c r="Q10" s="17">
        <f t="shared" ref="Q10:Q16" si="11">SUM(U10:AF10)</f>
        <v>0</v>
      </c>
      <c r="R10" s="30">
        <f t="shared" si="3"/>
        <v>7443800</v>
      </c>
      <c r="S10" s="30">
        <f t="shared" si="4"/>
        <v>1000</v>
      </c>
      <c r="T10" s="177"/>
      <c r="U10" s="235"/>
      <c r="V10" s="316"/>
      <c r="W10" s="234"/>
      <c r="X10" s="234"/>
      <c r="Y10" s="234"/>
      <c r="Z10" s="234"/>
      <c r="AA10" s="234"/>
      <c r="AB10" s="234"/>
      <c r="AC10" s="234"/>
      <c r="AD10" s="234"/>
      <c r="AE10" s="234"/>
      <c r="AF10" s="236"/>
      <c r="AI10" s="19"/>
      <c r="AJ10" s="14"/>
      <c r="AK10" s="6"/>
      <c r="AL10" s="20"/>
      <c r="AM10" s="5"/>
    </row>
    <row r="11" spans="2:39" x14ac:dyDescent="0.3">
      <c r="B11" s="13">
        <f t="shared" si="8"/>
        <v>5</v>
      </c>
      <c r="C11" s="47" t="s">
        <v>24</v>
      </c>
      <c r="D11" s="70">
        <v>43798</v>
      </c>
      <c r="E11" s="89"/>
      <c r="F11" s="172"/>
      <c r="G11" s="172" t="s">
        <v>250</v>
      </c>
      <c r="H11" s="170" t="s">
        <v>251</v>
      </c>
      <c r="I11" s="6" t="s">
        <v>38</v>
      </c>
      <c r="J11" s="6" t="s">
        <v>8</v>
      </c>
      <c r="K11" s="25">
        <v>550000</v>
      </c>
      <c r="L11" s="7"/>
      <c r="M11" s="7"/>
      <c r="N11" s="166">
        <f t="shared" si="9"/>
        <v>0</v>
      </c>
      <c r="O11" s="177">
        <f t="shared" si="10"/>
        <v>550000</v>
      </c>
      <c r="P11" s="25">
        <v>549000</v>
      </c>
      <c r="Q11" s="17">
        <f t="shared" si="11"/>
        <v>0</v>
      </c>
      <c r="R11" s="30">
        <f t="shared" si="3"/>
        <v>549000</v>
      </c>
      <c r="S11" s="30">
        <f t="shared" si="4"/>
        <v>1000</v>
      </c>
      <c r="T11" s="177"/>
      <c r="U11" s="235"/>
      <c r="V11" s="316"/>
      <c r="W11" s="234"/>
      <c r="X11" s="234"/>
      <c r="Y11" s="234"/>
      <c r="Z11" s="234"/>
      <c r="AA11" s="234"/>
      <c r="AB11" s="234"/>
      <c r="AC11" s="234"/>
      <c r="AD11" s="234"/>
      <c r="AE11" s="234"/>
      <c r="AF11" s="236"/>
      <c r="AI11" s="19"/>
      <c r="AJ11" s="14"/>
      <c r="AK11" s="6"/>
      <c r="AL11" s="20"/>
      <c r="AM11" s="5"/>
    </row>
    <row r="12" spans="2:39" x14ac:dyDescent="0.3">
      <c r="B12" s="13">
        <f t="shared" si="8"/>
        <v>6</v>
      </c>
      <c r="C12" s="47" t="s">
        <v>24</v>
      </c>
      <c r="D12" s="70">
        <v>43798</v>
      </c>
      <c r="E12" s="89"/>
      <c r="F12" s="172"/>
      <c r="G12" s="172" t="s">
        <v>250</v>
      </c>
      <c r="H12" s="170" t="s">
        <v>251</v>
      </c>
      <c r="I12" s="6" t="s">
        <v>39</v>
      </c>
      <c r="J12" s="6" t="s">
        <v>8</v>
      </c>
      <c r="K12" s="25">
        <v>27170000</v>
      </c>
      <c r="L12" s="7"/>
      <c r="M12" s="7"/>
      <c r="N12" s="166">
        <f t="shared" si="9"/>
        <v>0</v>
      </c>
      <c r="O12" s="177">
        <f t="shared" si="10"/>
        <v>27170000</v>
      </c>
      <c r="P12" s="25">
        <v>27169000</v>
      </c>
      <c r="Q12" s="17">
        <f t="shared" si="11"/>
        <v>0</v>
      </c>
      <c r="R12" s="30">
        <f t="shared" si="3"/>
        <v>27169000</v>
      </c>
      <c r="S12" s="30">
        <f t="shared" si="4"/>
        <v>1000</v>
      </c>
      <c r="T12" s="177"/>
      <c r="U12" s="235"/>
      <c r="V12" s="316"/>
      <c r="W12" s="234"/>
      <c r="X12" s="234"/>
      <c r="Y12" s="234"/>
      <c r="Z12" s="234"/>
      <c r="AA12" s="234"/>
      <c r="AB12" s="234"/>
      <c r="AC12" s="234"/>
      <c r="AD12" s="234"/>
      <c r="AE12" s="234"/>
      <c r="AF12" s="236"/>
      <c r="AI12" s="19"/>
      <c r="AJ12" s="14"/>
      <c r="AK12" s="6"/>
      <c r="AL12" s="20"/>
      <c r="AM12" s="5"/>
    </row>
    <row r="13" spans="2:39" x14ac:dyDescent="0.3">
      <c r="B13" s="13">
        <f t="shared" si="8"/>
        <v>7</v>
      </c>
      <c r="C13" s="47" t="s">
        <v>24</v>
      </c>
      <c r="D13" s="70">
        <v>43798</v>
      </c>
      <c r="E13" s="89"/>
      <c r="F13" s="172"/>
      <c r="G13" s="172" t="s">
        <v>250</v>
      </c>
      <c r="H13" s="170" t="s">
        <v>251</v>
      </c>
      <c r="I13" s="6" t="s">
        <v>40</v>
      </c>
      <c r="J13" s="6" t="s">
        <v>8</v>
      </c>
      <c r="K13" s="25">
        <v>11000000</v>
      </c>
      <c r="L13" s="7"/>
      <c r="M13" s="7"/>
      <c r="N13" s="166">
        <f t="shared" ref="N13:N16" si="12">IF(E13&gt;0,K13,0)</f>
        <v>0</v>
      </c>
      <c r="O13" s="177">
        <f t="shared" si="10"/>
        <v>11000000</v>
      </c>
      <c r="P13" s="25">
        <v>10999000</v>
      </c>
      <c r="Q13" s="17">
        <f t="shared" si="11"/>
        <v>0</v>
      </c>
      <c r="R13" s="30">
        <f t="shared" si="3"/>
        <v>10999000</v>
      </c>
      <c r="S13" s="30">
        <f t="shared" si="4"/>
        <v>1000</v>
      </c>
      <c r="T13" s="177"/>
      <c r="U13" s="235"/>
      <c r="V13" s="316"/>
      <c r="W13" s="234"/>
      <c r="X13" s="234"/>
      <c r="Y13" s="234"/>
      <c r="Z13" s="234"/>
      <c r="AA13" s="234"/>
      <c r="AB13" s="234"/>
      <c r="AC13" s="234"/>
      <c r="AD13" s="234"/>
      <c r="AE13" s="234"/>
      <c r="AF13" s="236"/>
      <c r="AI13" s="19"/>
      <c r="AJ13" s="14"/>
      <c r="AK13" s="6"/>
      <c r="AL13" s="20"/>
      <c r="AM13" s="5"/>
    </row>
    <row r="14" spans="2:39" x14ac:dyDescent="0.3">
      <c r="B14" s="13">
        <f t="shared" si="8"/>
        <v>8</v>
      </c>
      <c r="C14" s="47" t="s">
        <v>24</v>
      </c>
      <c r="D14" s="70">
        <v>43798</v>
      </c>
      <c r="E14" s="89"/>
      <c r="F14" s="172"/>
      <c r="G14" s="172" t="s">
        <v>250</v>
      </c>
      <c r="H14" s="170" t="s">
        <v>251</v>
      </c>
      <c r="I14" s="6" t="s">
        <v>41</v>
      </c>
      <c r="J14" s="6" t="s">
        <v>8</v>
      </c>
      <c r="K14" s="25">
        <v>1325500</v>
      </c>
      <c r="L14" s="7"/>
      <c r="M14" s="7"/>
      <c r="N14" s="166">
        <f t="shared" si="12"/>
        <v>0</v>
      </c>
      <c r="O14" s="177">
        <f t="shared" si="10"/>
        <v>1325500</v>
      </c>
      <c r="P14" s="25">
        <v>1324500</v>
      </c>
      <c r="Q14" s="17">
        <f t="shared" si="11"/>
        <v>0</v>
      </c>
      <c r="R14" s="30">
        <f t="shared" si="3"/>
        <v>1324500</v>
      </c>
      <c r="S14" s="30">
        <f t="shared" si="4"/>
        <v>1000</v>
      </c>
      <c r="T14" s="177"/>
      <c r="U14" s="235"/>
      <c r="V14" s="316"/>
      <c r="W14" s="234"/>
      <c r="X14" s="234"/>
      <c r="Y14" s="234"/>
      <c r="Z14" s="234"/>
      <c r="AA14" s="234"/>
      <c r="AB14" s="234"/>
      <c r="AC14" s="234"/>
      <c r="AD14" s="234"/>
      <c r="AE14" s="234"/>
      <c r="AF14" s="236"/>
      <c r="AI14" s="19"/>
      <c r="AJ14" s="14"/>
      <c r="AK14" s="6"/>
      <c r="AL14" s="20"/>
      <c r="AM14" s="5"/>
    </row>
    <row r="15" spans="2:39" x14ac:dyDescent="0.3">
      <c r="B15" s="13">
        <f t="shared" si="8"/>
        <v>9</v>
      </c>
      <c r="C15" s="47" t="s">
        <v>24</v>
      </c>
      <c r="D15" s="70">
        <v>43798</v>
      </c>
      <c r="E15" s="89"/>
      <c r="F15" s="172"/>
      <c r="G15" s="172" t="s">
        <v>250</v>
      </c>
      <c r="H15" s="170" t="s">
        <v>251</v>
      </c>
      <c r="I15" s="6" t="s">
        <v>42</v>
      </c>
      <c r="J15" s="6" t="s">
        <v>8</v>
      </c>
      <c r="K15" s="25">
        <v>495000</v>
      </c>
      <c r="L15" s="7"/>
      <c r="M15" s="7"/>
      <c r="N15" s="166">
        <f t="shared" si="12"/>
        <v>0</v>
      </c>
      <c r="O15" s="177">
        <f t="shared" si="10"/>
        <v>495000</v>
      </c>
      <c r="P15" s="25">
        <v>494000</v>
      </c>
      <c r="Q15" s="17">
        <f t="shared" si="11"/>
        <v>0</v>
      </c>
      <c r="R15" s="30">
        <f t="shared" si="3"/>
        <v>494000</v>
      </c>
      <c r="S15" s="167">
        <f t="shared" si="4"/>
        <v>1000</v>
      </c>
      <c r="T15" s="177"/>
      <c r="U15" s="235"/>
      <c r="V15" s="316"/>
      <c r="W15" s="234"/>
      <c r="X15" s="234"/>
      <c r="Y15" s="234"/>
      <c r="Z15" s="234"/>
      <c r="AA15" s="234"/>
      <c r="AB15" s="234"/>
      <c r="AC15" s="234"/>
      <c r="AD15" s="234"/>
      <c r="AE15" s="234"/>
      <c r="AF15" s="236"/>
      <c r="AI15" s="19"/>
      <c r="AJ15" s="14"/>
      <c r="AK15" s="6"/>
      <c r="AL15" s="20"/>
      <c r="AM15" s="5"/>
    </row>
    <row r="16" spans="2:39" x14ac:dyDescent="0.3">
      <c r="B16" s="13">
        <f t="shared" si="8"/>
        <v>10</v>
      </c>
      <c r="C16" s="47" t="s">
        <v>24</v>
      </c>
      <c r="D16" s="70">
        <v>44151</v>
      </c>
      <c r="E16" s="89"/>
      <c r="F16" s="172"/>
      <c r="G16" s="172" t="s">
        <v>250</v>
      </c>
      <c r="H16" s="170" t="s">
        <v>251</v>
      </c>
      <c r="I16" s="6" t="s">
        <v>43</v>
      </c>
      <c r="J16" s="6" t="s">
        <v>28</v>
      </c>
      <c r="K16" s="25">
        <v>2640000</v>
      </c>
      <c r="L16" s="7"/>
      <c r="M16" s="7"/>
      <c r="N16" s="166">
        <f t="shared" si="12"/>
        <v>0</v>
      </c>
      <c r="O16" s="177">
        <f t="shared" ref="O16" si="13">K16+L16-M16-N16</f>
        <v>2640000</v>
      </c>
      <c r="P16" s="25">
        <v>2639000</v>
      </c>
      <c r="Q16" s="17">
        <f t="shared" si="11"/>
        <v>0</v>
      </c>
      <c r="R16" s="30">
        <f t="shared" si="3"/>
        <v>2639000</v>
      </c>
      <c r="S16" s="167">
        <f t="shared" si="4"/>
        <v>1000</v>
      </c>
      <c r="T16" s="177"/>
      <c r="U16" s="235"/>
      <c r="V16" s="316"/>
      <c r="W16" s="234"/>
      <c r="X16" s="234"/>
      <c r="Y16" s="234"/>
      <c r="Z16" s="234"/>
      <c r="AA16" s="234"/>
      <c r="AB16" s="234"/>
      <c r="AC16" s="234"/>
      <c r="AD16" s="234"/>
      <c r="AE16" s="234"/>
      <c r="AF16" s="236"/>
      <c r="AI16" s="19"/>
      <c r="AJ16" s="14"/>
      <c r="AK16" s="6"/>
      <c r="AL16" s="20"/>
      <c r="AM16" s="5"/>
    </row>
    <row r="17" spans="2:39" x14ac:dyDescent="0.3">
      <c r="B17" s="13">
        <f t="shared" si="8"/>
        <v>11</v>
      </c>
      <c r="C17" s="47" t="s">
        <v>24</v>
      </c>
      <c r="D17" s="70">
        <v>44160</v>
      </c>
      <c r="E17" s="47"/>
      <c r="F17" s="174"/>
      <c r="G17" s="172" t="s">
        <v>250</v>
      </c>
      <c r="H17" s="170" t="s">
        <v>251</v>
      </c>
      <c r="I17" s="6" t="s">
        <v>44</v>
      </c>
      <c r="J17" s="6" t="s">
        <v>30</v>
      </c>
      <c r="K17" s="25">
        <v>127600.00000000001</v>
      </c>
      <c r="L17" s="7"/>
      <c r="M17" s="7"/>
      <c r="N17" s="166">
        <f t="shared" ref="N17:N31" si="14">IF(E17&gt;0,K17,0)</f>
        <v>0</v>
      </c>
      <c r="O17" s="177">
        <f t="shared" ref="O17:O32" si="15">K17+L17-M17-N17</f>
        <v>127600.00000000001</v>
      </c>
      <c r="P17" s="25">
        <v>126600</v>
      </c>
      <c r="Q17" s="17">
        <f t="shared" ref="Q17:Q31" si="16">SUM(U17:AF17)</f>
        <v>0</v>
      </c>
      <c r="R17" s="30">
        <f t="shared" si="3"/>
        <v>126600</v>
      </c>
      <c r="S17" s="167">
        <f t="shared" si="4"/>
        <v>1000.0000000000146</v>
      </c>
      <c r="T17" s="177"/>
      <c r="U17" s="235"/>
      <c r="V17" s="316"/>
      <c r="W17" s="234"/>
      <c r="X17" s="234"/>
      <c r="Y17" s="234"/>
      <c r="Z17" s="234"/>
      <c r="AA17" s="234"/>
      <c r="AB17" s="234"/>
      <c r="AC17" s="234"/>
      <c r="AD17" s="234"/>
      <c r="AE17" s="234"/>
      <c r="AF17" s="236"/>
      <c r="AI17" s="19"/>
      <c r="AJ17" s="14"/>
      <c r="AK17" s="6"/>
      <c r="AL17" s="20"/>
      <c r="AM17" s="5"/>
    </row>
    <row r="18" spans="2:39" x14ac:dyDescent="0.3">
      <c r="B18" s="13">
        <f t="shared" si="8"/>
        <v>12</v>
      </c>
      <c r="C18" s="47" t="s">
        <v>24</v>
      </c>
      <c r="D18" s="70">
        <v>44160</v>
      </c>
      <c r="E18" s="47"/>
      <c r="F18" s="174"/>
      <c r="G18" s="172" t="s">
        <v>250</v>
      </c>
      <c r="H18" s="170" t="s">
        <v>251</v>
      </c>
      <c r="I18" s="6" t="s">
        <v>44</v>
      </c>
      <c r="J18" s="6" t="s">
        <v>30</v>
      </c>
      <c r="K18" s="25">
        <v>127600.00000000001</v>
      </c>
      <c r="L18" s="7"/>
      <c r="M18" s="7"/>
      <c r="N18" s="166">
        <f t="shared" si="14"/>
        <v>0</v>
      </c>
      <c r="O18" s="177">
        <f t="shared" si="15"/>
        <v>127600.00000000001</v>
      </c>
      <c r="P18" s="25">
        <v>126600</v>
      </c>
      <c r="Q18" s="17">
        <f t="shared" si="16"/>
        <v>0</v>
      </c>
      <c r="R18" s="30">
        <f t="shared" si="3"/>
        <v>126600</v>
      </c>
      <c r="S18" s="167">
        <f t="shared" si="4"/>
        <v>1000.0000000000146</v>
      </c>
      <c r="T18" s="177"/>
      <c r="U18" s="235"/>
      <c r="V18" s="316"/>
      <c r="W18" s="234"/>
      <c r="X18" s="234"/>
      <c r="Y18" s="234"/>
      <c r="Z18" s="234"/>
      <c r="AA18" s="234"/>
      <c r="AB18" s="234"/>
      <c r="AC18" s="234"/>
      <c r="AD18" s="234"/>
      <c r="AE18" s="234"/>
      <c r="AF18" s="236"/>
      <c r="AI18" s="19"/>
      <c r="AJ18" s="14"/>
      <c r="AK18" s="6"/>
      <c r="AL18" s="20"/>
      <c r="AM18" s="5"/>
    </row>
    <row r="19" spans="2:39" x14ac:dyDescent="0.3">
      <c r="B19" s="13">
        <f t="shared" si="8"/>
        <v>13</v>
      </c>
      <c r="C19" s="47" t="s">
        <v>24</v>
      </c>
      <c r="D19" s="70">
        <v>44286</v>
      </c>
      <c r="E19" s="174"/>
      <c r="F19" s="174"/>
      <c r="G19" s="172" t="s">
        <v>250</v>
      </c>
      <c r="H19" s="171" t="s">
        <v>259</v>
      </c>
      <c r="I19" s="6" t="s">
        <v>45</v>
      </c>
      <c r="J19" s="6" t="s">
        <v>33</v>
      </c>
      <c r="K19" s="25">
        <v>31416770</v>
      </c>
      <c r="L19" s="7"/>
      <c r="M19" s="7"/>
      <c r="N19" s="166">
        <f t="shared" si="14"/>
        <v>0</v>
      </c>
      <c r="O19" s="177">
        <f t="shared" si="15"/>
        <v>31416770</v>
      </c>
      <c r="P19" s="25">
        <v>31415770</v>
      </c>
      <c r="Q19" s="17">
        <f t="shared" si="16"/>
        <v>0</v>
      </c>
      <c r="R19" s="30">
        <f t="shared" si="3"/>
        <v>31415770</v>
      </c>
      <c r="S19" s="167">
        <f t="shared" si="4"/>
        <v>1000</v>
      </c>
      <c r="T19" s="177"/>
      <c r="U19" s="235"/>
      <c r="V19" s="316"/>
      <c r="W19" s="234"/>
      <c r="X19" s="234"/>
      <c r="Y19" s="234"/>
      <c r="Z19" s="234"/>
      <c r="AA19" s="234"/>
      <c r="AB19" s="234"/>
      <c r="AC19" s="234"/>
      <c r="AD19" s="234"/>
      <c r="AE19" s="234"/>
      <c r="AF19" s="236"/>
      <c r="AI19" s="19"/>
      <c r="AJ19" s="14"/>
      <c r="AK19" s="6"/>
      <c r="AL19" s="20"/>
      <c r="AM19" s="5"/>
    </row>
    <row r="20" spans="2:39" x14ac:dyDescent="0.3">
      <c r="B20" s="13">
        <f t="shared" si="8"/>
        <v>14</v>
      </c>
      <c r="C20" s="47" t="s">
        <v>24</v>
      </c>
      <c r="D20" s="70">
        <v>44372</v>
      </c>
      <c r="E20" s="47"/>
      <c r="F20" s="174"/>
      <c r="G20" s="172" t="s">
        <v>250</v>
      </c>
      <c r="H20" s="171" t="s">
        <v>259</v>
      </c>
      <c r="I20" s="6" t="s">
        <v>46</v>
      </c>
      <c r="J20" s="6" t="s">
        <v>8</v>
      </c>
      <c r="K20" s="25">
        <v>918500</v>
      </c>
      <c r="L20" s="7"/>
      <c r="M20" s="7"/>
      <c r="N20" s="166">
        <f t="shared" si="14"/>
        <v>0</v>
      </c>
      <c r="O20" s="177">
        <f t="shared" si="15"/>
        <v>918500</v>
      </c>
      <c r="P20" s="25">
        <v>917500</v>
      </c>
      <c r="Q20" s="17">
        <f t="shared" si="16"/>
        <v>0</v>
      </c>
      <c r="R20" s="30">
        <f t="shared" si="3"/>
        <v>917500</v>
      </c>
      <c r="S20" s="167">
        <f t="shared" si="4"/>
        <v>1000</v>
      </c>
      <c r="T20" s="177"/>
      <c r="U20" s="235"/>
      <c r="V20" s="316"/>
      <c r="W20" s="316"/>
      <c r="X20" s="316"/>
      <c r="Y20" s="368"/>
      <c r="Z20" s="234"/>
      <c r="AA20" s="234"/>
      <c r="AB20" s="234"/>
      <c r="AC20" s="234"/>
      <c r="AD20" s="234"/>
      <c r="AE20" s="234"/>
      <c r="AF20" s="236"/>
      <c r="AI20" s="19"/>
      <c r="AJ20" s="14"/>
      <c r="AK20" s="6"/>
      <c r="AL20" s="20"/>
      <c r="AM20" s="5"/>
    </row>
    <row r="21" spans="2:39" x14ac:dyDescent="0.3">
      <c r="B21" s="13">
        <f t="shared" si="8"/>
        <v>15</v>
      </c>
      <c r="C21" s="47" t="s">
        <v>24</v>
      </c>
      <c r="D21" s="70">
        <v>44435</v>
      </c>
      <c r="E21" s="47"/>
      <c r="F21" s="174"/>
      <c r="G21" s="172" t="s">
        <v>250</v>
      </c>
      <c r="H21" s="170" t="s">
        <v>251</v>
      </c>
      <c r="I21" s="6" t="s">
        <v>47</v>
      </c>
      <c r="J21" s="6"/>
      <c r="K21" s="25">
        <v>71559</v>
      </c>
      <c r="L21" s="7"/>
      <c r="M21" s="7"/>
      <c r="N21" s="166">
        <f t="shared" si="14"/>
        <v>0</v>
      </c>
      <c r="O21" s="177">
        <f t="shared" si="15"/>
        <v>71559</v>
      </c>
      <c r="P21" s="25">
        <v>70559</v>
      </c>
      <c r="Q21" s="17">
        <f t="shared" si="16"/>
        <v>0</v>
      </c>
      <c r="R21" s="30">
        <f t="shared" si="3"/>
        <v>70559</v>
      </c>
      <c r="S21" s="30">
        <f t="shared" si="4"/>
        <v>1000</v>
      </c>
      <c r="T21" s="177"/>
      <c r="U21" s="235"/>
      <c r="V21" s="316"/>
      <c r="W21" s="316"/>
      <c r="X21" s="316"/>
      <c r="Y21" s="234"/>
      <c r="Z21" s="234"/>
      <c r="AA21" s="234"/>
      <c r="AB21" s="234"/>
      <c r="AC21" s="234"/>
      <c r="AD21" s="234"/>
      <c r="AE21" s="234"/>
      <c r="AF21" s="236"/>
      <c r="AI21" s="19"/>
      <c r="AJ21" s="14"/>
      <c r="AK21" s="6"/>
      <c r="AL21" s="20"/>
      <c r="AM21" s="5"/>
    </row>
    <row r="22" spans="2:39" x14ac:dyDescent="0.3">
      <c r="B22" s="13">
        <f t="shared" si="8"/>
        <v>16</v>
      </c>
      <c r="C22" s="47" t="s">
        <v>24</v>
      </c>
      <c r="D22" s="70">
        <v>44435</v>
      </c>
      <c r="E22" s="47"/>
      <c r="F22" s="174"/>
      <c r="G22" s="172" t="s">
        <v>250</v>
      </c>
      <c r="H22" s="170" t="s">
        <v>251</v>
      </c>
      <c r="I22" s="6" t="s">
        <v>47</v>
      </c>
      <c r="J22" s="6"/>
      <c r="K22" s="25">
        <v>71559</v>
      </c>
      <c r="L22" s="7"/>
      <c r="M22" s="7"/>
      <c r="N22" s="166">
        <f t="shared" si="14"/>
        <v>0</v>
      </c>
      <c r="O22" s="177">
        <f t="shared" si="15"/>
        <v>71559</v>
      </c>
      <c r="P22" s="25">
        <v>70559</v>
      </c>
      <c r="Q22" s="17">
        <f t="shared" si="16"/>
        <v>0</v>
      </c>
      <c r="R22" s="30">
        <f t="shared" si="3"/>
        <v>70559</v>
      </c>
      <c r="S22" s="30">
        <f t="shared" si="4"/>
        <v>1000</v>
      </c>
      <c r="T22" s="177"/>
      <c r="U22" s="235"/>
      <c r="V22" s="316"/>
      <c r="W22" s="316"/>
      <c r="X22" s="316"/>
      <c r="Y22" s="234"/>
      <c r="Z22" s="234"/>
      <c r="AA22" s="234"/>
      <c r="AB22" s="234"/>
      <c r="AC22" s="234"/>
      <c r="AD22" s="234"/>
      <c r="AE22" s="234"/>
      <c r="AF22" s="236"/>
      <c r="AI22" s="19"/>
      <c r="AJ22" s="14"/>
      <c r="AK22" s="6"/>
      <c r="AL22" s="20"/>
      <c r="AM22" s="5"/>
    </row>
    <row r="23" spans="2:39" x14ac:dyDescent="0.3">
      <c r="B23" s="13">
        <f t="shared" si="8"/>
        <v>17</v>
      </c>
      <c r="C23" s="47" t="s">
        <v>24</v>
      </c>
      <c r="D23" s="70">
        <v>44435</v>
      </c>
      <c r="E23" s="47"/>
      <c r="F23" s="174"/>
      <c r="G23" s="172" t="s">
        <v>250</v>
      </c>
      <c r="H23" s="170" t="s">
        <v>251</v>
      </c>
      <c r="I23" s="6" t="s">
        <v>47</v>
      </c>
      <c r="J23" s="6"/>
      <c r="K23" s="25">
        <v>71559</v>
      </c>
      <c r="L23" s="7"/>
      <c r="M23" s="7"/>
      <c r="N23" s="166">
        <f t="shared" si="14"/>
        <v>0</v>
      </c>
      <c r="O23" s="177">
        <f t="shared" si="15"/>
        <v>71559</v>
      </c>
      <c r="P23" s="25">
        <v>70559</v>
      </c>
      <c r="Q23" s="17">
        <f t="shared" si="16"/>
        <v>0</v>
      </c>
      <c r="R23" s="30">
        <f t="shared" si="3"/>
        <v>70559</v>
      </c>
      <c r="S23" s="30">
        <f t="shared" si="4"/>
        <v>1000</v>
      </c>
      <c r="T23" s="177"/>
      <c r="U23" s="235"/>
      <c r="V23" s="316"/>
      <c r="W23" s="316"/>
      <c r="X23" s="316"/>
      <c r="Y23" s="234"/>
      <c r="Z23" s="234"/>
      <c r="AA23" s="234"/>
      <c r="AB23" s="234"/>
      <c r="AC23" s="234"/>
      <c r="AD23" s="234"/>
      <c r="AE23" s="234"/>
      <c r="AF23" s="236"/>
      <c r="AI23" s="19"/>
      <c r="AJ23" s="14"/>
      <c r="AK23" s="6"/>
      <c r="AL23" s="20"/>
      <c r="AM23" s="5"/>
    </row>
    <row r="24" spans="2:39" x14ac:dyDescent="0.3">
      <c r="B24" s="13">
        <f t="shared" si="8"/>
        <v>18</v>
      </c>
      <c r="C24" s="47" t="s">
        <v>24</v>
      </c>
      <c r="D24" s="70">
        <v>44435</v>
      </c>
      <c r="E24" s="47"/>
      <c r="F24" s="174"/>
      <c r="G24" s="172" t="s">
        <v>250</v>
      </c>
      <c r="H24" s="170" t="s">
        <v>251</v>
      </c>
      <c r="I24" s="6" t="s">
        <v>47</v>
      </c>
      <c r="J24" s="6"/>
      <c r="K24" s="25">
        <v>71559</v>
      </c>
      <c r="L24" s="7"/>
      <c r="M24" s="7"/>
      <c r="N24" s="166">
        <f t="shared" si="14"/>
        <v>0</v>
      </c>
      <c r="O24" s="177">
        <f t="shared" si="15"/>
        <v>71559</v>
      </c>
      <c r="P24" s="25">
        <v>70559</v>
      </c>
      <c r="Q24" s="17">
        <f t="shared" si="16"/>
        <v>0</v>
      </c>
      <c r="R24" s="30">
        <f t="shared" si="3"/>
        <v>70559</v>
      </c>
      <c r="S24" s="30">
        <f t="shared" si="4"/>
        <v>1000</v>
      </c>
      <c r="T24" s="177"/>
      <c r="U24" s="235"/>
      <c r="V24" s="316"/>
      <c r="W24" s="316"/>
      <c r="X24" s="316"/>
      <c r="Y24" s="234"/>
      <c r="Z24" s="234"/>
      <c r="AA24" s="234"/>
      <c r="AB24" s="234"/>
      <c r="AC24" s="234"/>
      <c r="AD24" s="234"/>
      <c r="AE24" s="234"/>
      <c r="AF24" s="236"/>
      <c r="AI24" s="19"/>
      <c r="AJ24" s="14"/>
      <c r="AK24" s="6"/>
      <c r="AL24" s="20"/>
      <c r="AM24" s="5"/>
    </row>
    <row r="25" spans="2:39" x14ac:dyDescent="0.3">
      <c r="B25" s="13">
        <f t="shared" si="8"/>
        <v>19</v>
      </c>
      <c r="C25" s="47" t="s">
        <v>24</v>
      </c>
      <c r="D25" s="70">
        <v>44435</v>
      </c>
      <c r="E25" s="47"/>
      <c r="F25" s="174"/>
      <c r="G25" s="172" t="s">
        <v>250</v>
      </c>
      <c r="H25" s="170" t="s">
        <v>251</v>
      </c>
      <c r="I25" s="6" t="s">
        <v>47</v>
      </c>
      <c r="J25" s="6"/>
      <c r="K25" s="25">
        <v>71559</v>
      </c>
      <c r="L25" s="7"/>
      <c r="M25" s="7"/>
      <c r="N25" s="166">
        <f t="shared" si="14"/>
        <v>0</v>
      </c>
      <c r="O25" s="177">
        <f t="shared" si="15"/>
        <v>71559</v>
      </c>
      <c r="P25" s="25">
        <v>70559</v>
      </c>
      <c r="Q25" s="17">
        <f t="shared" si="16"/>
        <v>0</v>
      </c>
      <c r="R25" s="30">
        <f t="shared" si="3"/>
        <v>70559</v>
      </c>
      <c r="S25" s="30">
        <f t="shared" si="4"/>
        <v>1000</v>
      </c>
      <c r="T25" s="177"/>
      <c r="U25" s="235"/>
      <c r="V25" s="316"/>
      <c r="W25" s="316"/>
      <c r="X25" s="316"/>
      <c r="Y25" s="234"/>
      <c r="Z25" s="234"/>
      <c r="AA25" s="234"/>
      <c r="AB25" s="234"/>
      <c r="AC25" s="234"/>
      <c r="AD25" s="234"/>
      <c r="AE25" s="234"/>
      <c r="AF25" s="236"/>
      <c r="AI25" s="19"/>
      <c r="AJ25" s="14"/>
      <c r="AK25" s="6"/>
      <c r="AL25" s="20"/>
      <c r="AM25" s="5"/>
    </row>
    <row r="26" spans="2:39" x14ac:dyDescent="0.3">
      <c r="B26" s="13">
        <f t="shared" si="8"/>
        <v>20</v>
      </c>
      <c r="C26" s="47" t="s">
        <v>24</v>
      </c>
      <c r="D26" s="70">
        <v>44435</v>
      </c>
      <c r="E26" s="47"/>
      <c r="F26" s="174"/>
      <c r="G26" s="172" t="s">
        <v>250</v>
      </c>
      <c r="H26" s="170" t="s">
        <v>251</v>
      </c>
      <c r="I26" s="6" t="s">
        <v>47</v>
      </c>
      <c r="J26" s="6"/>
      <c r="K26" s="25">
        <v>71559</v>
      </c>
      <c r="L26" s="7"/>
      <c r="M26" s="7"/>
      <c r="N26" s="166">
        <f t="shared" si="14"/>
        <v>0</v>
      </c>
      <c r="O26" s="177">
        <f t="shared" si="15"/>
        <v>71559</v>
      </c>
      <c r="P26" s="25">
        <v>70559</v>
      </c>
      <c r="Q26" s="17">
        <f t="shared" si="16"/>
        <v>0</v>
      </c>
      <c r="R26" s="30">
        <f t="shared" si="3"/>
        <v>70559</v>
      </c>
      <c r="S26" s="30">
        <f t="shared" si="4"/>
        <v>1000</v>
      </c>
      <c r="T26" s="177"/>
      <c r="U26" s="235"/>
      <c r="V26" s="316"/>
      <c r="W26" s="316"/>
      <c r="X26" s="316"/>
      <c r="Y26" s="234"/>
      <c r="Z26" s="234"/>
      <c r="AA26" s="234"/>
      <c r="AB26" s="234"/>
      <c r="AC26" s="234"/>
      <c r="AD26" s="234"/>
      <c r="AE26" s="234"/>
      <c r="AF26" s="236"/>
      <c r="AI26" s="19"/>
      <c r="AJ26" s="14"/>
      <c r="AK26" s="6"/>
      <c r="AL26" s="20"/>
      <c r="AM26" s="5"/>
    </row>
    <row r="27" spans="2:39" x14ac:dyDescent="0.3">
      <c r="B27" s="13">
        <f t="shared" si="8"/>
        <v>21</v>
      </c>
      <c r="C27" s="47" t="s">
        <v>24</v>
      </c>
      <c r="D27" s="70">
        <v>44435</v>
      </c>
      <c r="E27" s="47"/>
      <c r="F27" s="174"/>
      <c r="G27" s="172" t="s">
        <v>250</v>
      </c>
      <c r="H27" s="170" t="s">
        <v>251</v>
      </c>
      <c r="I27" s="6" t="s">
        <v>47</v>
      </c>
      <c r="J27" s="6"/>
      <c r="K27" s="25">
        <v>71559</v>
      </c>
      <c r="L27" s="7"/>
      <c r="M27" s="7"/>
      <c r="N27" s="166">
        <f t="shared" si="14"/>
        <v>0</v>
      </c>
      <c r="O27" s="177">
        <f t="shared" si="15"/>
        <v>71559</v>
      </c>
      <c r="P27" s="25">
        <v>70559</v>
      </c>
      <c r="Q27" s="17">
        <f t="shared" si="16"/>
        <v>0</v>
      </c>
      <c r="R27" s="30">
        <f t="shared" si="3"/>
        <v>70559</v>
      </c>
      <c r="S27" s="30">
        <f t="shared" si="4"/>
        <v>1000</v>
      </c>
      <c r="T27" s="177"/>
      <c r="U27" s="235"/>
      <c r="V27" s="316"/>
      <c r="W27" s="316"/>
      <c r="X27" s="316"/>
      <c r="Y27" s="234"/>
      <c r="Z27" s="234"/>
      <c r="AA27" s="234"/>
      <c r="AB27" s="234"/>
      <c r="AC27" s="234"/>
      <c r="AD27" s="234"/>
      <c r="AE27" s="234"/>
      <c r="AF27" s="236"/>
      <c r="AI27" s="19"/>
      <c r="AJ27" s="14"/>
      <c r="AK27" s="6"/>
      <c r="AL27" s="20"/>
      <c r="AM27" s="5"/>
    </row>
    <row r="28" spans="2:39" x14ac:dyDescent="0.3">
      <c r="B28" s="13">
        <f t="shared" si="8"/>
        <v>22</v>
      </c>
      <c r="C28" s="47" t="s">
        <v>24</v>
      </c>
      <c r="D28" s="70">
        <v>44435</v>
      </c>
      <c r="E28" s="47"/>
      <c r="F28" s="174"/>
      <c r="G28" s="172" t="s">
        <v>250</v>
      </c>
      <c r="H28" s="170" t="s">
        <v>251</v>
      </c>
      <c r="I28" s="6" t="s">
        <v>47</v>
      </c>
      <c r="J28" s="6"/>
      <c r="K28" s="25">
        <v>71559</v>
      </c>
      <c r="L28" s="7"/>
      <c r="M28" s="7"/>
      <c r="N28" s="166">
        <f t="shared" si="14"/>
        <v>0</v>
      </c>
      <c r="O28" s="177">
        <f t="shared" si="15"/>
        <v>71559</v>
      </c>
      <c r="P28" s="25">
        <v>70559</v>
      </c>
      <c r="Q28" s="17">
        <f t="shared" si="16"/>
        <v>0</v>
      </c>
      <c r="R28" s="30">
        <f t="shared" si="3"/>
        <v>70559</v>
      </c>
      <c r="S28" s="30">
        <f t="shared" si="4"/>
        <v>1000</v>
      </c>
      <c r="T28" s="177"/>
      <c r="U28" s="235"/>
      <c r="V28" s="316"/>
      <c r="W28" s="316"/>
      <c r="X28" s="316"/>
      <c r="Y28" s="234"/>
      <c r="Z28" s="234"/>
      <c r="AA28" s="234"/>
      <c r="AB28" s="234"/>
      <c r="AC28" s="234"/>
      <c r="AD28" s="234"/>
      <c r="AE28" s="234"/>
      <c r="AF28" s="236"/>
      <c r="AI28" s="19"/>
      <c r="AJ28" s="14"/>
      <c r="AK28" s="6"/>
      <c r="AL28" s="20"/>
      <c r="AM28" s="5"/>
    </row>
    <row r="29" spans="2:39" x14ac:dyDescent="0.3">
      <c r="B29" s="13">
        <f t="shared" si="8"/>
        <v>23</v>
      </c>
      <c r="C29" s="47" t="s">
        <v>24</v>
      </c>
      <c r="D29" s="70">
        <v>44435</v>
      </c>
      <c r="E29" s="47"/>
      <c r="F29" s="174"/>
      <c r="G29" s="172" t="s">
        <v>250</v>
      </c>
      <c r="H29" s="170" t="s">
        <v>251</v>
      </c>
      <c r="I29" s="6" t="s">
        <v>48</v>
      </c>
      <c r="J29" s="6"/>
      <c r="K29" s="25">
        <v>106337</v>
      </c>
      <c r="L29" s="7"/>
      <c r="M29" s="7"/>
      <c r="N29" s="166">
        <f t="shared" si="14"/>
        <v>0</v>
      </c>
      <c r="O29" s="177">
        <f t="shared" si="15"/>
        <v>106337</v>
      </c>
      <c r="P29" s="25">
        <v>105337</v>
      </c>
      <c r="Q29" s="17">
        <f t="shared" si="16"/>
        <v>0</v>
      </c>
      <c r="R29" s="30">
        <f t="shared" si="3"/>
        <v>105337</v>
      </c>
      <c r="S29" s="30">
        <f t="shared" si="4"/>
        <v>1000</v>
      </c>
      <c r="T29" s="177"/>
      <c r="U29" s="235"/>
      <c r="V29" s="316"/>
      <c r="W29" s="316"/>
      <c r="X29" s="316"/>
      <c r="Y29" s="234"/>
      <c r="Z29" s="234"/>
      <c r="AA29" s="234"/>
      <c r="AB29" s="234"/>
      <c r="AC29" s="234"/>
      <c r="AD29" s="234"/>
      <c r="AE29" s="234"/>
      <c r="AF29" s="236"/>
      <c r="AI29" s="19"/>
      <c r="AJ29" s="14"/>
      <c r="AK29" s="6"/>
      <c r="AL29" s="20"/>
      <c r="AM29" s="5"/>
    </row>
    <row r="30" spans="2:39" x14ac:dyDescent="0.3">
      <c r="B30" s="296">
        <f t="shared" si="8"/>
        <v>24</v>
      </c>
      <c r="C30" s="297" t="s">
        <v>24</v>
      </c>
      <c r="D30" s="298">
        <v>44435</v>
      </c>
      <c r="E30" s="297"/>
      <c r="F30" s="272"/>
      <c r="G30" s="299" t="s">
        <v>250</v>
      </c>
      <c r="H30" s="300" t="s">
        <v>251</v>
      </c>
      <c r="I30" s="130" t="s">
        <v>48</v>
      </c>
      <c r="J30" s="130"/>
      <c r="K30" s="104">
        <v>106337</v>
      </c>
      <c r="L30" s="180"/>
      <c r="M30" s="180"/>
      <c r="N30" s="166">
        <f t="shared" si="14"/>
        <v>0</v>
      </c>
      <c r="O30" s="301">
        <f t="shared" si="15"/>
        <v>106337</v>
      </c>
      <c r="P30" s="104">
        <v>105337</v>
      </c>
      <c r="Q30" s="166">
        <f t="shared" si="16"/>
        <v>0</v>
      </c>
      <c r="R30" s="167">
        <f t="shared" si="3"/>
        <v>105337</v>
      </c>
      <c r="S30" s="167">
        <f t="shared" si="4"/>
        <v>1000</v>
      </c>
      <c r="T30" s="177"/>
      <c r="U30" s="235"/>
      <c r="V30" s="316"/>
      <c r="W30" s="316"/>
      <c r="X30" s="316"/>
      <c r="Y30" s="234"/>
      <c r="Z30" s="234"/>
      <c r="AA30" s="234"/>
      <c r="AB30" s="234"/>
      <c r="AC30" s="234"/>
      <c r="AD30" s="234"/>
      <c r="AE30" s="234"/>
      <c r="AF30" s="236"/>
      <c r="AI30" s="19"/>
      <c r="AJ30" s="14"/>
      <c r="AK30" s="6"/>
      <c r="AL30" s="20"/>
      <c r="AM30" s="5"/>
    </row>
    <row r="31" spans="2:39" x14ac:dyDescent="0.3">
      <c r="B31" s="302">
        <f t="shared" si="8"/>
        <v>25</v>
      </c>
      <c r="C31" s="303" t="s">
        <v>24</v>
      </c>
      <c r="D31" s="304">
        <v>44530</v>
      </c>
      <c r="E31" s="305">
        <v>45657</v>
      </c>
      <c r="F31" s="304">
        <v>45657</v>
      </c>
      <c r="G31" s="304" t="s">
        <v>281</v>
      </c>
      <c r="H31" s="305" t="s">
        <v>251</v>
      </c>
      <c r="I31" s="306" t="s">
        <v>49</v>
      </c>
      <c r="J31" s="306" t="s">
        <v>286</v>
      </c>
      <c r="K31" s="307">
        <v>22916692</v>
      </c>
      <c r="L31" s="308"/>
      <c r="M31" s="308"/>
      <c r="N31" s="309">
        <f t="shared" si="14"/>
        <v>22916692</v>
      </c>
      <c r="O31" s="310">
        <f t="shared" si="15"/>
        <v>0</v>
      </c>
      <c r="P31" s="307">
        <v>0</v>
      </c>
      <c r="Q31" s="309">
        <f t="shared" si="16"/>
        <v>0</v>
      </c>
      <c r="R31" s="311">
        <f t="shared" si="3"/>
        <v>0</v>
      </c>
      <c r="S31" s="311">
        <f t="shared" si="4"/>
        <v>0</v>
      </c>
      <c r="T31" s="177"/>
      <c r="U31" s="312"/>
      <c r="V31" s="317"/>
      <c r="W31" s="317"/>
      <c r="X31" s="317"/>
      <c r="Y31" s="313"/>
      <c r="Z31" s="313"/>
      <c r="AA31" s="313"/>
      <c r="AB31" s="313"/>
      <c r="AC31" s="313"/>
      <c r="AD31" s="313"/>
      <c r="AE31" s="313"/>
      <c r="AF31" s="314"/>
      <c r="AI31" s="19"/>
      <c r="AJ31" s="14"/>
      <c r="AK31" s="6"/>
      <c r="AL31" s="20"/>
      <c r="AM31" s="5"/>
    </row>
    <row r="32" spans="2:39" x14ac:dyDescent="0.3">
      <c r="B32" s="296">
        <f t="shared" si="8"/>
        <v>26</v>
      </c>
      <c r="C32" s="297" t="s">
        <v>24</v>
      </c>
      <c r="D32" s="298">
        <v>44742</v>
      </c>
      <c r="E32" s="297"/>
      <c r="F32" s="272"/>
      <c r="G32" s="299" t="s">
        <v>250</v>
      </c>
      <c r="H32" s="300" t="s">
        <v>251</v>
      </c>
      <c r="I32" s="130" t="s">
        <v>160</v>
      </c>
      <c r="J32" s="130"/>
      <c r="K32" s="104">
        <v>85074</v>
      </c>
      <c r="L32" s="180"/>
      <c r="M32" s="180"/>
      <c r="N32" s="166">
        <f t="shared" ref="N32:N70" si="17">IF(E32&gt;0,K32,0)</f>
        <v>0</v>
      </c>
      <c r="O32" s="301">
        <f t="shared" si="15"/>
        <v>85074</v>
      </c>
      <c r="P32" s="104">
        <v>76196</v>
      </c>
      <c r="Q32" s="166">
        <f t="shared" ref="Q32:Q65" si="18">SUM(U32:AF32)</f>
        <v>7088</v>
      </c>
      <c r="R32" s="167">
        <f t="shared" si="3"/>
        <v>83284</v>
      </c>
      <c r="S32" s="167">
        <f t="shared" si="4"/>
        <v>1790</v>
      </c>
      <c r="T32" s="177"/>
      <c r="U32" s="235">
        <f t="shared" ref="U32:X82" si="19">INT($O32/$E$4)</f>
        <v>1772</v>
      </c>
      <c r="V32" s="234">
        <f t="shared" si="19"/>
        <v>1772</v>
      </c>
      <c r="W32" s="234">
        <f t="shared" si="19"/>
        <v>1772</v>
      </c>
      <c r="X32" s="234">
        <f t="shared" si="19"/>
        <v>1772</v>
      </c>
      <c r="Y32" s="234"/>
      <c r="Z32" s="234"/>
      <c r="AA32" s="234"/>
      <c r="AB32" s="234"/>
      <c r="AC32" s="234"/>
      <c r="AD32" s="234"/>
      <c r="AE32" s="234"/>
      <c r="AF32" s="236"/>
      <c r="AI32" s="19"/>
      <c r="AJ32" s="14"/>
      <c r="AK32" s="6"/>
      <c r="AL32" s="20"/>
      <c r="AM32" s="5"/>
    </row>
    <row r="33" spans="2:39" x14ac:dyDescent="0.3">
      <c r="B33" s="296">
        <f t="shared" si="8"/>
        <v>27</v>
      </c>
      <c r="C33" s="297" t="s">
        <v>24</v>
      </c>
      <c r="D33" s="298">
        <v>44742</v>
      </c>
      <c r="E33" s="297"/>
      <c r="F33" s="272"/>
      <c r="G33" s="299" t="s">
        <v>250</v>
      </c>
      <c r="H33" s="300" t="s">
        <v>251</v>
      </c>
      <c r="I33" s="130" t="s">
        <v>160</v>
      </c>
      <c r="J33" s="130"/>
      <c r="K33" s="104">
        <v>85074</v>
      </c>
      <c r="L33" s="180"/>
      <c r="M33" s="180"/>
      <c r="N33" s="166">
        <f t="shared" si="17"/>
        <v>0</v>
      </c>
      <c r="O33" s="301">
        <f t="shared" ref="O33:O34" si="20">K33+L33-M33-N33</f>
        <v>85074</v>
      </c>
      <c r="P33" s="104">
        <v>76196</v>
      </c>
      <c r="Q33" s="166">
        <f t="shared" si="18"/>
        <v>7088</v>
      </c>
      <c r="R33" s="167">
        <f t="shared" si="3"/>
        <v>83284</v>
      </c>
      <c r="S33" s="167">
        <f t="shared" si="4"/>
        <v>1790</v>
      </c>
      <c r="T33" s="177"/>
      <c r="U33" s="235">
        <f t="shared" si="19"/>
        <v>1772</v>
      </c>
      <c r="V33" s="234">
        <f t="shared" si="19"/>
        <v>1772</v>
      </c>
      <c r="W33" s="234">
        <f t="shared" si="19"/>
        <v>1772</v>
      </c>
      <c r="X33" s="234">
        <f t="shared" si="19"/>
        <v>1772</v>
      </c>
      <c r="Y33" s="234"/>
      <c r="Z33" s="234"/>
      <c r="AA33" s="234"/>
      <c r="AB33" s="234"/>
      <c r="AC33" s="234"/>
      <c r="AD33" s="234"/>
      <c r="AE33" s="234"/>
      <c r="AF33" s="236"/>
      <c r="AI33" s="19"/>
      <c r="AJ33" s="14"/>
      <c r="AK33" s="6"/>
      <c r="AL33" s="20"/>
      <c r="AM33" s="5"/>
    </row>
    <row r="34" spans="2:39" x14ac:dyDescent="0.3">
      <c r="B34" s="296">
        <f t="shared" si="8"/>
        <v>28</v>
      </c>
      <c r="C34" s="297" t="s">
        <v>24</v>
      </c>
      <c r="D34" s="298">
        <v>44742</v>
      </c>
      <c r="E34" s="297"/>
      <c r="F34" s="272"/>
      <c r="G34" s="299" t="s">
        <v>250</v>
      </c>
      <c r="H34" s="300" t="s">
        <v>251</v>
      </c>
      <c r="I34" s="130" t="s">
        <v>160</v>
      </c>
      <c r="J34" s="130"/>
      <c r="K34" s="104">
        <v>85074</v>
      </c>
      <c r="L34" s="180"/>
      <c r="M34" s="180"/>
      <c r="N34" s="166">
        <f t="shared" si="17"/>
        <v>0</v>
      </c>
      <c r="O34" s="301">
        <f t="shared" si="20"/>
        <v>85074</v>
      </c>
      <c r="P34" s="104">
        <v>76196</v>
      </c>
      <c r="Q34" s="166">
        <f t="shared" si="18"/>
        <v>7088</v>
      </c>
      <c r="R34" s="167">
        <f t="shared" si="3"/>
        <v>83284</v>
      </c>
      <c r="S34" s="167">
        <f t="shared" si="4"/>
        <v>1790</v>
      </c>
      <c r="T34" s="177"/>
      <c r="U34" s="235">
        <f t="shared" si="19"/>
        <v>1772</v>
      </c>
      <c r="V34" s="234">
        <f t="shared" si="19"/>
        <v>1772</v>
      </c>
      <c r="W34" s="234">
        <f t="shared" si="19"/>
        <v>1772</v>
      </c>
      <c r="X34" s="234">
        <f t="shared" si="19"/>
        <v>1772</v>
      </c>
      <c r="Y34" s="234"/>
      <c r="Z34" s="234"/>
      <c r="AA34" s="234"/>
      <c r="AB34" s="234"/>
      <c r="AC34" s="234"/>
      <c r="AD34" s="234"/>
      <c r="AE34" s="234"/>
      <c r="AF34" s="236"/>
      <c r="AI34" s="19"/>
      <c r="AJ34" s="14"/>
      <c r="AK34" s="6"/>
      <c r="AL34" s="20"/>
      <c r="AM34" s="5"/>
    </row>
    <row r="35" spans="2:39" x14ac:dyDescent="0.3">
      <c r="B35" s="296">
        <f t="shared" si="8"/>
        <v>29</v>
      </c>
      <c r="C35" s="297" t="s">
        <v>24</v>
      </c>
      <c r="D35" s="298">
        <v>44742</v>
      </c>
      <c r="E35" s="297"/>
      <c r="F35" s="272"/>
      <c r="G35" s="299" t="s">
        <v>250</v>
      </c>
      <c r="H35" s="300" t="s">
        <v>251</v>
      </c>
      <c r="I35" s="130" t="s">
        <v>160</v>
      </c>
      <c r="J35" s="130"/>
      <c r="K35" s="104">
        <v>85074</v>
      </c>
      <c r="L35" s="180"/>
      <c r="M35" s="180"/>
      <c r="N35" s="166">
        <f t="shared" si="17"/>
        <v>0</v>
      </c>
      <c r="O35" s="301">
        <f t="shared" ref="O35:O78" si="21">K35+L35-M35-N35</f>
        <v>85074</v>
      </c>
      <c r="P35" s="104">
        <v>76196</v>
      </c>
      <c r="Q35" s="166">
        <f t="shared" si="18"/>
        <v>7088</v>
      </c>
      <c r="R35" s="167">
        <f t="shared" si="3"/>
        <v>83284</v>
      </c>
      <c r="S35" s="167">
        <f t="shared" si="4"/>
        <v>1790</v>
      </c>
      <c r="T35" s="177"/>
      <c r="U35" s="235">
        <f t="shared" si="19"/>
        <v>1772</v>
      </c>
      <c r="V35" s="234">
        <f t="shared" si="19"/>
        <v>1772</v>
      </c>
      <c r="W35" s="234">
        <f t="shared" si="19"/>
        <v>1772</v>
      </c>
      <c r="X35" s="234">
        <f t="shared" si="19"/>
        <v>1772</v>
      </c>
      <c r="Y35" s="234"/>
      <c r="Z35" s="234"/>
      <c r="AA35" s="234"/>
      <c r="AB35" s="234"/>
      <c r="AC35" s="234"/>
      <c r="AD35" s="234"/>
      <c r="AE35" s="234"/>
      <c r="AF35" s="236"/>
      <c r="AI35" s="19"/>
      <c r="AJ35" s="14"/>
      <c r="AK35" s="6"/>
      <c r="AL35" s="20"/>
      <c r="AM35" s="5"/>
    </row>
    <row r="36" spans="2:39" x14ac:dyDescent="0.3">
      <c r="B36" s="13">
        <f t="shared" si="8"/>
        <v>30</v>
      </c>
      <c r="C36" s="47" t="s">
        <v>24</v>
      </c>
      <c r="D36" s="70">
        <v>44742</v>
      </c>
      <c r="E36" s="47"/>
      <c r="F36" s="174"/>
      <c r="G36" s="172" t="s">
        <v>250</v>
      </c>
      <c r="H36" s="170" t="s">
        <v>251</v>
      </c>
      <c r="I36" s="6" t="s">
        <v>160</v>
      </c>
      <c r="J36" s="6"/>
      <c r="K36" s="25">
        <v>85074</v>
      </c>
      <c r="L36" s="7"/>
      <c r="M36" s="7"/>
      <c r="N36" s="166">
        <f t="shared" si="17"/>
        <v>0</v>
      </c>
      <c r="O36" s="177">
        <f t="shared" si="21"/>
        <v>85074</v>
      </c>
      <c r="P36" s="25">
        <v>76196</v>
      </c>
      <c r="Q36" s="17">
        <f>SUM(U36:AF36)</f>
        <v>7088</v>
      </c>
      <c r="R36" s="30">
        <f t="shared" si="3"/>
        <v>83284</v>
      </c>
      <c r="S36" s="30">
        <f t="shared" si="4"/>
        <v>1790</v>
      </c>
      <c r="T36" s="177"/>
      <c r="U36" s="235">
        <f t="shared" si="19"/>
        <v>1772</v>
      </c>
      <c r="V36" s="234">
        <f t="shared" si="19"/>
        <v>1772</v>
      </c>
      <c r="W36" s="234">
        <f t="shared" si="19"/>
        <v>1772</v>
      </c>
      <c r="X36" s="234">
        <f t="shared" si="19"/>
        <v>1772</v>
      </c>
      <c r="Y36" s="234"/>
      <c r="Z36" s="234"/>
      <c r="AA36" s="234"/>
      <c r="AB36" s="234"/>
      <c r="AC36" s="234"/>
      <c r="AD36" s="234"/>
      <c r="AE36" s="234"/>
      <c r="AF36" s="236"/>
      <c r="AI36" s="19"/>
      <c r="AJ36" s="14"/>
      <c r="AK36" s="6"/>
      <c r="AL36" s="20"/>
      <c r="AM36" s="5"/>
    </row>
    <row r="37" spans="2:39" x14ac:dyDescent="0.3">
      <c r="B37" s="13">
        <f t="shared" si="8"/>
        <v>31</v>
      </c>
      <c r="C37" s="47" t="s">
        <v>24</v>
      </c>
      <c r="D37" s="70">
        <v>44742</v>
      </c>
      <c r="E37" s="47"/>
      <c r="F37" s="174"/>
      <c r="G37" s="172" t="s">
        <v>250</v>
      </c>
      <c r="H37" s="170" t="s">
        <v>251</v>
      </c>
      <c r="I37" s="6" t="s">
        <v>160</v>
      </c>
      <c r="J37" s="6"/>
      <c r="K37" s="25">
        <v>85074</v>
      </c>
      <c r="L37" s="7"/>
      <c r="M37" s="7"/>
      <c r="N37" s="166">
        <f t="shared" si="17"/>
        <v>0</v>
      </c>
      <c r="O37" s="177">
        <f t="shared" si="21"/>
        <v>85074</v>
      </c>
      <c r="P37" s="25">
        <v>76196</v>
      </c>
      <c r="Q37" s="17">
        <f t="shared" si="18"/>
        <v>7088</v>
      </c>
      <c r="R37" s="30">
        <f t="shared" si="3"/>
        <v>83284</v>
      </c>
      <c r="S37" s="30">
        <f t="shared" si="4"/>
        <v>1790</v>
      </c>
      <c r="T37" s="177"/>
      <c r="U37" s="235">
        <f t="shared" si="19"/>
        <v>1772</v>
      </c>
      <c r="V37" s="234">
        <f t="shared" si="19"/>
        <v>1772</v>
      </c>
      <c r="W37" s="234">
        <f t="shared" si="19"/>
        <v>1772</v>
      </c>
      <c r="X37" s="234">
        <f t="shared" si="19"/>
        <v>1772</v>
      </c>
      <c r="Y37" s="234"/>
      <c r="Z37" s="234"/>
      <c r="AA37" s="234"/>
      <c r="AB37" s="234"/>
      <c r="AC37" s="234"/>
      <c r="AD37" s="234"/>
      <c r="AE37" s="234"/>
      <c r="AF37" s="236"/>
      <c r="AI37" s="19"/>
      <c r="AJ37" s="14"/>
      <c r="AK37" s="6"/>
      <c r="AL37" s="20"/>
      <c r="AM37" s="5"/>
    </row>
    <row r="38" spans="2:39" x14ac:dyDescent="0.3">
      <c r="B38" s="13">
        <f t="shared" si="8"/>
        <v>32</v>
      </c>
      <c r="C38" s="47" t="s">
        <v>24</v>
      </c>
      <c r="D38" s="70">
        <v>44742</v>
      </c>
      <c r="E38" s="47"/>
      <c r="F38" s="174"/>
      <c r="G38" s="172" t="s">
        <v>250</v>
      </c>
      <c r="H38" s="170" t="s">
        <v>251</v>
      </c>
      <c r="I38" s="6" t="s">
        <v>160</v>
      </c>
      <c r="J38" s="6"/>
      <c r="K38" s="25">
        <v>85074</v>
      </c>
      <c r="L38" s="7"/>
      <c r="M38" s="7"/>
      <c r="N38" s="166">
        <f t="shared" si="17"/>
        <v>0</v>
      </c>
      <c r="O38" s="177">
        <f t="shared" si="21"/>
        <v>85074</v>
      </c>
      <c r="P38" s="25">
        <v>76196</v>
      </c>
      <c r="Q38" s="17">
        <f t="shared" si="18"/>
        <v>7088</v>
      </c>
      <c r="R38" s="30">
        <f t="shared" si="3"/>
        <v>83284</v>
      </c>
      <c r="S38" s="30">
        <f t="shared" si="4"/>
        <v>1790</v>
      </c>
      <c r="T38" s="177"/>
      <c r="U38" s="235">
        <f t="shared" si="19"/>
        <v>1772</v>
      </c>
      <c r="V38" s="234">
        <f t="shared" si="19"/>
        <v>1772</v>
      </c>
      <c r="W38" s="234">
        <f t="shared" si="19"/>
        <v>1772</v>
      </c>
      <c r="X38" s="234">
        <f t="shared" si="19"/>
        <v>1772</v>
      </c>
      <c r="Y38" s="234"/>
      <c r="Z38" s="234"/>
      <c r="AA38" s="234"/>
      <c r="AB38" s="234"/>
      <c r="AC38" s="234"/>
      <c r="AD38" s="234"/>
      <c r="AE38" s="234"/>
      <c r="AF38" s="236"/>
      <c r="AI38" s="19"/>
      <c r="AJ38" s="14"/>
      <c r="AK38" s="6"/>
      <c r="AL38" s="20"/>
      <c r="AM38" s="5"/>
    </row>
    <row r="39" spans="2:39" x14ac:dyDescent="0.3">
      <c r="B39" s="13">
        <f t="shared" si="8"/>
        <v>33</v>
      </c>
      <c r="C39" s="47" t="s">
        <v>24</v>
      </c>
      <c r="D39" s="70">
        <v>44742</v>
      </c>
      <c r="E39" s="47"/>
      <c r="F39" s="174"/>
      <c r="G39" s="172" t="s">
        <v>250</v>
      </c>
      <c r="H39" s="170" t="s">
        <v>251</v>
      </c>
      <c r="I39" s="6" t="s">
        <v>160</v>
      </c>
      <c r="J39" s="6"/>
      <c r="K39" s="25">
        <v>85074</v>
      </c>
      <c r="L39" s="7"/>
      <c r="M39" s="7"/>
      <c r="N39" s="166">
        <f t="shared" si="17"/>
        <v>0</v>
      </c>
      <c r="O39" s="177">
        <f t="shared" si="21"/>
        <v>85074</v>
      </c>
      <c r="P39" s="25">
        <v>76196</v>
      </c>
      <c r="Q39" s="17">
        <f t="shared" si="18"/>
        <v>7088</v>
      </c>
      <c r="R39" s="30">
        <f t="shared" ref="R39:R70" si="22">P39+Q39</f>
        <v>83284</v>
      </c>
      <c r="S39" s="30">
        <f t="shared" ref="S39:S70" si="23">IF(N39&gt;0,0,O39-R39)</f>
        <v>1790</v>
      </c>
      <c r="T39" s="177"/>
      <c r="U39" s="235">
        <f t="shared" si="19"/>
        <v>1772</v>
      </c>
      <c r="V39" s="234">
        <f t="shared" si="19"/>
        <v>1772</v>
      </c>
      <c r="W39" s="234">
        <f t="shared" si="19"/>
        <v>1772</v>
      </c>
      <c r="X39" s="234">
        <f t="shared" si="19"/>
        <v>1772</v>
      </c>
      <c r="Y39" s="234"/>
      <c r="Z39" s="234"/>
      <c r="AA39" s="234"/>
      <c r="AB39" s="234"/>
      <c r="AC39" s="234"/>
      <c r="AD39" s="234"/>
      <c r="AE39" s="234"/>
      <c r="AF39" s="236"/>
      <c r="AI39" s="19"/>
      <c r="AJ39" s="14"/>
      <c r="AK39" s="6"/>
      <c r="AL39" s="20"/>
      <c r="AM39" s="5"/>
    </row>
    <row r="40" spans="2:39" x14ac:dyDescent="0.3">
      <c r="B40" s="13">
        <f t="shared" si="8"/>
        <v>34</v>
      </c>
      <c r="C40" s="47" t="s">
        <v>24</v>
      </c>
      <c r="D40" s="70">
        <v>44742</v>
      </c>
      <c r="E40" s="47"/>
      <c r="F40" s="174"/>
      <c r="G40" s="172" t="s">
        <v>250</v>
      </c>
      <c r="H40" s="170" t="s">
        <v>251</v>
      </c>
      <c r="I40" s="6" t="s">
        <v>160</v>
      </c>
      <c r="J40" s="6"/>
      <c r="K40" s="25">
        <v>85074</v>
      </c>
      <c r="L40" s="7"/>
      <c r="M40" s="7"/>
      <c r="N40" s="166">
        <f t="shared" si="17"/>
        <v>0</v>
      </c>
      <c r="O40" s="177">
        <f t="shared" si="21"/>
        <v>85074</v>
      </c>
      <c r="P40" s="25">
        <v>76196</v>
      </c>
      <c r="Q40" s="17">
        <f t="shared" si="18"/>
        <v>7088</v>
      </c>
      <c r="R40" s="30">
        <f t="shared" si="22"/>
        <v>83284</v>
      </c>
      <c r="S40" s="30">
        <f t="shared" si="23"/>
        <v>1790</v>
      </c>
      <c r="T40" s="177"/>
      <c r="U40" s="235">
        <f t="shared" si="19"/>
        <v>1772</v>
      </c>
      <c r="V40" s="234">
        <f t="shared" si="19"/>
        <v>1772</v>
      </c>
      <c r="W40" s="234">
        <f t="shared" si="19"/>
        <v>1772</v>
      </c>
      <c r="X40" s="234">
        <f t="shared" si="19"/>
        <v>1772</v>
      </c>
      <c r="Y40" s="234"/>
      <c r="Z40" s="234"/>
      <c r="AA40" s="234"/>
      <c r="AB40" s="234"/>
      <c r="AC40" s="234"/>
      <c r="AD40" s="234"/>
      <c r="AE40" s="234"/>
      <c r="AF40" s="236"/>
      <c r="AI40" s="19"/>
      <c r="AJ40" s="14"/>
      <c r="AK40" s="6"/>
      <c r="AL40" s="20"/>
      <c r="AM40" s="5"/>
    </row>
    <row r="41" spans="2:39" x14ac:dyDescent="0.3">
      <c r="B41" s="13">
        <f t="shared" si="8"/>
        <v>35</v>
      </c>
      <c r="C41" s="47" t="s">
        <v>24</v>
      </c>
      <c r="D41" s="70">
        <v>44742</v>
      </c>
      <c r="E41" s="47"/>
      <c r="F41" s="174"/>
      <c r="G41" s="172" t="s">
        <v>250</v>
      </c>
      <c r="H41" s="170" t="s">
        <v>251</v>
      </c>
      <c r="I41" s="6" t="s">
        <v>160</v>
      </c>
      <c r="J41" s="6"/>
      <c r="K41" s="25">
        <v>85074</v>
      </c>
      <c r="L41" s="7"/>
      <c r="M41" s="7"/>
      <c r="N41" s="166">
        <f t="shared" si="17"/>
        <v>0</v>
      </c>
      <c r="O41" s="177">
        <f t="shared" si="21"/>
        <v>85074</v>
      </c>
      <c r="P41" s="25">
        <v>76196</v>
      </c>
      <c r="Q41" s="17">
        <f t="shared" si="18"/>
        <v>7088</v>
      </c>
      <c r="R41" s="30">
        <f t="shared" si="22"/>
        <v>83284</v>
      </c>
      <c r="S41" s="30">
        <f t="shared" si="23"/>
        <v>1790</v>
      </c>
      <c r="T41" s="177"/>
      <c r="U41" s="235">
        <f t="shared" si="19"/>
        <v>1772</v>
      </c>
      <c r="V41" s="234">
        <f t="shared" si="19"/>
        <v>1772</v>
      </c>
      <c r="W41" s="234">
        <f t="shared" si="19"/>
        <v>1772</v>
      </c>
      <c r="X41" s="234">
        <f t="shared" si="19"/>
        <v>1772</v>
      </c>
      <c r="Y41" s="234"/>
      <c r="Z41" s="234"/>
      <c r="AA41" s="234"/>
      <c r="AB41" s="234"/>
      <c r="AC41" s="234"/>
      <c r="AD41" s="234"/>
      <c r="AE41" s="234"/>
      <c r="AF41" s="236"/>
      <c r="AI41" s="19"/>
      <c r="AJ41" s="14"/>
      <c r="AK41" s="6"/>
      <c r="AL41" s="20"/>
      <c r="AM41" s="5"/>
    </row>
    <row r="42" spans="2:39" x14ac:dyDescent="0.3">
      <c r="B42" s="13">
        <f t="shared" si="8"/>
        <v>36</v>
      </c>
      <c r="C42" s="47" t="s">
        <v>24</v>
      </c>
      <c r="D42" s="70">
        <v>44742</v>
      </c>
      <c r="E42" s="47"/>
      <c r="F42" s="174"/>
      <c r="G42" s="172" t="s">
        <v>250</v>
      </c>
      <c r="H42" s="170" t="s">
        <v>251</v>
      </c>
      <c r="I42" s="6" t="s">
        <v>160</v>
      </c>
      <c r="J42" s="6"/>
      <c r="K42" s="25">
        <v>85074</v>
      </c>
      <c r="L42" s="7"/>
      <c r="M42" s="7"/>
      <c r="N42" s="166">
        <f t="shared" si="17"/>
        <v>0</v>
      </c>
      <c r="O42" s="177">
        <f t="shared" si="21"/>
        <v>85074</v>
      </c>
      <c r="P42" s="25">
        <v>76196</v>
      </c>
      <c r="Q42" s="17">
        <f t="shared" si="18"/>
        <v>7088</v>
      </c>
      <c r="R42" s="30">
        <f t="shared" si="22"/>
        <v>83284</v>
      </c>
      <c r="S42" s="30">
        <f t="shared" si="23"/>
        <v>1790</v>
      </c>
      <c r="T42" s="177"/>
      <c r="U42" s="235">
        <f t="shared" si="19"/>
        <v>1772</v>
      </c>
      <c r="V42" s="234">
        <f t="shared" si="19"/>
        <v>1772</v>
      </c>
      <c r="W42" s="234">
        <f t="shared" si="19"/>
        <v>1772</v>
      </c>
      <c r="X42" s="234">
        <f t="shared" si="19"/>
        <v>1772</v>
      </c>
      <c r="Y42" s="234"/>
      <c r="Z42" s="234"/>
      <c r="AA42" s="234"/>
      <c r="AB42" s="234"/>
      <c r="AC42" s="234"/>
      <c r="AD42" s="234"/>
      <c r="AE42" s="234"/>
      <c r="AF42" s="236"/>
      <c r="AI42" s="19"/>
      <c r="AJ42" s="14"/>
      <c r="AK42" s="6"/>
      <c r="AL42" s="20"/>
      <c r="AM42" s="5"/>
    </row>
    <row r="43" spans="2:39" x14ac:dyDescent="0.3">
      <c r="B43" s="13">
        <f t="shared" si="8"/>
        <v>37</v>
      </c>
      <c r="C43" s="47" t="s">
        <v>24</v>
      </c>
      <c r="D43" s="70">
        <v>44742</v>
      </c>
      <c r="E43" s="47"/>
      <c r="F43" s="174"/>
      <c r="G43" s="172" t="s">
        <v>250</v>
      </c>
      <c r="H43" s="170" t="s">
        <v>251</v>
      </c>
      <c r="I43" s="6" t="s">
        <v>160</v>
      </c>
      <c r="J43" s="6"/>
      <c r="K43" s="25">
        <v>85074</v>
      </c>
      <c r="L43" s="7"/>
      <c r="M43" s="7"/>
      <c r="N43" s="166">
        <f t="shared" si="17"/>
        <v>0</v>
      </c>
      <c r="O43" s="177">
        <f t="shared" si="21"/>
        <v>85074</v>
      </c>
      <c r="P43" s="25">
        <v>76196</v>
      </c>
      <c r="Q43" s="17">
        <f t="shared" si="18"/>
        <v>7088</v>
      </c>
      <c r="R43" s="30">
        <f t="shared" si="22"/>
        <v>83284</v>
      </c>
      <c r="S43" s="30">
        <f t="shared" si="23"/>
        <v>1790</v>
      </c>
      <c r="T43" s="177"/>
      <c r="U43" s="235">
        <f t="shared" si="19"/>
        <v>1772</v>
      </c>
      <c r="V43" s="234">
        <f t="shared" si="19"/>
        <v>1772</v>
      </c>
      <c r="W43" s="234">
        <f t="shared" si="19"/>
        <v>1772</v>
      </c>
      <c r="X43" s="234">
        <f t="shared" si="19"/>
        <v>1772</v>
      </c>
      <c r="Y43" s="234"/>
      <c r="Z43" s="234"/>
      <c r="AA43" s="234"/>
      <c r="AB43" s="234"/>
      <c r="AC43" s="234"/>
      <c r="AD43" s="234"/>
      <c r="AE43" s="234"/>
      <c r="AF43" s="236"/>
      <c r="AI43" s="19"/>
      <c r="AJ43" s="14"/>
      <c r="AK43" s="6"/>
      <c r="AL43" s="20"/>
      <c r="AM43" s="5"/>
    </row>
    <row r="44" spans="2:39" x14ac:dyDescent="0.3">
      <c r="B44" s="13">
        <f t="shared" si="8"/>
        <v>38</v>
      </c>
      <c r="C44" s="47" t="s">
        <v>24</v>
      </c>
      <c r="D44" s="70">
        <v>44742</v>
      </c>
      <c r="E44" s="47"/>
      <c r="F44" s="174"/>
      <c r="G44" s="172" t="s">
        <v>250</v>
      </c>
      <c r="H44" s="170" t="s">
        <v>251</v>
      </c>
      <c r="I44" s="6" t="s">
        <v>160</v>
      </c>
      <c r="J44" s="6"/>
      <c r="K44" s="25">
        <v>85074</v>
      </c>
      <c r="L44" s="7"/>
      <c r="M44" s="7"/>
      <c r="N44" s="166">
        <f t="shared" si="17"/>
        <v>0</v>
      </c>
      <c r="O44" s="177">
        <f t="shared" si="21"/>
        <v>85074</v>
      </c>
      <c r="P44" s="25">
        <v>76196</v>
      </c>
      <c r="Q44" s="17">
        <f t="shared" si="18"/>
        <v>7088</v>
      </c>
      <c r="R44" s="30">
        <f t="shared" si="22"/>
        <v>83284</v>
      </c>
      <c r="S44" s="30">
        <f t="shared" si="23"/>
        <v>1790</v>
      </c>
      <c r="T44" s="177"/>
      <c r="U44" s="235">
        <f t="shared" si="19"/>
        <v>1772</v>
      </c>
      <c r="V44" s="234">
        <f t="shared" si="19"/>
        <v>1772</v>
      </c>
      <c r="W44" s="234">
        <f t="shared" si="19"/>
        <v>1772</v>
      </c>
      <c r="X44" s="234">
        <f t="shared" si="19"/>
        <v>1772</v>
      </c>
      <c r="Y44" s="234"/>
      <c r="Z44" s="234"/>
      <c r="AA44" s="234"/>
      <c r="AB44" s="234"/>
      <c r="AC44" s="234"/>
      <c r="AD44" s="234"/>
      <c r="AE44" s="234"/>
      <c r="AF44" s="236"/>
      <c r="AI44" s="19"/>
      <c r="AJ44" s="14"/>
      <c r="AK44" s="6"/>
      <c r="AL44" s="20"/>
      <c r="AM44" s="5"/>
    </row>
    <row r="45" spans="2:39" x14ac:dyDescent="0.3">
      <c r="B45" s="13">
        <f t="shared" si="8"/>
        <v>39</v>
      </c>
      <c r="C45" s="47" t="s">
        <v>24</v>
      </c>
      <c r="D45" s="70">
        <v>44742</v>
      </c>
      <c r="E45" s="47"/>
      <c r="F45" s="174"/>
      <c r="G45" s="172" t="s">
        <v>250</v>
      </c>
      <c r="H45" s="170" t="s">
        <v>251</v>
      </c>
      <c r="I45" s="6" t="s">
        <v>160</v>
      </c>
      <c r="J45" s="6"/>
      <c r="K45" s="25">
        <v>85074</v>
      </c>
      <c r="L45" s="7"/>
      <c r="M45" s="7"/>
      <c r="N45" s="166">
        <f t="shared" si="17"/>
        <v>0</v>
      </c>
      <c r="O45" s="177">
        <f t="shared" si="21"/>
        <v>85074</v>
      </c>
      <c r="P45" s="25">
        <v>76196</v>
      </c>
      <c r="Q45" s="17">
        <f t="shared" si="18"/>
        <v>7088</v>
      </c>
      <c r="R45" s="30">
        <f t="shared" si="22"/>
        <v>83284</v>
      </c>
      <c r="S45" s="30">
        <f t="shared" si="23"/>
        <v>1790</v>
      </c>
      <c r="T45" s="177"/>
      <c r="U45" s="235">
        <f t="shared" si="19"/>
        <v>1772</v>
      </c>
      <c r="V45" s="234">
        <f t="shared" si="19"/>
        <v>1772</v>
      </c>
      <c r="W45" s="234">
        <f t="shared" si="19"/>
        <v>1772</v>
      </c>
      <c r="X45" s="234">
        <f t="shared" si="19"/>
        <v>1772</v>
      </c>
      <c r="Y45" s="234"/>
      <c r="Z45" s="234"/>
      <c r="AA45" s="234"/>
      <c r="AB45" s="234"/>
      <c r="AC45" s="234"/>
      <c r="AD45" s="234"/>
      <c r="AE45" s="234"/>
      <c r="AF45" s="236"/>
      <c r="AI45" s="19"/>
      <c r="AJ45" s="14"/>
      <c r="AK45" s="6"/>
      <c r="AL45" s="20"/>
      <c r="AM45" s="5"/>
    </row>
    <row r="46" spans="2:39" x14ac:dyDescent="0.3">
      <c r="B46" s="13">
        <f t="shared" si="8"/>
        <v>40</v>
      </c>
      <c r="C46" s="47" t="s">
        <v>24</v>
      </c>
      <c r="D46" s="70">
        <v>44742</v>
      </c>
      <c r="E46" s="47"/>
      <c r="F46" s="174"/>
      <c r="G46" s="172" t="s">
        <v>250</v>
      </c>
      <c r="H46" s="170" t="s">
        <v>251</v>
      </c>
      <c r="I46" s="6" t="s">
        <v>160</v>
      </c>
      <c r="J46" s="6"/>
      <c r="K46" s="25">
        <v>85074</v>
      </c>
      <c r="L46" s="7"/>
      <c r="M46" s="7"/>
      <c r="N46" s="166">
        <f t="shared" si="17"/>
        <v>0</v>
      </c>
      <c r="O46" s="177">
        <f t="shared" si="21"/>
        <v>85074</v>
      </c>
      <c r="P46" s="25">
        <v>76196</v>
      </c>
      <c r="Q46" s="17">
        <f t="shared" si="18"/>
        <v>7088</v>
      </c>
      <c r="R46" s="30">
        <f t="shared" si="22"/>
        <v>83284</v>
      </c>
      <c r="S46" s="30">
        <f t="shared" si="23"/>
        <v>1790</v>
      </c>
      <c r="T46" s="177"/>
      <c r="U46" s="235">
        <f t="shared" si="19"/>
        <v>1772</v>
      </c>
      <c r="V46" s="234">
        <f t="shared" si="19"/>
        <v>1772</v>
      </c>
      <c r="W46" s="234">
        <f t="shared" si="19"/>
        <v>1772</v>
      </c>
      <c r="X46" s="234">
        <f t="shared" si="19"/>
        <v>1772</v>
      </c>
      <c r="Y46" s="234"/>
      <c r="Z46" s="234"/>
      <c r="AA46" s="234"/>
      <c r="AB46" s="234"/>
      <c r="AC46" s="234"/>
      <c r="AD46" s="234"/>
      <c r="AE46" s="234"/>
      <c r="AF46" s="236"/>
      <c r="AI46" s="19"/>
      <c r="AJ46" s="14"/>
      <c r="AK46" s="6"/>
      <c r="AL46" s="20"/>
      <c r="AM46" s="5"/>
    </row>
    <row r="47" spans="2:39" x14ac:dyDescent="0.3">
      <c r="B47" s="13">
        <f t="shared" si="8"/>
        <v>41</v>
      </c>
      <c r="C47" s="47" t="s">
        <v>24</v>
      </c>
      <c r="D47" s="70">
        <v>44742</v>
      </c>
      <c r="E47" s="47"/>
      <c r="F47" s="174"/>
      <c r="G47" s="172" t="s">
        <v>250</v>
      </c>
      <c r="H47" s="170" t="s">
        <v>251</v>
      </c>
      <c r="I47" s="6" t="s">
        <v>160</v>
      </c>
      <c r="J47" s="6"/>
      <c r="K47" s="25">
        <v>85074</v>
      </c>
      <c r="L47" s="7"/>
      <c r="M47" s="7"/>
      <c r="N47" s="166">
        <f t="shared" si="17"/>
        <v>0</v>
      </c>
      <c r="O47" s="177">
        <f t="shared" si="21"/>
        <v>85074</v>
      </c>
      <c r="P47" s="25">
        <v>76196</v>
      </c>
      <c r="Q47" s="17">
        <f t="shared" si="18"/>
        <v>7088</v>
      </c>
      <c r="R47" s="30">
        <f t="shared" si="22"/>
        <v>83284</v>
      </c>
      <c r="S47" s="30">
        <f t="shared" si="23"/>
        <v>1790</v>
      </c>
      <c r="T47" s="177"/>
      <c r="U47" s="235">
        <f t="shared" si="19"/>
        <v>1772</v>
      </c>
      <c r="V47" s="234">
        <f t="shared" si="19"/>
        <v>1772</v>
      </c>
      <c r="W47" s="234">
        <f t="shared" si="19"/>
        <v>1772</v>
      </c>
      <c r="X47" s="234">
        <f t="shared" si="19"/>
        <v>1772</v>
      </c>
      <c r="Y47" s="234"/>
      <c r="Z47" s="234"/>
      <c r="AA47" s="234"/>
      <c r="AB47" s="234"/>
      <c r="AC47" s="234"/>
      <c r="AD47" s="234"/>
      <c r="AE47" s="234"/>
      <c r="AF47" s="236"/>
      <c r="AI47" s="19"/>
      <c r="AJ47" s="14"/>
      <c r="AK47" s="6"/>
      <c r="AL47" s="20"/>
      <c r="AM47" s="5"/>
    </row>
    <row r="48" spans="2:39" x14ac:dyDescent="0.3">
      <c r="B48" s="13">
        <f t="shared" si="8"/>
        <v>42</v>
      </c>
      <c r="C48" s="47" t="s">
        <v>24</v>
      </c>
      <c r="D48" s="70">
        <v>44742</v>
      </c>
      <c r="E48" s="47"/>
      <c r="F48" s="174"/>
      <c r="G48" s="172" t="s">
        <v>250</v>
      </c>
      <c r="H48" s="170" t="s">
        <v>251</v>
      </c>
      <c r="I48" s="6" t="s">
        <v>160</v>
      </c>
      <c r="J48" s="6"/>
      <c r="K48" s="25">
        <v>85074</v>
      </c>
      <c r="L48" s="7"/>
      <c r="M48" s="7"/>
      <c r="N48" s="166">
        <f t="shared" si="17"/>
        <v>0</v>
      </c>
      <c r="O48" s="177">
        <f t="shared" si="21"/>
        <v>85074</v>
      </c>
      <c r="P48" s="25">
        <v>76196</v>
      </c>
      <c r="Q48" s="17">
        <f t="shared" si="18"/>
        <v>7088</v>
      </c>
      <c r="R48" s="30">
        <f t="shared" si="22"/>
        <v>83284</v>
      </c>
      <c r="S48" s="30">
        <f t="shared" si="23"/>
        <v>1790</v>
      </c>
      <c r="T48" s="177"/>
      <c r="U48" s="235">
        <f t="shared" si="19"/>
        <v>1772</v>
      </c>
      <c r="V48" s="234">
        <f t="shared" si="19"/>
        <v>1772</v>
      </c>
      <c r="W48" s="234">
        <f t="shared" si="19"/>
        <v>1772</v>
      </c>
      <c r="X48" s="234">
        <f t="shared" si="19"/>
        <v>1772</v>
      </c>
      <c r="Y48" s="234"/>
      <c r="Z48" s="234"/>
      <c r="AA48" s="234"/>
      <c r="AB48" s="234"/>
      <c r="AC48" s="234"/>
      <c r="AD48" s="234"/>
      <c r="AE48" s="234"/>
      <c r="AF48" s="236"/>
      <c r="AI48" s="19"/>
      <c r="AJ48" s="14"/>
      <c r="AK48" s="6"/>
      <c r="AL48" s="20"/>
      <c r="AM48" s="5"/>
    </row>
    <row r="49" spans="2:39" x14ac:dyDescent="0.3">
      <c r="B49" s="13">
        <f t="shared" si="8"/>
        <v>43</v>
      </c>
      <c r="C49" s="47" t="s">
        <v>24</v>
      </c>
      <c r="D49" s="70">
        <v>44742</v>
      </c>
      <c r="E49" s="47"/>
      <c r="F49" s="174"/>
      <c r="G49" s="172" t="s">
        <v>250</v>
      </c>
      <c r="H49" s="170" t="s">
        <v>251</v>
      </c>
      <c r="I49" s="6" t="s">
        <v>160</v>
      </c>
      <c r="J49" s="6"/>
      <c r="K49" s="25">
        <v>85074</v>
      </c>
      <c r="L49" s="7"/>
      <c r="M49" s="7"/>
      <c r="N49" s="166">
        <f t="shared" si="17"/>
        <v>0</v>
      </c>
      <c r="O49" s="177">
        <f t="shared" si="21"/>
        <v>85074</v>
      </c>
      <c r="P49" s="25">
        <v>76196</v>
      </c>
      <c r="Q49" s="17">
        <f t="shared" si="18"/>
        <v>7088</v>
      </c>
      <c r="R49" s="30">
        <f t="shared" si="22"/>
        <v>83284</v>
      </c>
      <c r="S49" s="30">
        <f t="shared" si="23"/>
        <v>1790</v>
      </c>
      <c r="T49" s="177"/>
      <c r="U49" s="235">
        <f t="shared" si="19"/>
        <v>1772</v>
      </c>
      <c r="V49" s="234">
        <f t="shared" si="19"/>
        <v>1772</v>
      </c>
      <c r="W49" s="234">
        <f t="shared" si="19"/>
        <v>1772</v>
      </c>
      <c r="X49" s="234">
        <f t="shared" si="19"/>
        <v>1772</v>
      </c>
      <c r="Y49" s="234"/>
      <c r="Z49" s="234"/>
      <c r="AA49" s="234"/>
      <c r="AB49" s="234"/>
      <c r="AC49" s="234"/>
      <c r="AD49" s="234"/>
      <c r="AE49" s="234"/>
      <c r="AF49" s="236"/>
      <c r="AI49" s="19"/>
      <c r="AJ49" s="14"/>
      <c r="AK49" s="6"/>
      <c r="AL49" s="20"/>
      <c r="AM49" s="5"/>
    </row>
    <row r="50" spans="2:39" x14ac:dyDescent="0.3">
      <c r="B50" s="13">
        <f t="shared" si="8"/>
        <v>44</v>
      </c>
      <c r="C50" s="47" t="s">
        <v>24</v>
      </c>
      <c r="D50" s="70">
        <v>44742</v>
      </c>
      <c r="E50" s="47"/>
      <c r="F50" s="174"/>
      <c r="G50" s="172" t="s">
        <v>250</v>
      </c>
      <c r="H50" s="170" t="s">
        <v>251</v>
      </c>
      <c r="I50" s="6" t="s">
        <v>160</v>
      </c>
      <c r="J50" s="6"/>
      <c r="K50" s="25">
        <v>85074</v>
      </c>
      <c r="L50" s="7"/>
      <c r="M50" s="7"/>
      <c r="N50" s="166">
        <f t="shared" si="17"/>
        <v>0</v>
      </c>
      <c r="O50" s="177">
        <f t="shared" si="21"/>
        <v>85074</v>
      </c>
      <c r="P50" s="25">
        <v>76196</v>
      </c>
      <c r="Q50" s="17">
        <f t="shared" si="18"/>
        <v>7088</v>
      </c>
      <c r="R50" s="30">
        <f t="shared" si="22"/>
        <v>83284</v>
      </c>
      <c r="S50" s="30">
        <f t="shared" si="23"/>
        <v>1790</v>
      </c>
      <c r="T50" s="177"/>
      <c r="U50" s="235">
        <f t="shared" si="19"/>
        <v>1772</v>
      </c>
      <c r="V50" s="234">
        <f t="shared" si="19"/>
        <v>1772</v>
      </c>
      <c r="W50" s="234">
        <f t="shared" si="19"/>
        <v>1772</v>
      </c>
      <c r="X50" s="234">
        <f t="shared" si="19"/>
        <v>1772</v>
      </c>
      <c r="Y50" s="234"/>
      <c r="Z50" s="234"/>
      <c r="AA50" s="234"/>
      <c r="AB50" s="234"/>
      <c r="AC50" s="234"/>
      <c r="AD50" s="234"/>
      <c r="AE50" s="234"/>
      <c r="AF50" s="236"/>
      <c r="AI50" s="19"/>
      <c r="AJ50" s="14"/>
      <c r="AK50" s="6"/>
      <c r="AL50" s="20"/>
      <c r="AM50" s="5"/>
    </row>
    <row r="51" spans="2:39" x14ac:dyDescent="0.3">
      <c r="B51" s="13">
        <f t="shared" si="8"/>
        <v>45</v>
      </c>
      <c r="C51" s="47" t="s">
        <v>24</v>
      </c>
      <c r="D51" s="70">
        <v>44742</v>
      </c>
      <c r="E51" s="47"/>
      <c r="F51" s="174"/>
      <c r="G51" s="172" t="s">
        <v>250</v>
      </c>
      <c r="H51" s="170" t="s">
        <v>251</v>
      </c>
      <c r="I51" s="6" t="s">
        <v>160</v>
      </c>
      <c r="J51" s="6"/>
      <c r="K51" s="25">
        <v>85074</v>
      </c>
      <c r="L51" s="7"/>
      <c r="M51" s="7"/>
      <c r="N51" s="166">
        <f t="shared" si="17"/>
        <v>0</v>
      </c>
      <c r="O51" s="177">
        <f t="shared" si="21"/>
        <v>85074</v>
      </c>
      <c r="P51" s="25">
        <v>76196</v>
      </c>
      <c r="Q51" s="17">
        <f t="shared" si="18"/>
        <v>7088</v>
      </c>
      <c r="R51" s="30">
        <f t="shared" si="22"/>
        <v>83284</v>
      </c>
      <c r="S51" s="30">
        <f t="shared" si="23"/>
        <v>1790</v>
      </c>
      <c r="T51" s="177"/>
      <c r="U51" s="235">
        <f t="shared" si="19"/>
        <v>1772</v>
      </c>
      <c r="V51" s="234">
        <f t="shared" si="19"/>
        <v>1772</v>
      </c>
      <c r="W51" s="234">
        <f t="shared" si="19"/>
        <v>1772</v>
      </c>
      <c r="X51" s="234">
        <f t="shared" si="19"/>
        <v>1772</v>
      </c>
      <c r="Y51" s="234"/>
      <c r="Z51" s="234"/>
      <c r="AA51" s="234"/>
      <c r="AB51" s="234"/>
      <c r="AC51" s="234"/>
      <c r="AD51" s="234"/>
      <c r="AE51" s="234"/>
      <c r="AF51" s="236"/>
      <c r="AI51" s="19"/>
      <c r="AJ51" s="14"/>
      <c r="AK51" s="6"/>
      <c r="AL51" s="20"/>
      <c r="AM51" s="5"/>
    </row>
    <row r="52" spans="2:39" x14ac:dyDescent="0.3">
      <c r="B52" s="13">
        <f t="shared" si="8"/>
        <v>46</v>
      </c>
      <c r="C52" s="47" t="s">
        <v>24</v>
      </c>
      <c r="D52" s="70">
        <v>44742</v>
      </c>
      <c r="E52" s="47"/>
      <c r="F52" s="174"/>
      <c r="G52" s="172" t="s">
        <v>250</v>
      </c>
      <c r="H52" s="170" t="s">
        <v>251</v>
      </c>
      <c r="I52" s="6" t="s">
        <v>160</v>
      </c>
      <c r="J52" s="6"/>
      <c r="K52" s="25">
        <v>85074</v>
      </c>
      <c r="L52" s="7"/>
      <c r="M52" s="7"/>
      <c r="N52" s="166">
        <f t="shared" si="17"/>
        <v>0</v>
      </c>
      <c r="O52" s="177">
        <f t="shared" si="21"/>
        <v>85074</v>
      </c>
      <c r="P52" s="25">
        <v>76196</v>
      </c>
      <c r="Q52" s="17">
        <f t="shared" si="18"/>
        <v>7088</v>
      </c>
      <c r="R52" s="30">
        <f t="shared" si="22"/>
        <v>83284</v>
      </c>
      <c r="S52" s="30">
        <f t="shared" si="23"/>
        <v>1790</v>
      </c>
      <c r="T52" s="177"/>
      <c r="U52" s="235">
        <f t="shared" si="19"/>
        <v>1772</v>
      </c>
      <c r="V52" s="234">
        <f t="shared" si="19"/>
        <v>1772</v>
      </c>
      <c r="W52" s="234">
        <f t="shared" si="19"/>
        <v>1772</v>
      </c>
      <c r="X52" s="234">
        <f t="shared" si="19"/>
        <v>1772</v>
      </c>
      <c r="Y52" s="234"/>
      <c r="Z52" s="234"/>
      <c r="AA52" s="234"/>
      <c r="AB52" s="234"/>
      <c r="AC52" s="234"/>
      <c r="AD52" s="234"/>
      <c r="AE52" s="234"/>
      <c r="AF52" s="236"/>
      <c r="AI52" s="19"/>
      <c r="AJ52" s="14"/>
      <c r="AK52" s="6"/>
      <c r="AL52" s="20"/>
      <c r="AM52" s="5"/>
    </row>
    <row r="53" spans="2:39" x14ac:dyDescent="0.3">
      <c r="B53" s="13">
        <f t="shared" si="8"/>
        <v>47</v>
      </c>
      <c r="C53" s="47" t="s">
        <v>24</v>
      </c>
      <c r="D53" s="70">
        <v>44742</v>
      </c>
      <c r="E53" s="47"/>
      <c r="F53" s="174"/>
      <c r="G53" s="172" t="s">
        <v>250</v>
      </c>
      <c r="H53" s="170" t="s">
        <v>251</v>
      </c>
      <c r="I53" s="6" t="s">
        <v>160</v>
      </c>
      <c r="J53" s="6"/>
      <c r="K53" s="25">
        <v>85074</v>
      </c>
      <c r="L53" s="7"/>
      <c r="M53" s="7"/>
      <c r="N53" s="166">
        <f t="shared" si="17"/>
        <v>0</v>
      </c>
      <c r="O53" s="177">
        <f t="shared" si="21"/>
        <v>85074</v>
      </c>
      <c r="P53" s="25">
        <v>76196</v>
      </c>
      <c r="Q53" s="17">
        <f t="shared" si="18"/>
        <v>7088</v>
      </c>
      <c r="R53" s="30">
        <f t="shared" si="22"/>
        <v>83284</v>
      </c>
      <c r="S53" s="30">
        <f t="shared" si="23"/>
        <v>1790</v>
      </c>
      <c r="T53" s="177"/>
      <c r="U53" s="235">
        <f t="shared" si="19"/>
        <v>1772</v>
      </c>
      <c r="V53" s="234">
        <f t="shared" si="19"/>
        <v>1772</v>
      </c>
      <c r="W53" s="234">
        <f t="shared" si="19"/>
        <v>1772</v>
      </c>
      <c r="X53" s="234">
        <f t="shared" si="19"/>
        <v>1772</v>
      </c>
      <c r="Y53" s="234"/>
      <c r="Z53" s="234"/>
      <c r="AA53" s="234"/>
      <c r="AB53" s="234"/>
      <c r="AC53" s="234"/>
      <c r="AD53" s="234"/>
      <c r="AE53" s="234"/>
      <c r="AF53" s="236"/>
      <c r="AI53" s="19"/>
      <c r="AJ53" s="14"/>
      <c r="AK53" s="6"/>
      <c r="AL53" s="20"/>
      <c r="AM53" s="5"/>
    </row>
    <row r="54" spans="2:39" x14ac:dyDescent="0.3">
      <c r="B54" s="13">
        <f t="shared" si="8"/>
        <v>48</v>
      </c>
      <c r="C54" s="47" t="s">
        <v>24</v>
      </c>
      <c r="D54" s="70">
        <v>44742</v>
      </c>
      <c r="E54" s="47"/>
      <c r="F54" s="174"/>
      <c r="G54" s="172" t="s">
        <v>250</v>
      </c>
      <c r="H54" s="170" t="s">
        <v>251</v>
      </c>
      <c r="I54" s="6" t="s">
        <v>160</v>
      </c>
      <c r="J54" s="6"/>
      <c r="K54" s="25">
        <v>85074</v>
      </c>
      <c r="L54" s="7"/>
      <c r="M54" s="7"/>
      <c r="N54" s="166">
        <f t="shared" si="17"/>
        <v>0</v>
      </c>
      <c r="O54" s="177">
        <f t="shared" si="21"/>
        <v>85074</v>
      </c>
      <c r="P54" s="25">
        <v>76196</v>
      </c>
      <c r="Q54" s="17">
        <f t="shared" si="18"/>
        <v>7088</v>
      </c>
      <c r="R54" s="30">
        <f t="shared" si="22"/>
        <v>83284</v>
      </c>
      <c r="S54" s="30">
        <f t="shared" si="23"/>
        <v>1790</v>
      </c>
      <c r="T54" s="177"/>
      <c r="U54" s="235">
        <f t="shared" si="19"/>
        <v>1772</v>
      </c>
      <c r="V54" s="234">
        <f t="shared" si="19"/>
        <v>1772</v>
      </c>
      <c r="W54" s="234">
        <f t="shared" si="19"/>
        <v>1772</v>
      </c>
      <c r="X54" s="234">
        <f t="shared" si="19"/>
        <v>1772</v>
      </c>
      <c r="Y54" s="234"/>
      <c r="Z54" s="234"/>
      <c r="AA54" s="234"/>
      <c r="AB54" s="234"/>
      <c r="AC54" s="234"/>
      <c r="AD54" s="234"/>
      <c r="AE54" s="234"/>
      <c r="AF54" s="236"/>
      <c r="AI54" s="19"/>
      <c r="AJ54" s="14"/>
      <c r="AK54" s="6"/>
      <c r="AL54" s="20"/>
      <c r="AM54" s="5"/>
    </row>
    <row r="55" spans="2:39" x14ac:dyDescent="0.3">
      <c r="B55" s="13">
        <f t="shared" si="8"/>
        <v>49</v>
      </c>
      <c r="C55" s="47" t="s">
        <v>24</v>
      </c>
      <c r="D55" s="70">
        <v>44742</v>
      </c>
      <c r="E55" s="47"/>
      <c r="F55" s="174"/>
      <c r="G55" s="172" t="s">
        <v>250</v>
      </c>
      <c r="H55" s="170" t="s">
        <v>251</v>
      </c>
      <c r="I55" s="6" t="s">
        <v>160</v>
      </c>
      <c r="J55" s="6"/>
      <c r="K55" s="25">
        <v>85074</v>
      </c>
      <c r="L55" s="7"/>
      <c r="M55" s="7"/>
      <c r="N55" s="166">
        <f t="shared" si="17"/>
        <v>0</v>
      </c>
      <c r="O55" s="177">
        <f t="shared" si="21"/>
        <v>85074</v>
      </c>
      <c r="P55" s="25">
        <v>76196</v>
      </c>
      <c r="Q55" s="17">
        <f t="shared" si="18"/>
        <v>7088</v>
      </c>
      <c r="R55" s="30">
        <f t="shared" si="22"/>
        <v>83284</v>
      </c>
      <c r="S55" s="30">
        <f t="shared" si="23"/>
        <v>1790</v>
      </c>
      <c r="T55" s="177"/>
      <c r="U55" s="235">
        <f t="shared" si="19"/>
        <v>1772</v>
      </c>
      <c r="V55" s="234">
        <f t="shared" si="19"/>
        <v>1772</v>
      </c>
      <c r="W55" s="234">
        <f t="shared" si="19"/>
        <v>1772</v>
      </c>
      <c r="X55" s="234">
        <f t="shared" si="19"/>
        <v>1772</v>
      </c>
      <c r="Y55" s="234"/>
      <c r="Z55" s="234"/>
      <c r="AA55" s="234"/>
      <c r="AB55" s="234"/>
      <c r="AC55" s="234"/>
      <c r="AD55" s="234"/>
      <c r="AE55" s="234"/>
      <c r="AF55" s="236"/>
      <c r="AI55" s="19"/>
      <c r="AJ55" s="14"/>
      <c r="AK55" s="6"/>
      <c r="AL55" s="20"/>
      <c r="AM55" s="5"/>
    </row>
    <row r="56" spans="2:39" x14ac:dyDescent="0.3">
      <c r="B56" s="13">
        <f t="shared" si="8"/>
        <v>50</v>
      </c>
      <c r="C56" s="47" t="s">
        <v>166</v>
      </c>
      <c r="D56" s="70">
        <v>45071</v>
      </c>
      <c r="E56" s="47"/>
      <c r="F56" s="9"/>
      <c r="G56" s="172" t="s">
        <v>250</v>
      </c>
      <c r="H56" s="170" t="s">
        <v>251</v>
      </c>
      <c r="I56" s="6" t="s">
        <v>167</v>
      </c>
      <c r="J56" s="6"/>
      <c r="K56" s="104">
        <f>149085-9</f>
        <v>149076</v>
      </c>
      <c r="L56" s="7"/>
      <c r="M56" s="7"/>
      <c r="N56" s="166">
        <f t="shared" si="17"/>
        <v>0</v>
      </c>
      <c r="O56" s="177">
        <f t="shared" si="21"/>
        <v>149076</v>
      </c>
      <c r="P56" s="25">
        <v>99360</v>
      </c>
      <c r="Q56" s="17">
        <f t="shared" si="18"/>
        <v>12420</v>
      </c>
      <c r="R56" s="30">
        <f t="shared" si="22"/>
        <v>111780</v>
      </c>
      <c r="S56" s="30">
        <f t="shared" si="23"/>
        <v>37296</v>
      </c>
      <c r="T56" s="177"/>
      <c r="U56" s="235">
        <f t="shared" si="19"/>
        <v>3105</v>
      </c>
      <c r="V56" s="234">
        <f t="shared" si="19"/>
        <v>3105</v>
      </c>
      <c r="W56" s="234">
        <f t="shared" si="19"/>
        <v>3105</v>
      </c>
      <c r="X56" s="234">
        <f t="shared" si="19"/>
        <v>3105</v>
      </c>
      <c r="Y56" s="234"/>
      <c r="Z56" s="234"/>
      <c r="AA56" s="234"/>
      <c r="AB56" s="234"/>
      <c r="AC56" s="234"/>
      <c r="AD56" s="234"/>
      <c r="AE56" s="234"/>
      <c r="AF56" s="236"/>
      <c r="AI56" s="19"/>
      <c r="AJ56" s="14"/>
      <c r="AK56" s="6"/>
      <c r="AL56" s="20"/>
      <c r="AM56" s="5"/>
    </row>
    <row r="57" spans="2:39" x14ac:dyDescent="0.3">
      <c r="B57" s="13">
        <f t="shared" si="8"/>
        <v>51</v>
      </c>
      <c r="C57" s="47" t="s">
        <v>166</v>
      </c>
      <c r="D57" s="70">
        <v>45071</v>
      </c>
      <c r="E57" s="47"/>
      <c r="F57" s="9"/>
      <c r="G57" s="172" t="s">
        <v>250</v>
      </c>
      <c r="H57" s="170" t="s">
        <v>251</v>
      </c>
      <c r="I57" s="6" t="s">
        <v>168</v>
      </c>
      <c r="J57" s="6"/>
      <c r="K57" s="25">
        <v>122463</v>
      </c>
      <c r="L57" s="7"/>
      <c r="M57" s="7"/>
      <c r="N57" s="166">
        <f t="shared" si="17"/>
        <v>0</v>
      </c>
      <c r="O57" s="177">
        <f t="shared" si="21"/>
        <v>122463</v>
      </c>
      <c r="P57" s="25">
        <v>81632</v>
      </c>
      <c r="Q57" s="17">
        <f t="shared" si="18"/>
        <v>10204</v>
      </c>
      <c r="R57" s="30">
        <f t="shared" si="22"/>
        <v>91836</v>
      </c>
      <c r="S57" s="30">
        <f t="shared" si="23"/>
        <v>30627</v>
      </c>
      <c r="T57" s="177"/>
      <c r="U57" s="235">
        <f t="shared" si="19"/>
        <v>2551</v>
      </c>
      <c r="V57" s="234">
        <f t="shared" si="19"/>
        <v>2551</v>
      </c>
      <c r="W57" s="234">
        <f t="shared" si="19"/>
        <v>2551</v>
      </c>
      <c r="X57" s="234">
        <f t="shared" si="19"/>
        <v>2551</v>
      </c>
      <c r="Y57" s="234"/>
      <c r="Z57" s="234"/>
      <c r="AA57" s="234"/>
      <c r="AB57" s="234"/>
      <c r="AC57" s="234"/>
      <c r="AD57" s="234"/>
      <c r="AE57" s="234"/>
      <c r="AF57" s="236"/>
      <c r="AI57" s="19"/>
      <c r="AJ57" s="14"/>
      <c r="AK57" s="6"/>
      <c r="AL57" s="20"/>
      <c r="AM57" s="5"/>
    </row>
    <row r="58" spans="2:39" x14ac:dyDescent="0.3">
      <c r="B58" s="13">
        <f t="shared" si="8"/>
        <v>52</v>
      </c>
      <c r="C58" s="47" t="s">
        <v>166</v>
      </c>
      <c r="D58" s="70">
        <v>45071</v>
      </c>
      <c r="E58" s="47"/>
      <c r="F58" s="9"/>
      <c r="G58" s="172" t="s">
        <v>250</v>
      </c>
      <c r="H58" s="170" t="s">
        <v>251</v>
      </c>
      <c r="I58" s="6" t="s">
        <v>168</v>
      </c>
      <c r="J58" s="6"/>
      <c r="K58" s="25">
        <v>122463</v>
      </c>
      <c r="L58" s="7"/>
      <c r="M58" s="7"/>
      <c r="N58" s="166">
        <f t="shared" si="17"/>
        <v>0</v>
      </c>
      <c r="O58" s="177">
        <f t="shared" si="21"/>
        <v>122463</v>
      </c>
      <c r="P58" s="25">
        <v>81632</v>
      </c>
      <c r="Q58" s="17">
        <f t="shared" si="18"/>
        <v>10204</v>
      </c>
      <c r="R58" s="30">
        <f t="shared" si="22"/>
        <v>91836</v>
      </c>
      <c r="S58" s="30">
        <f t="shared" si="23"/>
        <v>30627</v>
      </c>
      <c r="T58" s="177"/>
      <c r="U58" s="235">
        <f t="shared" si="19"/>
        <v>2551</v>
      </c>
      <c r="V58" s="234">
        <f t="shared" si="19"/>
        <v>2551</v>
      </c>
      <c r="W58" s="234">
        <f t="shared" si="19"/>
        <v>2551</v>
      </c>
      <c r="X58" s="234">
        <f t="shared" si="19"/>
        <v>2551</v>
      </c>
      <c r="Y58" s="234"/>
      <c r="Z58" s="234"/>
      <c r="AA58" s="234"/>
      <c r="AB58" s="234"/>
      <c r="AC58" s="234"/>
      <c r="AD58" s="234"/>
      <c r="AE58" s="234"/>
      <c r="AF58" s="236"/>
      <c r="AI58" s="19"/>
      <c r="AJ58" s="14"/>
      <c r="AK58" s="6"/>
      <c r="AL58" s="20"/>
      <c r="AM58" s="5"/>
    </row>
    <row r="59" spans="2:39" x14ac:dyDescent="0.3">
      <c r="B59" s="13">
        <f t="shared" si="8"/>
        <v>53</v>
      </c>
      <c r="C59" s="47" t="s">
        <v>166</v>
      </c>
      <c r="D59" s="70">
        <v>45071</v>
      </c>
      <c r="E59" s="47"/>
      <c r="F59" s="9"/>
      <c r="G59" s="172" t="s">
        <v>250</v>
      </c>
      <c r="H59" s="170" t="s">
        <v>251</v>
      </c>
      <c r="I59" s="6" t="s">
        <v>168</v>
      </c>
      <c r="J59" s="6"/>
      <c r="K59" s="25">
        <v>122463</v>
      </c>
      <c r="L59" s="7"/>
      <c r="M59" s="7"/>
      <c r="N59" s="166">
        <f t="shared" si="17"/>
        <v>0</v>
      </c>
      <c r="O59" s="177">
        <f t="shared" si="21"/>
        <v>122463</v>
      </c>
      <c r="P59" s="25">
        <v>81632</v>
      </c>
      <c r="Q59" s="17">
        <f t="shared" si="18"/>
        <v>10204</v>
      </c>
      <c r="R59" s="30">
        <f t="shared" si="22"/>
        <v>91836</v>
      </c>
      <c r="S59" s="30">
        <f t="shared" si="23"/>
        <v>30627</v>
      </c>
      <c r="T59" s="177"/>
      <c r="U59" s="235">
        <f t="shared" si="19"/>
        <v>2551</v>
      </c>
      <c r="V59" s="234">
        <f t="shared" si="19"/>
        <v>2551</v>
      </c>
      <c r="W59" s="234">
        <f t="shared" si="19"/>
        <v>2551</v>
      </c>
      <c r="X59" s="234">
        <f t="shared" si="19"/>
        <v>2551</v>
      </c>
      <c r="Y59" s="234"/>
      <c r="Z59" s="234"/>
      <c r="AA59" s="234"/>
      <c r="AB59" s="234"/>
      <c r="AC59" s="234"/>
      <c r="AD59" s="234"/>
      <c r="AE59" s="234"/>
      <c r="AF59" s="236"/>
      <c r="AI59" s="19"/>
      <c r="AJ59" s="14"/>
      <c r="AK59" s="6"/>
      <c r="AL59" s="20"/>
      <c r="AM59" s="5"/>
    </row>
    <row r="60" spans="2:39" x14ac:dyDescent="0.3">
      <c r="B60" s="13">
        <f t="shared" si="8"/>
        <v>54</v>
      </c>
      <c r="C60" s="47" t="s">
        <v>166</v>
      </c>
      <c r="D60" s="70">
        <v>45071</v>
      </c>
      <c r="E60" s="47"/>
      <c r="F60" s="9"/>
      <c r="G60" s="172" t="s">
        <v>250</v>
      </c>
      <c r="H60" s="170" t="s">
        <v>251</v>
      </c>
      <c r="I60" s="6" t="s">
        <v>168</v>
      </c>
      <c r="J60" s="6"/>
      <c r="K60" s="25">
        <v>122463</v>
      </c>
      <c r="L60" s="7"/>
      <c r="M60" s="7"/>
      <c r="N60" s="166">
        <f t="shared" si="17"/>
        <v>0</v>
      </c>
      <c r="O60" s="177">
        <f t="shared" si="21"/>
        <v>122463</v>
      </c>
      <c r="P60" s="25">
        <v>81632</v>
      </c>
      <c r="Q60" s="17">
        <f t="shared" si="18"/>
        <v>10204</v>
      </c>
      <c r="R60" s="30">
        <f t="shared" si="22"/>
        <v>91836</v>
      </c>
      <c r="S60" s="30">
        <f t="shared" si="23"/>
        <v>30627</v>
      </c>
      <c r="T60" s="177"/>
      <c r="U60" s="235">
        <f t="shared" si="19"/>
        <v>2551</v>
      </c>
      <c r="V60" s="234">
        <f t="shared" si="19"/>
        <v>2551</v>
      </c>
      <c r="W60" s="234">
        <f t="shared" si="19"/>
        <v>2551</v>
      </c>
      <c r="X60" s="234">
        <f t="shared" si="19"/>
        <v>2551</v>
      </c>
      <c r="Y60" s="234"/>
      <c r="Z60" s="234"/>
      <c r="AA60" s="234"/>
      <c r="AB60" s="234"/>
      <c r="AC60" s="234"/>
      <c r="AD60" s="234"/>
      <c r="AE60" s="234"/>
      <c r="AF60" s="236"/>
      <c r="AI60" s="19"/>
      <c r="AJ60" s="14"/>
      <c r="AK60" s="6"/>
      <c r="AL60" s="20"/>
      <c r="AM60" s="5"/>
    </row>
    <row r="61" spans="2:39" x14ac:dyDescent="0.3">
      <c r="B61" s="13">
        <f t="shared" si="8"/>
        <v>55</v>
      </c>
      <c r="C61" s="47" t="s">
        <v>166</v>
      </c>
      <c r="D61" s="70">
        <v>45071</v>
      </c>
      <c r="E61" s="47"/>
      <c r="F61" s="9"/>
      <c r="G61" s="172" t="s">
        <v>250</v>
      </c>
      <c r="H61" s="170" t="s">
        <v>251</v>
      </c>
      <c r="I61" s="6" t="s">
        <v>168</v>
      </c>
      <c r="J61" s="6"/>
      <c r="K61" s="25">
        <v>122463</v>
      </c>
      <c r="L61" s="7"/>
      <c r="M61" s="7"/>
      <c r="N61" s="166">
        <f t="shared" si="17"/>
        <v>0</v>
      </c>
      <c r="O61" s="177">
        <f t="shared" si="21"/>
        <v>122463</v>
      </c>
      <c r="P61" s="25">
        <v>81632</v>
      </c>
      <c r="Q61" s="17">
        <f t="shared" si="18"/>
        <v>10204</v>
      </c>
      <c r="R61" s="30">
        <f t="shared" si="22"/>
        <v>91836</v>
      </c>
      <c r="S61" s="30">
        <f t="shared" si="23"/>
        <v>30627</v>
      </c>
      <c r="T61" s="177"/>
      <c r="U61" s="235">
        <f t="shared" si="19"/>
        <v>2551</v>
      </c>
      <c r="V61" s="234">
        <f t="shared" si="19"/>
        <v>2551</v>
      </c>
      <c r="W61" s="234">
        <f t="shared" si="19"/>
        <v>2551</v>
      </c>
      <c r="X61" s="234">
        <f t="shared" si="19"/>
        <v>2551</v>
      </c>
      <c r="Y61" s="234"/>
      <c r="Z61" s="234"/>
      <c r="AA61" s="234"/>
      <c r="AB61" s="234"/>
      <c r="AC61" s="234"/>
      <c r="AD61" s="234"/>
      <c r="AE61" s="234"/>
      <c r="AF61" s="236"/>
      <c r="AI61" s="19"/>
      <c r="AJ61" s="14"/>
      <c r="AK61" s="6"/>
      <c r="AL61" s="20"/>
      <c r="AM61" s="5"/>
    </row>
    <row r="62" spans="2:39" x14ac:dyDescent="0.3">
      <c r="B62" s="13">
        <f t="shared" si="8"/>
        <v>56</v>
      </c>
      <c r="C62" s="47" t="s">
        <v>166</v>
      </c>
      <c r="D62" s="70">
        <v>45071</v>
      </c>
      <c r="E62" s="47"/>
      <c r="F62" s="9"/>
      <c r="G62" s="172" t="s">
        <v>250</v>
      </c>
      <c r="H62" s="170" t="s">
        <v>251</v>
      </c>
      <c r="I62" s="6" t="s">
        <v>168</v>
      </c>
      <c r="J62" s="6"/>
      <c r="K62" s="25">
        <v>122463</v>
      </c>
      <c r="L62" s="7"/>
      <c r="M62" s="7"/>
      <c r="N62" s="166">
        <f t="shared" si="17"/>
        <v>0</v>
      </c>
      <c r="O62" s="177">
        <f t="shared" si="21"/>
        <v>122463</v>
      </c>
      <c r="P62" s="25">
        <v>81632</v>
      </c>
      <c r="Q62" s="17">
        <f t="shared" si="18"/>
        <v>10204</v>
      </c>
      <c r="R62" s="30">
        <f t="shared" si="22"/>
        <v>91836</v>
      </c>
      <c r="S62" s="30">
        <f t="shared" si="23"/>
        <v>30627</v>
      </c>
      <c r="T62" s="177"/>
      <c r="U62" s="235">
        <f t="shared" si="19"/>
        <v>2551</v>
      </c>
      <c r="V62" s="234">
        <f t="shared" si="19"/>
        <v>2551</v>
      </c>
      <c r="W62" s="234">
        <f t="shared" si="19"/>
        <v>2551</v>
      </c>
      <c r="X62" s="234">
        <f t="shared" si="19"/>
        <v>2551</v>
      </c>
      <c r="Y62" s="234"/>
      <c r="Z62" s="234"/>
      <c r="AA62" s="234"/>
      <c r="AB62" s="234"/>
      <c r="AC62" s="234"/>
      <c r="AD62" s="234"/>
      <c r="AE62" s="234"/>
      <c r="AF62" s="236"/>
      <c r="AI62" s="19"/>
      <c r="AJ62" s="14"/>
      <c r="AK62" s="6"/>
      <c r="AL62" s="20"/>
      <c r="AM62" s="5"/>
    </row>
    <row r="63" spans="2:39" x14ac:dyDescent="0.3">
      <c r="B63" s="13">
        <f t="shared" si="8"/>
        <v>57</v>
      </c>
      <c r="C63" s="47" t="s">
        <v>166</v>
      </c>
      <c r="D63" s="70">
        <v>45071</v>
      </c>
      <c r="E63" s="47"/>
      <c r="F63" s="9"/>
      <c r="G63" s="172" t="s">
        <v>250</v>
      </c>
      <c r="H63" s="170" t="s">
        <v>251</v>
      </c>
      <c r="I63" s="6" t="s">
        <v>168</v>
      </c>
      <c r="J63" s="6"/>
      <c r="K63" s="25">
        <v>122463</v>
      </c>
      <c r="L63" s="7"/>
      <c r="M63" s="7"/>
      <c r="N63" s="166">
        <f t="shared" si="17"/>
        <v>0</v>
      </c>
      <c r="O63" s="177">
        <f t="shared" si="21"/>
        <v>122463</v>
      </c>
      <c r="P63" s="25">
        <v>81632</v>
      </c>
      <c r="Q63" s="17">
        <f t="shared" si="18"/>
        <v>10204</v>
      </c>
      <c r="R63" s="30">
        <f t="shared" si="22"/>
        <v>91836</v>
      </c>
      <c r="S63" s="30">
        <f t="shared" si="23"/>
        <v>30627</v>
      </c>
      <c r="T63" s="177"/>
      <c r="U63" s="235">
        <f t="shared" si="19"/>
        <v>2551</v>
      </c>
      <c r="V63" s="234">
        <f t="shared" si="19"/>
        <v>2551</v>
      </c>
      <c r="W63" s="234">
        <f t="shared" si="19"/>
        <v>2551</v>
      </c>
      <c r="X63" s="234">
        <f t="shared" si="19"/>
        <v>2551</v>
      </c>
      <c r="Y63" s="234"/>
      <c r="Z63" s="234"/>
      <c r="AA63" s="234"/>
      <c r="AB63" s="234"/>
      <c r="AC63" s="234"/>
      <c r="AD63" s="234"/>
      <c r="AE63" s="234"/>
      <c r="AF63" s="236"/>
      <c r="AI63" s="19"/>
      <c r="AJ63" s="14"/>
      <c r="AK63" s="6"/>
      <c r="AL63" s="20"/>
      <c r="AM63" s="5"/>
    </row>
    <row r="64" spans="2:39" x14ac:dyDescent="0.3">
      <c r="B64" s="13">
        <f t="shared" si="8"/>
        <v>58</v>
      </c>
      <c r="C64" s="47" t="s">
        <v>166</v>
      </c>
      <c r="D64" s="70">
        <v>45071</v>
      </c>
      <c r="E64" s="47"/>
      <c r="F64" s="9"/>
      <c r="G64" s="172" t="s">
        <v>250</v>
      </c>
      <c r="H64" s="170" t="s">
        <v>251</v>
      </c>
      <c r="I64" s="6" t="s">
        <v>168</v>
      </c>
      <c r="J64" s="6"/>
      <c r="K64" s="25">
        <v>122463</v>
      </c>
      <c r="L64" s="7"/>
      <c r="M64" s="7"/>
      <c r="N64" s="166">
        <f t="shared" si="17"/>
        <v>0</v>
      </c>
      <c r="O64" s="177">
        <f t="shared" si="21"/>
        <v>122463</v>
      </c>
      <c r="P64" s="25">
        <v>81632</v>
      </c>
      <c r="Q64" s="17">
        <f t="shared" si="18"/>
        <v>10204</v>
      </c>
      <c r="R64" s="30">
        <f t="shared" si="22"/>
        <v>91836</v>
      </c>
      <c r="S64" s="30">
        <f t="shared" si="23"/>
        <v>30627</v>
      </c>
      <c r="T64" s="177"/>
      <c r="U64" s="235">
        <f t="shared" si="19"/>
        <v>2551</v>
      </c>
      <c r="V64" s="234">
        <f t="shared" si="19"/>
        <v>2551</v>
      </c>
      <c r="W64" s="234">
        <f t="shared" si="19"/>
        <v>2551</v>
      </c>
      <c r="X64" s="234">
        <f t="shared" si="19"/>
        <v>2551</v>
      </c>
      <c r="Y64" s="234"/>
      <c r="Z64" s="234"/>
      <c r="AA64" s="234"/>
      <c r="AB64" s="234"/>
      <c r="AC64" s="234"/>
      <c r="AD64" s="234"/>
      <c r="AE64" s="234"/>
      <c r="AF64" s="236"/>
      <c r="AI64" s="19"/>
      <c r="AJ64" s="14"/>
      <c r="AK64" s="6"/>
      <c r="AL64" s="20"/>
      <c r="AM64" s="5"/>
    </row>
    <row r="65" spans="2:39" x14ac:dyDescent="0.3">
      <c r="B65" s="13">
        <f t="shared" si="8"/>
        <v>59</v>
      </c>
      <c r="C65" s="47" t="s">
        <v>166</v>
      </c>
      <c r="D65" s="70">
        <v>45071</v>
      </c>
      <c r="E65" s="47"/>
      <c r="F65" s="9"/>
      <c r="G65" s="172" t="s">
        <v>250</v>
      </c>
      <c r="H65" s="170" t="s">
        <v>251</v>
      </c>
      <c r="I65" s="6" t="s">
        <v>168</v>
      </c>
      <c r="J65" s="6"/>
      <c r="K65" s="25">
        <v>122463</v>
      </c>
      <c r="L65" s="7"/>
      <c r="M65" s="7"/>
      <c r="N65" s="166">
        <f t="shared" si="17"/>
        <v>0</v>
      </c>
      <c r="O65" s="177">
        <f t="shared" si="21"/>
        <v>122463</v>
      </c>
      <c r="P65" s="25">
        <v>81632</v>
      </c>
      <c r="Q65" s="17">
        <f t="shared" si="18"/>
        <v>10204</v>
      </c>
      <c r="R65" s="30">
        <f t="shared" si="22"/>
        <v>91836</v>
      </c>
      <c r="S65" s="30">
        <f t="shared" si="23"/>
        <v>30627</v>
      </c>
      <c r="T65" s="177"/>
      <c r="U65" s="235">
        <f t="shared" si="19"/>
        <v>2551</v>
      </c>
      <c r="V65" s="234">
        <f t="shared" si="19"/>
        <v>2551</v>
      </c>
      <c r="W65" s="234">
        <f t="shared" si="19"/>
        <v>2551</v>
      </c>
      <c r="X65" s="234">
        <f t="shared" si="19"/>
        <v>2551</v>
      </c>
      <c r="Y65" s="234"/>
      <c r="Z65" s="234"/>
      <c r="AA65" s="234"/>
      <c r="AB65" s="234"/>
      <c r="AC65" s="234"/>
      <c r="AD65" s="234"/>
      <c r="AE65" s="234"/>
      <c r="AF65" s="236"/>
      <c r="AI65" s="19"/>
      <c r="AJ65" s="14"/>
      <c r="AK65" s="6"/>
      <c r="AL65" s="20"/>
      <c r="AM65" s="5"/>
    </row>
    <row r="66" spans="2:39" x14ac:dyDescent="0.3">
      <c r="B66" s="13">
        <f t="shared" si="8"/>
        <v>60</v>
      </c>
      <c r="C66" s="47" t="s">
        <v>166</v>
      </c>
      <c r="D66" s="70">
        <v>45071</v>
      </c>
      <c r="E66" s="47"/>
      <c r="F66" s="9"/>
      <c r="G66" s="172" t="s">
        <v>250</v>
      </c>
      <c r="H66" s="170" t="s">
        <v>251</v>
      </c>
      <c r="I66" s="6" t="s">
        <v>168</v>
      </c>
      <c r="J66" s="6"/>
      <c r="K66" s="25">
        <v>122463</v>
      </c>
      <c r="L66" s="7"/>
      <c r="M66" s="7"/>
      <c r="N66" s="166">
        <f t="shared" si="17"/>
        <v>0</v>
      </c>
      <c r="O66" s="177">
        <f t="shared" si="21"/>
        <v>122463</v>
      </c>
      <c r="P66" s="25">
        <v>81632</v>
      </c>
      <c r="Q66" s="17">
        <f t="shared" ref="Q66:Q129" si="24">SUM(U66:AF66)</f>
        <v>10204</v>
      </c>
      <c r="R66" s="30">
        <f t="shared" si="22"/>
        <v>91836</v>
      </c>
      <c r="S66" s="30">
        <f t="shared" si="23"/>
        <v>30627</v>
      </c>
      <c r="T66" s="177"/>
      <c r="U66" s="235">
        <f t="shared" si="19"/>
        <v>2551</v>
      </c>
      <c r="V66" s="234">
        <f t="shared" si="19"/>
        <v>2551</v>
      </c>
      <c r="W66" s="234">
        <f t="shared" si="19"/>
        <v>2551</v>
      </c>
      <c r="X66" s="234">
        <f t="shared" si="19"/>
        <v>2551</v>
      </c>
      <c r="Y66" s="234"/>
      <c r="Z66" s="234"/>
      <c r="AA66" s="234"/>
      <c r="AB66" s="234"/>
      <c r="AC66" s="234"/>
      <c r="AD66" s="234"/>
      <c r="AE66" s="234"/>
      <c r="AF66" s="236"/>
      <c r="AI66" s="19"/>
      <c r="AJ66" s="14"/>
      <c r="AK66" s="6"/>
      <c r="AL66" s="20"/>
      <c r="AM66" s="5"/>
    </row>
    <row r="67" spans="2:39" x14ac:dyDescent="0.3">
      <c r="B67" s="13">
        <f t="shared" si="8"/>
        <v>61</v>
      </c>
      <c r="C67" s="47" t="s">
        <v>166</v>
      </c>
      <c r="D67" s="70">
        <v>45071</v>
      </c>
      <c r="E67" s="47"/>
      <c r="F67" s="9"/>
      <c r="G67" s="172" t="s">
        <v>250</v>
      </c>
      <c r="H67" s="170" t="s">
        <v>251</v>
      </c>
      <c r="I67" s="6" t="s">
        <v>168</v>
      </c>
      <c r="J67" s="6"/>
      <c r="K67" s="25">
        <v>122463</v>
      </c>
      <c r="L67" s="7"/>
      <c r="M67" s="7"/>
      <c r="N67" s="166">
        <f t="shared" si="17"/>
        <v>0</v>
      </c>
      <c r="O67" s="177">
        <f t="shared" si="21"/>
        <v>122463</v>
      </c>
      <c r="P67" s="25">
        <v>81632</v>
      </c>
      <c r="Q67" s="17">
        <f t="shared" si="24"/>
        <v>10204</v>
      </c>
      <c r="R67" s="30">
        <f t="shared" si="22"/>
        <v>91836</v>
      </c>
      <c r="S67" s="30">
        <f t="shared" si="23"/>
        <v>30627</v>
      </c>
      <c r="T67" s="177"/>
      <c r="U67" s="235">
        <f t="shared" si="19"/>
        <v>2551</v>
      </c>
      <c r="V67" s="234">
        <f t="shared" si="19"/>
        <v>2551</v>
      </c>
      <c r="W67" s="234">
        <f t="shared" si="19"/>
        <v>2551</v>
      </c>
      <c r="X67" s="234">
        <f t="shared" si="19"/>
        <v>2551</v>
      </c>
      <c r="Y67" s="234"/>
      <c r="Z67" s="234"/>
      <c r="AA67" s="234"/>
      <c r="AB67" s="234"/>
      <c r="AC67" s="234"/>
      <c r="AD67" s="234"/>
      <c r="AE67" s="234"/>
      <c r="AF67" s="236"/>
      <c r="AI67" s="19"/>
      <c r="AJ67" s="14"/>
      <c r="AK67" s="6"/>
      <c r="AL67" s="20"/>
      <c r="AM67" s="5"/>
    </row>
    <row r="68" spans="2:39" x14ac:dyDescent="0.3">
      <c r="B68" s="13">
        <f t="shared" si="8"/>
        <v>62</v>
      </c>
      <c r="C68" s="47" t="s">
        <v>166</v>
      </c>
      <c r="D68" s="70">
        <v>45071</v>
      </c>
      <c r="E68" s="47"/>
      <c r="F68" s="9"/>
      <c r="G68" s="172" t="s">
        <v>250</v>
      </c>
      <c r="H68" s="170" t="s">
        <v>251</v>
      </c>
      <c r="I68" s="6" t="s">
        <v>168</v>
      </c>
      <c r="J68" s="6"/>
      <c r="K68" s="25">
        <v>122463</v>
      </c>
      <c r="L68" s="7"/>
      <c r="M68" s="7"/>
      <c r="N68" s="166">
        <f t="shared" si="17"/>
        <v>0</v>
      </c>
      <c r="O68" s="177">
        <f t="shared" si="21"/>
        <v>122463</v>
      </c>
      <c r="P68" s="25">
        <v>81632</v>
      </c>
      <c r="Q68" s="17">
        <f t="shared" si="24"/>
        <v>10204</v>
      </c>
      <c r="R68" s="30">
        <f t="shared" si="22"/>
        <v>91836</v>
      </c>
      <c r="S68" s="30">
        <f t="shared" si="23"/>
        <v>30627</v>
      </c>
      <c r="T68" s="177"/>
      <c r="U68" s="235">
        <f t="shared" si="19"/>
        <v>2551</v>
      </c>
      <c r="V68" s="234">
        <f t="shared" si="19"/>
        <v>2551</v>
      </c>
      <c r="W68" s="234">
        <f t="shared" si="19"/>
        <v>2551</v>
      </c>
      <c r="X68" s="234">
        <f t="shared" si="19"/>
        <v>2551</v>
      </c>
      <c r="Y68" s="234"/>
      <c r="Z68" s="234"/>
      <c r="AA68" s="234"/>
      <c r="AB68" s="234"/>
      <c r="AC68" s="234"/>
      <c r="AD68" s="234"/>
      <c r="AE68" s="234"/>
      <c r="AF68" s="236"/>
      <c r="AI68" s="19"/>
      <c r="AJ68" s="14"/>
      <c r="AK68" s="6"/>
      <c r="AL68" s="20"/>
      <c r="AM68" s="5"/>
    </row>
    <row r="69" spans="2:39" x14ac:dyDescent="0.3">
      <c r="B69" s="13">
        <f t="shared" si="8"/>
        <v>63</v>
      </c>
      <c r="C69" s="47" t="s">
        <v>166</v>
      </c>
      <c r="D69" s="70">
        <v>45071</v>
      </c>
      <c r="E69" s="47"/>
      <c r="F69" s="9"/>
      <c r="G69" s="172" t="s">
        <v>250</v>
      </c>
      <c r="H69" s="170" t="s">
        <v>251</v>
      </c>
      <c r="I69" s="6" t="s">
        <v>168</v>
      </c>
      <c r="J69" s="6"/>
      <c r="K69" s="25">
        <v>122463</v>
      </c>
      <c r="L69" s="7"/>
      <c r="M69" s="7"/>
      <c r="N69" s="166">
        <f t="shared" si="17"/>
        <v>0</v>
      </c>
      <c r="O69" s="177">
        <f t="shared" si="21"/>
        <v>122463</v>
      </c>
      <c r="P69" s="25">
        <v>81632</v>
      </c>
      <c r="Q69" s="17">
        <f t="shared" si="24"/>
        <v>10204</v>
      </c>
      <c r="R69" s="30">
        <f t="shared" si="22"/>
        <v>91836</v>
      </c>
      <c r="S69" s="30">
        <f t="shared" si="23"/>
        <v>30627</v>
      </c>
      <c r="T69" s="177"/>
      <c r="U69" s="235">
        <f t="shared" si="19"/>
        <v>2551</v>
      </c>
      <c r="V69" s="234">
        <f t="shared" si="19"/>
        <v>2551</v>
      </c>
      <c r="W69" s="234">
        <f t="shared" si="19"/>
        <v>2551</v>
      </c>
      <c r="X69" s="234">
        <f t="shared" si="19"/>
        <v>2551</v>
      </c>
      <c r="Y69" s="234"/>
      <c r="Z69" s="234"/>
      <c r="AA69" s="234"/>
      <c r="AB69" s="234"/>
      <c r="AC69" s="234"/>
      <c r="AD69" s="234"/>
      <c r="AE69" s="234"/>
      <c r="AF69" s="236"/>
      <c r="AI69" s="19"/>
      <c r="AJ69" s="14"/>
      <c r="AK69" s="6"/>
      <c r="AL69" s="20"/>
      <c r="AM69" s="5"/>
    </row>
    <row r="70" spans="2:39" x14ac:dyDescent="0.3">
      <c r="B70" s="13">
        <f t="shared" si="8"/>
        <v>64</v>
      </c>
      <c r="C70" s="47" t="s">
        <v>166</v>
      </c>
      <c r="D70" s="70">
        <v>45071</v>
      </c>
      <c r="E70" s="47"/>
      <c r="F70" s="9"/>
      <c r="G70" s="172" t="s">
        <v>250</v>
      </c>
      <c r="H70" s="170" t="s">
        <v>251</v>
      </c>
      <c r="I70" s="6" t="s">
        <v>168</v>
      </c>
      <c r="J70" s="6"/>
      <c r="K70" s="25">
        <v>122463</v>
      </c>
      <c r="L70" s="7"/>
      <c r="M70" s="7"/>
      <c r="N70" s="166">
        <f t="shared" si="17"/>
        <v>0</v>
      </c>
      <c r="O70" s="177">
        <f t="shared" si="21"/>
        <v>122463</v>
      </c>
      <c r="P70" s="25">
        <v>81632</v>
      </c>
      <c r="Q70" s="17">
        <f t="shared" si="24"/>
        <v>10204</v>
      </c>
      <c r="R70" s="30">
        <f t="shared" si="22"/>
        <v>91836</v>
      </c>
      <c r="S70" s="30">
        <f t="shared" si="23"/>
        <v>30627</v>
      </c>
      <c r="T70" s="177"/>
      <c r="U70" s="235">
        <f t="shared" si="19"/>
        <v>2551</v>
      </c>
      <c r="V70" s="234">
        <f t="shared" si="19"/>
        <v>2551</v>
      </c>
      <c r="W70" s="234">
        <f t="shared" si="19"/>
        <v>2551</v>
      </c>
      <c r="X70" s="234">
        <f t="shared" si="19"/>
        <v>2551</v>
      </c>
      <c r="Y70" s="234"/>
      <c r="Z70" s="234"/>
      <c r="AA70" s="234"/>
      <c r="AB70" s="234"/>
      <c r="AC70" s="234"/>
      <c r="AD70" s="234"/>
      <c r="AE70" s="234"/>
      <c r="AF70" s="236"/>
      <c r="AI70" s="19"/>
      <c r="AJ70" s="14"/>
      <c r="AK70" s="6"/>
      <c r="AL70" s="20"/>
      <c r="AM70" s="5"/>
    </row>
    <row r="71" spans="2:39" x14ac:dyDescent="0.3">
      <c r="B71" s="13">
        <f t="shared" si="8"/>
        <v>65</v>
      </c>
      <c r="C71" s="47" t="s">
        <v>166</v>
      </c>
      <c r="D71" s="70">
        <v>45071</v>
      </c>
      <c r="E71" s="47"/>
      <c r="F71" s="9"/>
      <c r="G71" s="172" t="s">
        <v>250</v>
      </c>
      <c r="H71" s="170" t="s">
        <v>251</v>
      </c>
      <c r="I71" s="6" t="s">
        <v>168</v>
      </c>
      <c r="J71" s="6"/>
      <c r="K71" s="25">
        <v>122463</v>
      </c>
      <c r="L71" s="7"/>
      <c r="M71" s="7"/>
      <c r="N71" s="166">
        <f t="shared" ref="N71:N134" si="25">IF(E71&gt;0,K71,0)</f>
        <v>0</v>
      </c>
      <c r="O71" s="177">
        <f t="shared" si="21"/>
        <v>122463</v>
      </c>
      <c r="P71" s="25">
        <v>81632</v>
      </c>
      <c r="Q71" s="17">
        <f t="shared" si="24"/>
        <v>10204</v>
      </c>
      <c r="R71" s="30">
        <f t="shared" ref="R71:R102" si="26">P71+Q71</f>
        <v>91836</v>
      </c>
      <c r="S71" s="30">
        <f t="shared" ref="S71:S102" si="27">IF(N71&gt;0,0,O71-R71)</f>
        <v>30627</v>
      </c>
      <c r="T71" s="177"/>
      <c r="U71" s="235">
        <f t="shared" si="19"/>
        <v>2551</v>
      </c>
      <c r="V71" s="234">
        <f t="shared" si="19"/>
        <v>2551</v>
      </c>
      <c r="W71" s="234">
        <f t="shared" si="19"/>
        <v>2551</v>
      </c>
      <c r="X71" s="234">
        <f t="shared" si="19"/>
        <v>2551</v>
      </c>
      <c r="Y71" s="234"/>
      <c r="Z71" s="234"/>
      <c r="AA71" s="234"/>
      <c r="AB71" s="234"/>
      <c r="AC71" s="234"/>
      <c r="AD71" s="234"/>
      <c r="AE71" s="234"/>
      <c r="AF71" s="236"/>
      <c r="AI71" s="19"/>
      <c r="AJ71" s="14"/>
      <c r="AK71" s="6"/>
      <c r="AL71" s="20"/>
      <c r="AM71" s="5"/>
    </row>
    <row r="72" spans="2:39" x14ac:dyDescent="0.3">
      <c r="B72" s="13">
        <f t="shared" si="8"/>
        <v>66</v>
      </c>
      <c r="C72" s="47" t="s">
        <v>166</v>
      </c>
      <c r="D72" s="70">
        <v>45071</v>
      </c>
      <c r="E72" s="47"/>
      <c r="F72" s="9"/>
      <c r="G72" s="172" t="s">
        <v>250</v>
      </c>
      <c r="H72" s="170" t="s">
        <v>251</v>
      </c>
      <c r="I72" s="6" t="s">
        <v>168</v>
      </c>
      <c r="J72" s="6"/>
      <c r="K72" s="25">
        <v>122463</v>
      </c>
      <c r="L72" s="7"/>
      <c r="M72" s="7"/>
      <c r="N72" s="166">
        <f t="shared" si="25"/>
        <v>0</v>
      </c>
      <c r="O72" s="177">
        <f t="shared" si="21"/>
        <v>122463</v>
      </c>
      <c r="P72" s="25">
        <v>81632</v>
      </c>
      <c r="Q72" s="17">
        <f t="shared" si="24"/>
        <v>10204</v>
      </c>
      <c r="R72" s="30">
        <f t="shared" si="26"/>
        <v>91836</v>
      </c>
      <c r="S72" s="30">
        <f t="shared" si="27"/>
        <v>30627</v>
      </c>
      <c r="T72" s="177"/>
      <c r="U72" s="235">
        <f t="shared" si="19"/>
        <v>2551</v>
      </c>
      <c r="V72" s="234">
        <f t="shared" si="19"/>
        <v>2551</v>
      </c>
      <c r="W72" s="234">
        <f t="shared" si="19"/>
        <v>2551</v>
      </c>
      <c r="X72" s="234">
        <f t="shared" si="19"/>
        <v>2551</v>
      </c>
      <c r="Y72" s="234"/>
      <c r="Z72" s="234"/>
      <c r="AA72" s="234"/>
      <c r="AB72" s="234"/>
      <c r="AC72" s="234"/>
      <c r="AD72" s="234"/>
      <c r="AE72" s="234"/>
      <c r="AF72" s="236"/>
      <c r="AI72" s="19"/>
      <c r="AJ72" s="14"/>
      <c r="AK72" s="6"/>
      <c r="AL72" s="20"/>
      <c r="AM72" s="5"/>
    </row>
    <row r="73" spans="2:39" x14ac:dyDescent="0.3">
      <c r="B73" s="13">
        <f t="shared" ref="B73:B136" si="28">B72+1</f>
        <v>67</v>
      </c>
      <c r="C73" s="47" t="s">
        <v>166</v>
      </c>
      <c r="D73" s="70">
        <v>45071</v>
      </c>
      <c r="E73" s="47"/>
      <c r="F73" s="9"/>
      <c r="G73" s="172" t="s">
        <v>250</v>
      </c>
      <c r="H73" s="170" t="s">
        <v>251</v>
      </c>
      <c r="I73" s="6" t="s">
        <v>168</v>
      </c>
      <c r="J73" s="6"/>
      <c r="K73" s="25">
        <v>122463</v>
      </c>
      <c r="L73" s="7"/>
      <c r="M73" s="7"/>
      <c r="N73" s="166">
        <f t="shared" si="25"/>
        <v>0</v>
      </c>
      <c r="O73" s="177">
        <f t="shared" si="21"/>
        <v>122463</v>
      </c>
      <c r="P73" s="25">
        <v>81632</v>
      </c>
      <c r="Q73" s="17">
        <f t="shared" si="24"/>
        <v>10204</v>
      </c>
      <c r="R73" s="30">
        <f t="shared" si="26"/>
        <v>91836</v>
      </c>
      <c r="S73" s="30">
        <f t="shared" si="27"/>
        <v>30627</v>
      </c>
      <c r="T73" s="177"/>
      <c r="U73" s="235">
        <f t="shared" si="19"/>
        <v>2551</v>
      </c>
      <c r="V73" s="234">
        <f t="shared" si="19"/>
        <v>2551</v>
      </c>
      <c r="W73" s="234">
        <f t="shared" si="19"/>
        <v>2551</v>
      </c>
      <c r="X73" s="234">
        <f t="shared" si="19"/>
        <v>2551</v>
      </c>
      <c r="Y73" s="234"/>
      <c r="Z73" s="234"/>
      <c r="AA73" s="234"/>
      <c r="AB73" s="234"/>
      <c r="AC73" s="234"/>
      <c r="AD73" s="234"/>
      <c r="AE73" s="234"/>
      <c r="AF73" s="236"/>
      <c r="AI73" s="19"/>
      <c r="AJ73" s="14"/>
      <c r="AK73" s="6"/>
      <c r="AL73" s="20"/>
      <c r="AM73" s="5"/>
    </row>
    <row r="74" spans="2:39" x14ac:dyDescent="0.3">
      <c r="B74" s="13">
        <f t="shared" si="28"/>
        <v>68</v>
      </c>
      <c r="C74" s="47" t="s">
        <v>166</v>
      </c>
      <c r="D74" s="70">
        <v>45071</v>
      </c>
      <c r="E74" s="47"/>
      <c r="F74" s="9"/>
      <c r="G74" s="172" t="s">
        <v>250</v>
      </c>
      <c r="H74" s="170" t="s">
        <v>251</v>
      </c>
      <c r="I74" s="6" t="s">
        <v>168</v>
      </c>
      <c r="J74" s="6"/>
      <c r="K74" s="25">
        <v>122463</v>
      </c>
      <c r="L74" s="7"/>
      <c r="M74" s="7"/>
      <c r="N74" s="166">
        <f t="shared" si="25"/>
        <v>0</v>
      </c>
      <c r="O74" s="177">
        <f t="shared" si="21"/>
        <v>122463</v>
      </c>
      <c r="P74" s="25">
        <v>81632</v>
      </c>
      <c r="Q74" s="17">
        <f t="shared" si="24"/>
        <v>10204</v>
      </c>
      <c r="R74" s="30">
        <f t="shared" si="26"/>
        <v>91836</v>
      </c>
      <c r="S74" s="30">
        <f t="shared" si="27"/>
        <v>30627</v>
      </c>
      <c r="T74" s="177"/>
      <c r="U74" s="235">
        <f t="shared" si="19"/>
        <v>2551</v>
      </c>
      <c r="V74" s="234">
        <f t="shared" si="19"/>
        <v>2551</v>
      </c>
      <c r="W74" s="234">
        <f t="shared" si="19"/>
        <v>2551</v>
      </c>
      <c r="X74" s="234">
        <f t="shared" si="19"/>
        <v>2551</v>
      </c>
      <c r="Y74" s="234"/>
      <c r="Z74" s="234"/>
      <c r="AA74" s="234"/>
      <c r="AB74" s="234"/>
      <c r="AC74" s="234"/>
      <c r="AD74" s="234"/>
      <c r="AE74" s="234"/>
      <c r="AF74" s="236"/>
      <c r="AI74" s="19"/>
      <c r="AJ74" s="14"/>
      <c r="AK74" s="6"/>
      <c r="AL74" s="20"/>
      <c r="AM74" s="5"/>
    </row>
    <row r="75" spans="2:39" x14ac:dyDescent="0.3">
      <c r="B75" s="13">
        <f t="shared" si="28"/>
        <v>69</v>
      </c>
      <c r="C75" s="47" t="s">
        <v>166</v>
      </c>
      <c r="D75" s="70">
        <v>45071</v>
      </c>
      <c r="E75" s="47"/>
      <c r="F75" s="9"/>
      <c r="G75" s="172" t="s">
        <v>250</v>
      </c>
      <c r="H75" s="170" t="s">
        <v>251</v>
      </c>
      <c r="I75" s="6" t="s">
        <v>168</v>
      </c>
      <c r="J75" s="6"/>
      <c r="K75" s="25">
        <v>122463</v>
      </c>
      <c r="L75" s="7"/>
      <c r="M75" s="7"/>
      <c r="N75" s="166">
        <f t="shared" si="25"/>
        <v>0</v>
      </c>
      <c r="O75" s="177">
        <f t="shared" si="21"/>
        <v>122463</v>
      </c>
      <c r="P75" s="25">
        <v>81632</v>
      </c>
      <c r="Q75" s="17">
        <f t="shared" si="24"/>
        <v>10204</v>
      </c>
      <c r="R75" s="30">
        <f t="shared" si="26"/>
        <v>91836</v>
      </c>
      <c r="S75" s="30">
        <f t="shared" si="27"/>
        <v>30627</v>
      </c>
      <c r="T75" s="177"/>
      <c r="U75" s="235">
        <f t="shared" si="19"/>
        <v>2551</v>
      </c>
      <c r="V75" s="234">
        <f t="shared" si="19"/>
        <v>2551</v>
      </c>
      <c r="W75" s="234">
        <f t="shared" si="19"/>
        <v>2551</v>
      </c>
      <c r="X75" s="234">
        <f t="shared" si="19"/>
        <v>2551</v>
      </c>
      <c r="Y75" s="234"/>
      <c r="Z75" s="234"/>
      <c r="AA75" s="234"/>
      <c r="AB75" s="234"/>
      <c r="AC75" s="234"/>
      <c r="AD75" s="234"/>
      <c r="AE75" s="234"/>
      <c r="AF75" s="236"/>
      <c r="AI75" s="19"/>
      <c r="AJ75" s="14"/>
      <c r="AK75" s="6"/>
      <c r="AL75" s="20"/>
      <c r="AM75" s="5"/>
    </row>
    <row r="76" spans="2:39" x14ac:dyDescent="0.3">
      <c r="B76" s="13">
        <f t="shared" si="28"/>
        <v>70</v>
      </c>
      <c r="C76" s="47" t="s">
        <v>166</v>
      </c>
      <c r="D76" s="70">
        <v>45071</v>
      </c>
      <c r="E76" s="47"/>
      <c r="F76" s="9"/>
      <c r="G76" s="172" t="s">
        <v>250</v>
      </c>
      <c r="H76" s="170" t="s">
        <v>251</v>
      </c>
      <c r="I76" s="6" t="s">
        <v>168</v>
      </c>
      <c r="J76" s="6"/>
      <c r="K76" s="25">
        <v>122463</v>
      </c>
      <c r="L76" s="7"/>
      <c r="M76" s="7"/>
      <c r="N76" s="166">
        <f t="shared" si="25"/>
        <v>0</v>
      </c>
      <c r="O76" s="177">
        <f t="shared" si="21"/>
        <v>122463</v>
      </c>
      <c r="P76" s="25">
        <v>81632</v>
      </c>
      <c r="Q76" s="17">
        <f t="shared" si="24"/>
        <v>10204</v>
      </c>
      <c r="R76" s="30">
        <f t="shared" si="26"/>
        <v>91836</v>
      </c>
      <c r="S76" s="30">
        <f t="shared" si="27"/>
        <v>30627</v>
      </c>
      <c r="T76" s="177"/>
      <c r="U76" s="235">
        <f t="shared" si="19"/>
        <v>2551</v>
      </c>
      <c r="V76" s="234">
        <f t="shared" si="19"/>
        <v>2551</v>
      </c>
      <c r="W76" s="234">
        <f t="shared" si="19"/>
        <v>2551</v>
      </c>
      <c r="X76" s="234">
        <f t="shared" si="19"/>
        <v>2551</v>
      </c>
      <c r="Y76" s="234"/>
      <c r="Z76" s="234"/>
      <c r="AA76" s="234"/>
      <c r="AB76" s="234"/>
      <c r="AC76" s="234"/>
      <c r="AD76" s="234"/>
      <c r="AE76" s="234"/>
      <c r="AF76" s="236"/>
      <c r="AI76" s="19"/>
      <c r="AJ76" s="14"/>
      <c r="AK76" s="6"/>
      <c r="AL76" s="20"/>
      <c r="AM76" s="5"/>
    </row>
    <row r="77" spans="2:39" x14ac:dyDescent="0.3">
      <c r="B77" s="13">
        <f t="shared" si="28"/>
        <v>71</v>
      </c>
      <c r="C77" s="47" t="s">
        <v>166</v>
      </c>
      <c r="D77" s="70">
        <v>45071</v>
      </c>
      <c r="E77" s="47"/>
      <c r="F77" s="9"/>
      <c r="G77" s="172" t="s">
        <v>250</v>
      </c>
      <c r="H77" s="170" t="s">
        <v>251</v>
      </c>
      <c r="I77" s="6" t="s">
        <v>168</v>
      </c>
      <c r="J77" s="6"/>
      <c r="K77" s="25">
        <v>122463</v>
      </c>
      <c r="L77" s="7"/>
      <c r="M77" s="7"/>
      <c r="N77" s="166">
        <f t="shared" si="25"/>
        <v>0</v>
      </c>
      <c r="O77" s="177">
        <f t="shared" si="21"/>
        <v>122463</v>
      </c>
      <c r="P77" s="25">
        <v>81632</v>
      </c>
      <c r="Q77" s="17">
        <f t="shared" si="24"/>
        <v>10204</v>
      </c>
      <c r="R77" s="30">
        <f t="shared" si="26"/>
        <v>91836</v>
      </c>
      <c r="S77" s="30">
        <f t="shared" si="27"/>
        <v>30627</v>
      </c>
      <c r="T77" s="177"/>
      <c r="U77" s="235">
        <f t="shared" si="19"/>
        <v>2551</v>
      </c>
      <c r="V77" s="234">
        <f t="shared" si="19"/>
        <v>2551</v>
      </c>
      <c r="W77" s="234">
        <f t="shared" si="19"/>
        <v>2551</v>
      </c>
      <c r="X77" s="234">
        <f t="shared" si="19"/>
        <v>2551</v>
      </c>
      <c r="Y77" s="234"/>
      <c r="Z77" s="234"/>
      <c r="AA77" s="234"/>
      <c r="AB77" s="234"/>
      <c r="AC77" s="234"/>
      <c r="AD77" s="234"/>
      <c r="AE77" s="234"/>
      <c r="AF77" s="236"/>
      <c r="AI77" s="19"/>
      <c r="AJ77" s="14"/>
      <c r="AK77" s="6"/>
      <c r="AL77" s="20"/>
      <c r="AM77" s="5"/>
    </row>
    <row r="78" spans="2:39" x14ac:dyDescent="0.3">
      <c r="B78" s="13">
        <f t="shared" si="28"/>
        <v>72</v>
      </c>
      <c r="C78" s="47" t="s">
        <v>166</v>
      </c>
      <c r="D78" s="70">
        <v>45071</v>
      </c>
      <c r="E78" s="47"/>
      <c r="F78" s="9"/>
      <c r="G78" s="172" t="s">
        <v>250</v>
      </c>
      <c r="H78" s="170" t="s">
        <v>251</v>
      </c>
      <c r="I78" s="6" t="s">
        <v>168</v>
      </c>
      <c r="J78" s="6"/>
      <c r="K78" s="25">
        <v>122463</v>
      </c>
      <c r="L78" s="7"/>
      <c r="M78" s="7"/>
      <c r="N78" s="166">
        <f t="shared" si="25"/>
        <v>0</v>
      </c>
      <c r="O78" s="177">
        <f t="shared" si="21"/>
        <v>122463</v>
      </c>
      <c r="P78" s="25">
        <v>81632</v>
      </c>
      <c r="Q78" s="17">
        <f t="shared" si="24"/>
        <v>10204</v>
      </c>
      <c r="R78" s="30">
        <f t="shared" si="26"/>
        <v>91836</v>
      </c>
      <c r="S78" s="30">
        <f t="shared" si="27"/>
        <v>30627</v>
      </c>
      <c r="T78" s="177"/>
      <c r="U78" s="235">
        <f t="shared" si="19"/>
        <v>2551</v>
      </c>
      <c r="V78" s="234">
        <f t="shared" si="19"/>
        <v>2551</v>
      </c>
      <c r="W78" s="234">
        <f t="shared" si="19"/>
        <v>2551</v>
      </c>
      <c r="X78" s="234">
        <f t="shared" si="19"/>
        <v>2551</v>
      </c>
      <c r="Y78" s="234"/>
      <c r="Z78" s="234"/>
      <c r="AA78" s="234"/>
      <c r="AB78" s="234"/>
      <c r="AC78" s="234"/>
      <c r="AD78" s="234"/>
      <c r="AE78" s="234"/>
      <c r="AF78" s="236"/>
      <c r="AI78" s="19"/>
      <c r="AJ78" s="14"/>
      <c r="AK78" s="6"/>
      <c r="AL78" s="20"/>
      <c r="AM78" s="5"/>
    </row>
    <row r="79" spans="2:39" x14ac:dyDescent="0.3">
      <c r="B79" s="13">
        <f t="shared" si="28"/>
        <v>73</v>
      </c>
      <c r="C79" s="47" t="s">
        <v>166</v>
      </c>
      <c r="D79" s="70">
        <v>45071</v>
      </c>
      <c r="E79" s="47"/>
      <c r="F79" s="9"/>
      <c r="G79" s="172" t="s">
        <v>250</v>
      </c>
      <c r="H79" s="170" t="s">
        <v>251</v>
      </c>
      <c r="I79" s="6" t="s">
        <v>168</v>
      </c>
      <c r="J79" s="6"/>
      <c r="K79" s="25">
        <v>122463</v>
      </c>
      <c r="L79" s="7"/>
      <c r="M79" s="7"/>
      <c r="N79" s="166">
        <f t="shared" si="25"/>
        <v>0</v>
      </c>
      <c r="O79" s="177">
        <f t="shared" ref="O79:O142" si="29">K79+L79-M79-N79</f>
        <v>122463</v>
      </c>
      <c r="P79" s="25">
        <v>81632</v>
      </c>
      <c r="Q79" s="17">
        <f t="shared" si="24"/>
        <v>10204</v>
      </c>
      <c r="R79" s="30">
        <f t="shared" si="26"/>
        <v>91836</v>
      </c>
      <c r="S79" s="30">
        <f t="shared" si="27"/>
        <v>30627</v>
      </c>
      <c r="T79" s="177"/>
      <c r="U79" s="235">
        <f t="shared" si="19"/>
        <v>2551</v>
      </c>
      <c r="V79" s="234">
        <f t="shared" si="19"/>
        <v>2551</v>
      </c>
      <c r="W79" s="234">
        <f t="shared" si="19"/>
        <v>2551</v>
      </c>
      <c r="X79" s="234">
        <f t="shared" si="19"/>
        <v>2551</v>
      </c>
      <c r="Y79" s="234"/>
      <c r="Z79" s="234"/>
      <c r="AA79" s="234"/>
      <c r="AB79" s="234"/>
      <c r="AC79" s="234"/>
      <c r="AD79" s="234"/>
      <c r="AE79" s="234"/>
      <c r="AF79" s="236"/>
      <c r="AI79" s="19"/>
      <c r="AJ79" s="14"/>
      <c r="AK79" s="6"/>
      <c r="AL79" s="20"/>
      <c r="AM79" s="5"/>
    </row>
    <row r="80" spans="2:39" x14ac:dyDescent="0.3">
      <c r="B80" s="13">
        <f t="shared" si="28"/>
        <v>74</v>
      </c>
      <c r="C80" s="47" t="s">
        <v>166</v>
      </c>
      <c r="D80" s="70">
        <v>45071</v>
      </c>
      <c r="E80" s="47"/>
      <c r="F80" s="9"/>
      <c r="G80" s="172" t="s">
        <v>250</v>
      </c>
      <c r="H80" s="170" t="s">
        <v>251</v>
      </c>
      <c r="I80" s="6" t="s">
        <v>168</v>
      </c>
      <c r="J80" s="6"/>
      <c r="K80" s="25">
        <v>122463</v>
      </c>
      <c r="L80" s="7"/>
      <c r="M80" s="7"/>
      <c r="N80" s="166">
        <f t="shared" si="25"/>
        <v>0</v>
      </c>
      <c r="O80" s="177">
        <f t="shared" si="29"/>
        <v>122463</v>
      </c>
      <c r="P80" s="25">
        <v>81632</v>
      </c>
      <c r="Q80" s="17">
        <f t="shared" si="24"/>
        <v>10204</v>
      </c>
      <c r="R80" s="30">
        <f t="shared" si="26"/>
        <v>91836</v>
      </c>
      <c r="S80" s="30">
        <f t="shared" si="27"/>
        <v>30627</v>
      </c>
      <c r="T80" s="177"/>
      <c r="U80" s="235">
        <f t="shared" si="19"/>
        <v>2551</v>
      </c>
      <c r="V80" s="234">
        <f t="shared" si="19"/>
        <v>2551</v>
      </c>
      <c r="W80" s="234">
        <f t="shared" si="19"/>
        <v>2551</v>
      </c>
      <c r="X80" s="234">
        <f t="shared" si="19"/>
        <v>2551</v>
      </c>
      <c r="Y80" s="234"/>
      <c r="Z80" s="234"/>
      <c r="AA80" s="234"/>
      <c r="AB80" s="234"/>
      <c r="AC80" s="234"/>
      <c r="AD80" s="234"/>
      <c r="AE80" s="234"/>
      <c r="AF80" s="236"/>
      <c r="AI80" s="19"/>
      <c r="AJ80" s="14"/>
      <c r="AK80" s="6"/>
      <c r="AL80" s="20"/>
      <c r="AM80" s="5"/>
    </row>
    <row r="81" spans="2:39" x14ac:dyDescent="0.3">
      <c r="B81" s="13">
        <f t="shared" si="28"/>
        <v>75</v>
      </c>
      <c r="C81" s="47" t="s">
        <v>166</v>
      </c>
      <c r="D81" s="70">
        <v>45071</v>
      </c>
      <c r="E81" s="47"/>
      <c r="F81" s="9"/>
      <c r="G81" s="172" t="s">
        <v>250</v>
      </c>
      <c r="H81" s="170" t="s">
        <v>251</v>
      </c>
      <c r="I81" s="6" t="s">
        <v>168</v>
      </c>
      <c r="J81" s="6"/>
      <c r="K81" s="25">
        <v>122463</v>
      </c>
      <c r="L81" s="7"/>
      <c r="M81" s="7"/>
      <c r="N81" s="166">
        <f t="shared" si="25"/>
        <v>0</v>
      </c>
      <c r="O81" s="177">
        <f t="shared" si="29"/>
        <v>122463</v>
      </c>
      <c r="P81" s="25">
        <v>81632</v>
      </c>
      <c r="Q81" s="17">
        <f t="shared" si="24"/>
        <v>10204</v>
      </c>
      <c r="R81" s="30">
        <f t="shared" si="26"/>
        <v>91836</v>
      </c>
      <c r="S81" s="30">
        <f t="shared" si="27"/>
        <v>30627</v>
      </c>
      <c r="T81" s="177"/>
      <c r="U81" s="235">
        <f t="shared" si="19"/>
        <v>2551</v>
      </c>
      <c r="V81" s="234">
        <f t="shared" si="19"/>
        <v>2551</v>
      </c>
      <c r="W81" s="234">
        <f t="shared" si="19"/>
        <v>2551</v>
      </c>
      <c r="X81" s="234">
        <f t="shared" si="19"/>
        <v>2551</v>
      </c>
      <c r="Y81" s="234"/>
      <c r="Z81" s="234"/>
      <c r="AA81" s="234"/>
      <c r="AB81" s="234"/>
      <c r="AC81" s="234"/>
      <c r="AD81" s="234"/>
      <c r="AE81" s="234"/>
      <c r="AF81" s="236"/>
      <c r="AI81" s="19"/>
      <c r="AJ81" s="14"/>
      <c r="AK81" s="6"/>
      <c r="AL81" s="20"/>
      <c r="AM81" s="5"/>
    </row>
    <row r="82" spans="2:39" x14ac:dyDescent="0.3">
      <c r="B82" s="13">
        <f t="shared" si="28"/>
        <v>76</v>
      </c>
      <c r="C82" s="47" t="s">
        <v>166</v>
      </c>
      <c r="D82" s="70">
        <v>45071</v>
      </c>
      <c r="E82" s="47"/>
      <c r="F82" s="9"/>
      <c r="G82" s="172" t="s">
        <v>250</v>
      </c>
      <c r="H82" s="170" t="s">
        <v>251</v>
      </c>
      <c r="I82" s="6" t="s">
        <v>169</v>
      </c>
      <c r="J82" s="6"/>
      <c r="K82" s="25">
        <v>143761</v>
      </c>
      <c r="L82" s="7"/>
      <c r="M82" s="7"/>
      <c r="N82" s="166">
        <f t="shared" si="25"/>
        <v>0</v>
      </c>
      <c r="O82" s="177">
        <f t="shared" si="29"/>
        <v>143761</v>
      </c>
      <c r="P82" s="25">
        <v>95840</v>
      </c>
      <c r="Q82" s="17">
        <f t="shared" si="24"/>
        <v>11980</v>
      </c>
      <c r="R82" s="30">
        <f t="shared" si="26"/>
        <v>107820</v>
      </c>
      <c r="S82" s="30">
        <f t="shared" si="27"/>
        <v>35941</v>
      </c>
      <c r="T82" s="177"/>
      <c r="U82" s="235">
        <f t="shared" si="19"/>
        <v>2995</v>
      </c>
      <c r="V82" s="234">
        <f t="shared" si="19"/>
        <v>2995</v>
      </c>
      <c r="W82" s="234">
        <f t="shared" si="19"/>
        <v>2995</v>
      </c>
      <c r="X82" s="234">
        <f t="shared" si="19"/>
        <v>2995</v>
      </c>
      <c r="Y82" s="234"/>
      <c r="Z82" s="234"/>
      <c r="AA82" s="234"/>
      <c r="AB82" s="234"/>
      <c r="AC82" s="234"/>
      <c r="AD82" s="234"/>
      <c r="AE82" s="234"/>
      <c r="AF82" s="236"/>
      <c r="AI82" s="19"/>
      <c r="AJ82" s="14"/>
      <c r="AK82" s="6"/>
      <c r="AL82" s="20"/>
      <c r="AM82" s="5"/>
    </row>
    <row r="83" spans="2:39" x14ac:dyDescent="0.3">
      <c r="B83" s="13">
        <f t="shared" si="28"/>
        <v>77</v>
      </c>
      <c r="C83" s="47" t="s">
        <v>166</v>
      </c>
      <c r="D83" s="70">
        <v>45071</v>
      </c>
      <c r="E83" s="47"/>
      <c r="F83" s="9"/>
      <c r="G83" s="172" t="s">
        <v>250</v>
      </c>
      <c r="H83" s="170" t="s">
        <v>251</v>
      </c>
      <c r="I83" s="6" t="s">
        <v>169</v>
      </c>
      <c r="J83" s="6"/>
      <c r="K83" s="25">
        <v>143761</v>
      </c>
      <c r="L83" s="7"/>
      <c r="M83" s="7"/>
      <c r="N83" s="166">
        <f t="shared" si="25"/>
        <v>0</v>
      </c>
      <c r="O83" s="177">
        <f t="shared" si="29"/>
        <v>143761</v>
      </c>
      <c r="P83" s="25">
        <v>95840</v>
      </c>
      <c r="Q83" s="17">
        <f t="shared" si="24"/>
        <v>11980</v>
      </c>
      <c r="R83" s="30">
        <f t="shared" si="26"/>
        <v>107820</v>
      </c>
      <c r="S83" s="30">
        <f t="shared" si="27"/>
        <v>35941</v>
      </c>
      <c r="T83" s="177"/>
      <c r="U83" s="235">
        <f t="shared" ref="U83:X144" si="30">INT($O83/$E$4)</f>
        <v>2995</v>
      </c>
      <c r="V83" s="234">
        <f t="shared" si="30"/>
        <v>2995</v>
      </c>
      <c r="W83" s="234">
        <f t="shared" si="30"/>
        <v>2995</v>
      </c>
      <c r="X83" s="234">
        <f t="shared" si="30"/>
        <v>2995</v>
      </c>
      <c r="Y83" s="234"/>
      <c r="Z83" s="234"/>
      <c r="AA83" s="234"/>
      <c r="AB83" s="234"/>
      <c r="AC83" s="234"/>
      <c r="AD83" s="234"/>
      <c r="AE83" s="234"/>
      <c r="AF83" s="236"/>
      <c r="AI83" s="19"/>
      <c r="AJ83" s="14"/>
      <c r="AK83" s="6"/>
      <c r="AL83" s="20"/>
      <c r="AM83" s="5"/>
    </row>
    <row r="84" spans="2:39" x14ac:dyDescent="0.3">
      <c r="B84" s="13">
        <f t="shared" si="28"/>
        <v>78</v>
      </c>
      <c r="C84" s="47" t="s">
        <v>166</v>
      </c>
      <c r="D84" s="70">
        <v>45071</v>
      </c>
      <c r="E84" s="47"/>
      <c r="F84" s="9"/>
      <c r="G84" s="172" t="s">
        <v>250</v>
      </c>
      <c r="H84" s="170" t="s">
        <v>251</v>
      </c>
      <c r="I84" s="6" t="s">
        <v>169</v>
      </c>
      <c r="J84" s="6"/>
      <c r="K84" s="25">
        <v>143761</v>
      </c>
      <c r="L84" s="7"/>
      <c r="M84" s="7"/>
      <c r="N84" s="166">
        <f t="shared" si="25"/>
        <v>0</v>
      </c>
      <c r="O84" s="177">
        <f t="shared" si="29"/>
        <v>143761</v>
      </c>
      <c r="P84" s="25">
        <v>95840</v>
      </c>
      <c r="Q84" s="17">
        <f t="shared" si="24"/>
        <v>11980</v>
      </c>
      <c r="R84" s="30">
        <f t="shared" si="26"/>
        <v>107820</v>
      </c>
      <c r="S84" s="30">
        <f t="shared" si="27"/>
        <v>35941</v>
      </c>
      <c r="T84" s="177"/>
      <c r="U84" s="235">
        <f t="shared" si="30"/>
        <v>2995</v>
      </c>
      <c r="V84" s="234">
        <f t="shared" si="30"/>
        <v>2995</v>
      </c>
      <c r="W84" s="234">
        <f t="shared" si="30"/>
        <v>2995</v>
      </c>
      <c r="X84" s="234">
        <f t="shared" si="30"/>
        <v>2995</v>
      </c>
      <c r="Y84" s="234"/>
      <c r="Z84" s="234"/>
      <c r="AA84" s="234"/>
      <c r="AB84" s="234"/>
      <c r="AC84" s="234"/>
      <c r="AD84" s="234"/>
      <c r="AE84" s="234"/>
      <c r="AF84" s="236"/>
      <c r="AI84" s="19"/>
      <c r="AJ84" s="14"/>
      <c r="AK84" s="6"/>
      <c r="AL84" s="20"/>
      <c r="AM84" s="5"/>
    </row>
    <row r="85" spans="2:39" x14ac:dyDescent="0.3">
      <c r="B85" s="13">
        <f t="shared" si="28"/>
        <v>79</v>
      </c>
      <c r="C85" s="47" t="s">
        <v>166</v>
      </c>
      <c r="D85" s="70">
        <v>45071</v>
      </c>
      <c r="E85" s="47"/>
      <c r="F85" s="9"/>
      <c r="G85" s="172" t="s">
        <v>250</v>
      </c>
      <c r="H85" s="170" t="s">
        <v>251</v>
      </c>
      <c r="I85" s="130" t="s">
        <v>169</v>
      </c>
      <c r="J85" s="6"/>
      <c r="K85" s="25">
        <v>143761</v>
      </c>
      <c r="L85" s="7"/>
      <c r="M85" s="7"/>
      <c r="N85" s="166">
        <f t="shared" si="25"/>
        <v>0</v>
      </c>
      <c r="O85" s="177">
        <f t="shared" si="29"/>
        <v>143761</v>
      </c>
      <c r="P85" s="25">
        <v>95840</v>
      </c>
      <c r="Q85" s="17">
        <f t="shared" si="24"/>
        <v>11980</v>
      </c>
      <c r="R85" s="30">
        <f t="shared" si="26"/>
        <v>107820</v>
      </c>
      <c r="S85" s="30">
        <f t="shared" si="27"/>
        <v>35941</v>
      </c>
      <c r="T85" s="177"/>
      <c r="U85" s="235">
        <f t="shared" si="30"/>
        <v>2995</v>
      </c>
      <c r="V85" s="234">
        <f t="shared" si="30"/>
        <v>2995</v>
      </c>
      <c r="W85" s="234">
        <f t="shared" si="30"/>
        <v>2995</v>
      </c>
      <c r="X85" s="234">
        <f t="shared" si="30"/>
        <v>2995</v>
      </c>
      <c r="Y85" s="234"/>
      <c r="Z85" s="234"/>
      <c r="AA85" s="234"/>
      <c r="AB85" s="234"/>
      <c r="AC85" s="234"/>
      <c r="AD85" s="234"/>
      <c r="AE85" s="234"/>
      <c r="AF85" s="236"/>
      <c r="AI85" s="19"/>
      <c r="AJ85" s="14"/>
      <c r="AK85" s="6"/>
      <c r="AL85" s="20"/>
      <c r="AM85" s="5"/>
    </row>
    <row r="86" spans="2:39" x14ac:dyDescent="0.3">
      <c r="B86" s="13">
        <f t="shared" si="28"/>
        <v>80</v>
      </c>
      <c r="C86" s="47" t="s">
        <v>166</v>
      </c>
      <c r="D86" s="70">
        <v>45071</v>
      </c>
      <c r="E86" s="47"/>
      <c r="F86" s="9"/>
      <c r="G86" s="172" t="s">
        <v>250</v>
      </c>
      <c r="H86" s="170" t="s">
        <v>251</v>
      </c>
      <c r="I86" s="130" t="s">
        <v>169</v>
      </c>
      <c r="J86" s="6"/>
      <c r="K86" s="25">
        <v>143761</v>
      </c>
      <c r="L86" s="7"/>
      <c r="M86" s="7"/>
      <c r="N86" s="166">
        <f t="shared" si="25"/>
        <v>0</v>
      </c>
      <c r="O86" s="177">
        <f t="shared" si="29"/>
        <v>143761</v>
      </c>
      <c r="P86" s="25">
        <v>95840</v>
      </c>
      <c r="Q86" s="17">
        <f t="shared" si="24"/>
        <v>11980</v>
      </c>
      <c r="R86" s="30">
        <f t="shared" si="26"/>
        <v>107820</v>
      </c>
      <c r="S86" s="30">
        <f t="shared" si="27"/>
        <v>35941</v>
      </c>
      <c r="T86" s="177"/>
      <c r="U86" s="235">
        <f t="shared" si="30"/>
        <v>2995</v>
      </c>
      <c r="V86" s="234">
        <f t="shared" si="30"/>
        <v>2995</v>
      </c>
      <c r="W86" s="234">
        <f t="shared" si="30"/>
        <v>2995</v>
      </c>
      <c r="X86" s="234">
        <f t="shared" si="30"/>
        <v>2995</v>
      </c>
      <c r="Y86" s="234"/>
      <c r="Z86" s="234"/>
      <c r="AA86" s="234"/>
      <c r="AB86" s="234"/>
      <c r="AC86" s="234"/>
      <c r="AD86" s="234"/>
      <c r="AE86" s="234"/>
      <c r="AF86" s="236"/>
      <c r="AI86" s="19"/>
      <c r="AJ86" s="14"/>
      <c r="AK86" s="6"/>
      <c r="AL86" s="20"/>
      <c r="AM86" s="5"/>
    </row>
    <row r="87" spans="2:39" x14ac:dyDescent="0.3">
      <c r="B87" s="13">
        <f t="shared" si="28"/>
        <v>81</v>
      </c>
      <c r="C87" s="47" t="s">
        <v>166</v>
      </c>
      <c r="D87" s="70">
        <v>45071</v>
      </c>
      <c r="E87" s="47"/>
      <c r="F87" s="9"/>
      <c r="G87" s="172" t="s">
        <v>250</v>
      </c>
      <c r="H87" s="170" t="s">
        <v>251</v>
      </c>
      <c r="I87" s="130" t="s">
        <v>169</v>
      </c>
      <c r="J87" s="6"/>
      <c r="K87" s="25">
        <v>143761</v>
      </c>
      <c r="L87" s="7"/>
      <c r="M87" s="7"/>
      <c r="N87" s="166">
        <f t="shared" si="25"/>
        <v>0</v>
      </c>
      <c r="O87" s="177">
        <f t="shared" si="29"/>
        <v>143761</v>
      </c>
      <c r="P87" s="25">
        <v>95840</v>
      </c>
      <c r="Q87" s="17">
        <f t="shared" si="24"/>
        <v>11980</v>
      </c>
      <c r="R87" s="30">
        <f t="shared" si="26"/>
        <v>107820</v>
      </c>
      <c r="S87" s="30">
        <f t="shared" si="27"/>
        <v>35941</v>
      </c>
      <c r="T87" s="177"/>
      <c r="U87" s="235">
        <f t="shared" si="30"/>
        <v>2995</v>
      </c>
      <c r="V87" s="234">
        <f t="shared" si="30"/>
        <v>2995</v>
      </c>
      <c r="W87" s="234">
        <f t="shared" si="30"/>
        <v>2995</v>
      </c>
      <c r="X87" s="234">
        <f t="shared" si="30"/>
        <v>2995</v>
      </c>
      <c r="Y87" s="234"/>
      <c r="Z87" s="234"/>
      <c r="AA87" s="234"/>
      <c r="AB87" s="234"/>
      <c r="AC87" s="234"/>
      <c r="AD87" s="234"/>
      <c r="AE87" s="234"/>
      <c r="AF87" s="236"/>
      <c r="AI87" s="19"/>
      <c r="AJ87" s="14"/>
      <c r="AK87" s="6"/>
      <c r="AL87" s="20"/>
      <c r="AM87" s="5"/>
    </row>
    <row r="88" spans="2:39" x14ac:dyDescent="0.3">
      <c r="B88" s="13">
        <f t="shared" si="28"/>
        <v>82</v>
      </c>
      <c r="C88" s="47" t="s">
        <v>166</v>
      </c>
      <c r="D88" s="70">
        <v>45071</v>
      </c>
      <c r="E88" s="47"/>
      <c r="F88" s="9"/>
      <c r="G88" s="172" t="s">
        <v>250</v>
      </c>
      <c r="H88" s="170" t="s">
        <v>251</v>
      </c>
      <c r="I88" s="130" t="s">
        <v>169</v>
      </c>
      <c r="J88" s="6"/>
      <c r="K88" s="25">
        <v>143761</v>
      </c>
      <c r="L88" s="7"/>
      <c r="M88" s="7"/>
      <c r="N88" s="166">
        <f t="shared" si="25"/>
        <v>0</v>
      </c>
      <c r="O88" s="177">
        <f t="shared" si="29"/>
        <v>143761</v>
      </c>
      <c r="P88" s="25">
        <v>95840</v>
      </c>
      <c r="Q88" s="17">
        <f t="shared" si="24"/>
        <v>11980</v>
      </c>
      <c r="R88" s="30">
        <f t="shared" si="26"/>
        <v>107820</v>
      </c>
      <c r="S88" s="30">
        <f t="shared" si="27"/>
        <v>35941</v>
      </c>
      <c r="T88" s="177"/>
      <c r="U88" s="235">
        <f t="shared" si="30"/>
        <v>2995</v>
      </c>
      <c r="V88" s="234">
        <f t="shared" si="30"/>
        <v>2995</v>
      </c>
      <c r="W88" s="234">
        <f t="shared" si="30"/>
        <v>2995</v>
      </c>
      <c r="X88" s="234">
        <f t="shared" si="30"/>
        <v>2995</v>
      </c>
      <c r="Y88" s="234"/>
      <c r="Z88" s="234"/>
      <c r="AA88" s="234"/>
      <c r="AB88" s="234"/>
      <c r="AC88" s="234"/>
      <c r="AD88" s="234"/>
      <c r="AE88" s="234"/>
      <c r="AF88" s="236"/>
      <c r="AI88" s="19"/>
      <c r="AJ88" s="14"/>
      <c r="AK88" s="6"/>
      <c r="AL88" s="20"/>
      <c r="AM88" s="5"/>
    </row>
    <row r="89" spans="2:39" x14ac:dyDescent="0.3">
      <c r="B89" s="13">
        <f t="shared" si="28"/>
        <v>83</v>
      </c>
      <c r="C89" s="47" t="s">
        <v>166</v>
      </c>
      <c r="D89" s="70">
        <v>45071</v>
      </c>
      <c r="E89" s="47"/>
      <c r="F89" s="9"/>
      <c r="G89" s="172" t="s">
        <v>250</v>
      </c>
      <c r="H89" s="170" t="s">
        <v>251</v>
      </c>
      <c r="I89" s="130" t="s">
        <v>169</v>
      </c>
      <c r="J89" s="6"/>
      <c r="K89" s="25">
        <v>143761</v>
      </c>
      <c r="L89" s="7"/>
      <c r="M89" s="7"/>
      <c r="N89" s="166">
        <f t="shared" si="25"/>
        <v>0</v>
      </c>
      <c r="O89" s="177">
        <f t="shared" si="29"/>
        <v>143761</v>
      </c>
      <c r="P89" s="25">
        <v>95840</v>
      </c>
      <c r="Q89" s="17">
        <f t="shared" si="24"/>
        <v>11980</v>
      </c>
      <c r="R89" s="30">
        <f t="shared" si="26"/>
        <v>107820</v>
      </c>
      <c r="S89" s="30">
        <f t="shared" si="27"/>
        <v>35941</v>
      </c>
      <c r="T89" s="177"/>
      <c r="U89" s="235">
        <f t="shared" si="30"/>
        <v>2995</v>
      </c>
      <c r="V89" s="234">
        <f t="shared" si="30"/>
        <v>2995</v>
      </c>
      <c r="W89" s="234">
        <f t="shared" si="30"/>
        <v>2995</v>
      </c>
      <c r="X89" s="234">
        <f t="shared" si="30"/>
        <v>2995</v>
      </c>
      <c r="Y89" s="234"/>
      <c r="Z89" s="234"/>
      <c r="AA89" s="234"/>
      <c r="AB89" s="234"/>
      <c r="AC89" s="234"/>
      <c r="AD89" s="234"/>
      <c r="AE89" s="234"/>
      <c r="AF89" s="236"/>
      <c r="AI89" s="19"/>
      <c r="AJ89" s="14"/>
      <c r="AK89" s="6"/>
      <c r="AL89" s="20"/>
      <c r="AM89" s="5"/>
    </row>
    <row r="90" spans="2:39" x14ac:dyDescent="0.3">
      <c r="B90" s="13">
        <f t="shared" si="28"/>
        <v>84</v>
      </c>
      <c r="C90" s="47" t="s">
        <v>166</v>
      </c>
      <c r="D90" s="70">
        <v>45071</v>
      </c>
      <c r="E90" s="47"/>
      <c r="F90" s="9"/>
      <c r="G90" s="172" t="s">
        <v>250</v>
      </c>
      <c r="H90" s="170" t="s">
        <v>251</v>
      </c>
      <c r="I90" s="130" t="s">
        <v>169</v>
      </c>
      <c r="J90" s="6"/>
      <c r="K90" s="25">
        <v>143761</v>
      </c>
      <c r="L90" s="7"/>
      <c r="M90" s="7"/>
      <c r="N90" s="166">
        <f t="shared" si="25"/>
        <v>0</v>
      </c>
      <c r="O90" s="177">
        <f t="shared" si="29"/>
        <v>143761</v>
      </c>
      <c r="P90" s="25">
        <v>95840</v>
      </c>
      <c r="Q90" s="17">
        <f t="shared" si="24"/>
        <v>11980</v>
      </c>
      <c r="R90" s="30">
        <f t="shared" si="26"/>
        <v>107820</v>
      </c>
      <c r="S90" s="30">
        <f t="shared" si="27"/>
        <v>35941</v>
      </c>
      <c r="T90" s="177"/>
      <c r="U90" s="235">
        <f t="shared" si="30"/>
        <v>2995</v>
      </c>
      <c r="V90" s="234">
        <f t="shared" si="30"/>
        <v>2995</v>
      </c>
      <c r="W90" s="234">
        <f t="shared" si="30"/>
        <v>2995</v>
      </c>
      <c r="X90" s="234">
        <f t="shared" si="30"/>
        <v>2995</v>
      </c>
      <c r="Y90" s="234"/>
      <c r="Z90" s="234"/>
      <c r="AA90" s="234"/>
      <c r="AB90" s="234"/>
      <c r="AC90" s="234"/>
      <c r="AD90" s="234"/>
      <c r="AE90" s="234"/>
      <c r="AF90" s="236"/>
      <c r="AI90" s="19"/>
      <c r="AJ90" s="14"/>
      <c r="AK90" s="6"/>
      <c r="AL90" s="20"/>
      <c r="AM90" s="5"/>
    </row>
    <row r="91" spans="2:39" x14ac:dyDescent="0.3">
      <c r="B91" s="13">
        <f t="shared" si="28"/>
        <v>85</v>
      </c>
      <c r="C91" s="47" t="s">
        <v>166</v>
      </c>
      <c r="D91" s="70">
        <v>45071</v>
      </c>
      <c r="E91" s="47"/>
      <c r="F91" s="9"/>
      <c r="G91" s="172" t="s">
        <v>250</v>
      </c>
      <c r="H91" s="170" t="s">
        <v>251</v>
      </c>
      <c r="I91" s="130" t="s">
        <v>169</v>
      </c>
      <c r="J91" s="6"/>
      <c r="K91" s="25">
        <v>143761</v>
      </c>
      <c r="L91" s="7"/>
      <c r="M91" s="7"/>
      <c r="N91" s="166">
        <f t="shared" si="25"/>
        <v>0</v>
      </c>
      <c r="O91" s="177">
        <f t="shared" si="29"/>
        <v>143761</v>
      </c>
      <c r="P91" s="25">
        <v>95840</v>
      </c>
      <c r="Q91" s="17">
        <f t="shared" si="24"/>
        <v>11980</v>
      </c>
      <c r="R91" s="30">
        <f t="shared" si="26"/>
        <v>107820</v>
      </c>
      <c r="S91" s="30">
        <f t="shared" si="27"/>
        <v>35941</v>
      </c>
      <c r="T91" s="177"/>
      <c r="U91" s="235">
        <f t="shared" si="30"/>
        <v>2995</v>
      </c>
      <c r="V91" s="234">
        <f t="shared" si="30"/>
        <v>2995</v>
      </c>
      <c r="W91" s="234">
        <f t="shared" si="30"/>
        <v>2995</v>
      </c>
      <c r="X91" s="234">
        <f t="shared" si="30"/>
        <v>2995</v>
      </c>
      <c r="Y91" s="234"/>
      <c r="Z91" s="234"/>
      <c r="AA91" s="234"/>
      <c r="AB91" s="234"/>
      <c r="AC91" s="234"/>
      <c r="AD91" s="234"/>
      <c r="AE91" s="234"/>
      <c r="AF91" s="236"/>
      <c r="AI91" s="19"/>
      <c r="AJ91" s="14"/>
      <c r="AK91" s="6"/>
      <c r="AL91" s="20"/>
      <c r="AM91" s="5"/>
    </row>
    <row r="92" spans="2:39" x14ac:dyDescent="0.3">
      <c r="B92" s="13">
        <f t="shared" si="28"/>
        <v>86</v>
      </c>
      <c r="C92" s="47" t="s">
        <v>166</v>
      </c>
      <c r="D92" s="70">
        <v>45071</v>
      </c>
      <c r="E92" s="47"/>
      <c r="F92" s="9"/>
      <c r="G92" s="172" t="s">
        <v>250</v>
      </c>
      <c r="H92" s="170" t="s">
        <v>251</v>
      </c>
      <c r="I92" s="130" t="s">
        <v>170</v>
      </c>
      <c r="J92" s="6"/>
      <c r="K92" s="104">
        <f>234277-9</f>
        <v>234268</v>
      </c>
      <c r="L92" s="7"/>
      <c r="M92" s="7"/>
      <c r="N92" s="166">
        <f t="shared" si="25"/>
        <v>0</v>
      </c>
      <c r="O92" s="177">
        <f t="shared" si="29"/>
        <v>234268</v>
      </c>
      <c r="P92" s="25">
        <v>156160</v>
      </c>
      <c r="Q92" s="17">
        <f t="shared" si="24"/>
        <v>19520</v>
      </c>
      <c r="R92" s="30">
        <f t="shared" si="26"/>
        <v>175680</v>
      </c>
      <c r="S92" s="30">
        <f t="shared" si="27"/>
        <v>58588</v>
      </c>
      <c r="T92" s="177"/>
      <c r="U92" s="235">
        <f t="shared" si="30"/>
        <v>4880</v>
      </c>
      <c r="V92" s="234">
        <f t="shared" si="30"/>
        <v>4880</v>
      </c>
      <c r="W92" s="234">
        <f t="shared" si="30"/>
        <v>4880</v>
      </c>
      <c r="X92" s="234">
        <f t="shared" si="30"/>
        <v>4880</v>
      </c>
      <c r="Y92" s="234"/>
      <c r="Z92" s="234"/>
      <c r="AA92" s="234"/>
      <c r="AB92" s="234"/>
      <c r="AC92" s="234"/>
      <c r="AD92" s="234"/>
      <c r="AE92" s="234"/>
      <c r="AF92" s="236"/>
      <c r="AI92" s="19"/>
      <c r="AJ92" s="14"/>
      <c r="AK92" s="6"/>
      <c r="AL92" s="20"/>
      <c r="AM92" s="5"/>
    </row>
    <row r="93" spans="2:39" x14ac:dyDescent="0.3">
      <c r="B93" s="13">
        <f t="shared" si="28"/>
        <v>87</v>
      </c>
      <c r="C93" s="47" t="s">
        <v>166</v>
      </c>
      <c r="D93" s="70">
        <v>45071</v>
      </c>
      <c r="E93" s="47"/>
      <c r="F93" s="9"/>
      <c r="G93" s="172" t="s">
        <v>250</v>
      </c>
      <c r="H93" s="170" t="s">
        <v>251</v>
      </c>
      <c r="I93" s="130" t="s">
        <v>171</v>
      </c>
      <c r="J93" s="6"/>
      <c r="K93" s="25">
        <v>90516</v>
      </c>
      <c r="L93" s="7"/>
      <c r="M93" s="7"/>
      <c r="N93" s="166">
        <f t="shared" si="25"/>
        <v>0</v>
      </c>
      <c r="O93" s="177">
        <f t="shared" si="29"/>
        <v>90516</v>
      </c>
      <c r="P93" s="25">
        <v>60320</v>
      </c>
      <c r="Q93" s="17">
        <f t="shared" si="24"/>
        <v>7540</v>
      </c>
      <c r="R93" s="30">
        <f t="shared" si="26"/>
        <v>67860</v>
      </c>
      <c r="S93" s="30">
        <f t="shared" si="27"/>
        <v>22656</v>
      </c>
      <c r="T93" s="177"/>
      <c r="U93" s="235">
        <f t="shared" si="30"/>
        <v>1885</v>
      </c>
      <c r="V93" s="234">
        <f t="shared" si="30"/>
        <v>1885</v>
      </c>
      <c r="W93" s="234">
        <f t="shared" si="30"/>
        <v>1885</v>
      </c>
      <c r="X93" s="234">
        <f t="shared" si="30"/>
        <v>1885</v>
      </c>
      <c r="Y93" s="234"/>
      <c r="Z93" s="234"/>
      <c r="AA93" s="234"/>
      <c r="AB93" s="234"/>
      <c r="AC93" s="234"/>
      <c r="AD93" s="234"/>
      <c r="AE93" s="234"/>
      <c r="AF93" s="236"/>
      <c r="AI93" s="19"/>
      <c r="AJ93" s="14"/>
      <c r="AK93" s="6"/>
      <c r="AL93" s="20"/>
      <c r="AM93" s="5"/>
    </row>
    <row r="94" spans="2:39" x14ac:dyDescent="0.3">
      <c r="B94" s="13">
        <f t="shared" si="28"/>
        <v>88</v>
      </c>
      <c r="C94" s="47" t="s">
        <v>166</v>
      </c>
      <c r="D94" s="70">
        <v>45071</v>
      </c>
      <c r="E94" s="47"/>
      <c r="F94" s="9"/>
      <c r="G94" s="172" t="s">
        <v>250</v>
      </c>
      <c r="H94" s="170" t="s">
        <v>251</v>
      </c>
      <c r="I94" s="130" t="s">
        <v>171</v>
      </c>
      <c r="J94" s="6"/>
      <c r="K94" s="25">
        <v>90516</v>
      </c>
      <c r="L94" s="7"/>
      <c r="M94" s="7"/>
      <c r="N94" s="166">
        <f t="shared" si="25"/>
        <v>0</v>
      </c>
      <c r="O94" s="177">
        <f t="shared" si="29"/>
        <v>90516</v>
      </c>
      <c r="P94" s="25">
        <v>60320</v>
      </c>
      <c r="Q94" s="17">
        <f t="shared" si="24"/>
        <v>7540</v>
      </c>
      <c r="R94" s="30">
        <f t="shared" si="26"/>
        <v>67860</v>
      </c>
      <c r="S94" s="30">
        <f t="shared" si="27"/>
        <v>22656</v>
      </c>
      <c r="T94" s="177"/>
      <c r="U94" s="235">
        <f t="shared" si="30"/>
        <v>1885</v>
      </c>
      <c r="V94" s="234">
        <f t="shared" si="30"/>
        <v>1885</v>
      </c>
      <c r="W94" s="234">
        <f t="shared" si="30"/>
        <v>1885</v>
      </c>
      <c r="X94" s="234">
        <f t="shared" si="30"/>
        <v>1885</v>
      </c>
      <c r="Y94" s="234"/>
      <c r="Z94" s="234"/>
      <c r="AA94" s="234"/>
      <c r="AB94" s="234"/>
      <c r="AC94" s="234"/>
      <c r="AD94" s="234"/>
      <c r="AE94" s="234"/>
      <c r="AF94" s="236"/>
      <c r="AI94" s="19"/>
      <c r="AJ94" s="14"/>
      <c r="AK94" s="6"/>
      <c r="AL94" s="20"/>
      <c r="AM94" s="5"/>
    </row>
    <row r="95" spans="2:39" x14ac:dyDescent="0.3">
      <c r="B95" s="13">
        <f t="shared" si="28"/>
        <v>89</v>
      </c>
      <c r="C95" s="47" t="s">
        <v>166</v>
      </c>
      <c r="D95" s="70">
        <v>45071</v>
      </c>
      <c r="E95" s="47"/>
      <c r="F95" s="9"/>
      <c r="G95" s="172" t="s">
        <v>250</v>
      </c>
      <c r="H95" s="170" t="s">
        <v>251</v>
      </c>
      <c r="I95" s="130" t="s">
        <v>171</v>
      </c>
      <c r="J95" s="6"/>
      <c r="K95" s="25">
        <v>90516</v>
      </c>
      <c r="L95" s="7"/>
      <c r="M95" s="7"/>
      <c r="N95" s="166">
        <f t="shared" si="25"/>
        <v>0</v>
      </c>
      <c r="O95" s="177">
        <f t="shared" si="29"/>
        <v>90516</v>
      </c>
      <c r="P95" s="25">
        <v>60320</v>
      </c>
      <c r="Q95" s="17">
        <f t="shared" si="24"/>
        <v>7540</v>
      </c>
      <c r="R95" s="30">
        <f t="shared" si="26"/>
        <v>67860</v>
      </c>
      <c r="S95" s="30">
        <f t="shared" si="27"/>
        <v>22656</v>
      </c>
      <c r="T95" s="177"/>
      <c r="U95" s="235">
        <f t="shared" si="30"/>
        <v>1885</v>
      </c>
      <c r="V95" s="234">
        <f t="shared" si="30"/>
        <v>1885</v>
      </c>
      <c r="W95" s="234">
        <f t="shared" si="30"/>
        <v>1885</v>
      </c>
      <c r="X95" s="234">
        <f t="shared" si="30"/>
        <v>1885</v>
      </c>
      <c r="Y95" s="234"/>
      <c r="Z95" s="234"/>
      <c r="AA95" s="234"/>
      <c r="AB95" s="234"/>
      <c r="AC95" s="234"/>
      <c r="AD95" s="234"/>
      <c r="AE95" s="234"/>
      <c r="AF95" s="236"/>
      <c r="AI95" s="19"/>
      <c r="AJ95" s="14"/>
      <c r="AK95" s="6"/>
      <c r="AL95" s="20"/>
      <c r="AM95" s="5"/>
    </row>
    <row r="96" spans="2:39" x14ac:dyDescent="0.3">
      <c r="B96" s="13">
        <f t="shared" si="28"/>
        <v>90</v>
      </c>
      <c r="C96" s="47" t="s">
        <v>166</v>
      </c>
      <c r="D96" s="70">
        <v>45071</v>
      </c>
      <c r="E96" s="47"/>
      <c r="F96" s="9"/>
      <c r="G96" s="172" t="s">
        <v>250</v>
      </c>
      <c r="H96" s="170" t="s">
        <v>251</v>
      </c>
      <c r="I96" s="130" t="s">
        <v>171</v>
      </c>
      <c r="J96" s="6"/>
      <c r="K96" s="25">
        <v>90516</v>
      </c>
      <c r="L96" s="7"/>
      <c r="M96" s="7"/>
      <c r="N96" s="166">
        <f t="shared" si="25"/>
        <v>0</v>
      </c>
      <c r="O96" s="177">
        <f t="shared" si="29"/>
        <v>90516</v>
      </c>
      <c r="P96" s="25">
        <v>60320</v>
      </c>
      <c r="Q96" s="17">
        <f t="shared" si="24"/>
        <v>7540</v>
      </c>
      <c r="R96" s="30">
        <f t="shared" si="26"/>
        <v>67860</v>
      </c>
      <c r="S96" s="30">
        <f t="shared" si="27"/>
        <v>22656</v>
      </c>
      <c r="T96" s="177"/>
      <c r="U96" s="235">
        <f t="shared" si="30"/>
        <v>1885</v>
      </c>
      <c r="V96" s="234">
        <f t="shared" si="30"/>
        <v>1885</v>
      </c>
      <c r="W96" s="234">
        <f t="shared" si="30"/>
        <v>1885</v>
      </c>
      <c r="X96" s="234">
        <f t="shared" si="30"/>
        <v>1885</v>
      </c>
      <c r="Y96" s="234"/>
      <c r="Z96" s="234"/>
      <c r="AA96" s="234"/>
      <c r="AB96" s="234"/>
      <c r="AC96" s="234"/>
      <c r="AD96" s="234"/>
      <c r="AE96" s="234"/>
      <c r="AF96" s="236"/>
      <c r="AI96" s="19"/>
      <c r="AJ96" s="14"/>
      <c r="AK96" s="6"/>
      <c r="AL96" s="20"/>
      <c r="AM96" s="5"/>
    </row>
    <row r="97" spans="2:39" x14ac:dyDescent="0.3">
      <c r="B97" s="13">
        <f t="shared" si="28"/>
        <v>91</v>
      </c>
      <c r="C97" s="47" t="s">
        <v>166</v>
      </c>
      <c r="D97" s="70">
        <v>45071</v>
      </c>
      <c r="E97" s="47"/>
      <c r="F97" s="9"/>
      <c r="G97" s="172" t="s">
        <v>250</v>
      </c>
      <c r="H97" s="170" t="s">
        <v>251</v>
      </c>
      <c r="I97" s="130" t="s">
        <v>171</v>
      </c>
      <c r="J97" s="6"/>
      <c r="K97" s="25">
        <v>90516</v>
      </c>
      <c r="L97" s="7"/>
      <c r="M97" s="7"/>
      <c r="N97" s="166">
        <f t="shared" si="25"/>
        <v>0</v>
      </c>
      <c r="O97" s="177">
        <f t="shared" si="29"/>
        <v>90516</v>
      </c>
      <c r="P97" s="25">
        <v>60320</v>
      </c>
      <c r="Q97" s="17">
        <f t="shared" si="24"/>
        <v>7540</v>
      </c>
      <c r="R97" s="30">
        <f t="shared" si="26"/>
        <v>67860</v>
      </c>
      <c r="S97" s="30">
        <f t="shared" si="27"/>
        <v>22656</v>
      </c>
      <c r="T97" s="177"/>
      <c r="U97" s="235">
        <f t="shared" si="30"/>
        <v>1885</v>
      </c>
      <c r="V97" s="234">
        <f t="shared" si="30"/>
        <v>1885</v>
      </c>
      <c r="W97" s="234">
        <f t="shared" si="30"/>
        <v>1885</v>
      </c>
      <c r="X97" s="234">
        <f t="shared" si="30"/>
        <v>1885</v>
      </c>
      <c r="Y97" s="234"/>
      <c r="Z97" s="234"/>
      <c r="AA97" s="234"/>
      <c r="AB97" s="234"/>
      <c r="AC97" s="234"/>
      <c r="AD97" s="234"/>
      <c r="AE97" s="234"/>
      <c r="AF97" s="236"/>
      <c r="AI97" s="19"/>
      <c r="AJ97" s="14"/>
      <c r="AK97" s="6"/>
      <c r="AL97" s="20"/>
      <c r="AM97" s="5"/>
    </row>
    <row r="98" spans="2:39" x14ac:dyDescent="0.3">
      <c r="B98" s="13">
        <f t="shared" si="28"/>
        <v>92</v>
      </c>
      <c r="C98" s="47" t="s">
        <v>166</v>
      </c>
      <c r="D98" s="70">
        <v>45071</v>
      </c>
      <c r="E98" s="47"/>
      <c r="F98" s="9"/>
      <c r="G98" s="172" t="s">
        <v>250</v>
      </c>
      <c r="H98" s="170" t="s">
        <v>251</v>
      </c>
      <c r="I98" s="130" t="s">
        <v>171</v>
      </c>
      <c r="J98" s="6"/>
      <c r="K98" s="25">
        <v>90516</v>
      </c>
      <c r="L98" s="7"/>
      <c r="M98" s="7"/>
      <c r="N98" s="166">
        <f t="shared" si="25"/>
        <v>0</v>
      </c>
      <c r="O98" s="177">
        <f t="shared" si="29"/>
        <v>90516</v>
      </c>
      <c r="P98" s="25">
        <v>60320</v>
      </c>
      <c r="Q98" s="17">
        <f t="shared" si="24"/>
        <v>7540</v>
      </c>
      <c r="R98" s="30">
        <f t="shared" si="26"/>
        <v>67860</v>
      </c>
      <c r="S98" s="30">
        <f t="shared" si="27"/>
        <v>22656</v>
      </c>
      <c r="T98" s="177"/>
      <c r="U98" s="235">
        <f t="shared" si="30"/>
        <v>1885</v>
      </c>
      <c r="V98" s="234">
        <f t="shared" si="30"/>
        <v>1885</v>
      </c>
      <c r="W98" s="234">
        <f t="shared" si="30"/>
        <v>1885</v>
      </c>
      <c r="X98" s="234">
        <f t="shared" si="30"/>
        <v>1885</v>
      </c>
      <c r="Y98" s="234"/>
      <c r="Z98" s="234"/>
      <c r="AA98" s="234"/>
      <c r="AB98" s="234"/>
      <c r="AC98" s="234"/>
      <c r="AD98" s="234"/>
      <c r="AE98" s="234"/>
      <c r="AF98" s="236"/>
      <c r="AI98" s="19"/>
      <c r="AJ98" s="14"/>
      <c r="AK98" s="6"/>
      <c r="AL98" s="20"/>
      <c r="AM98" s="5"/>
    </row>
    <row r="99" spans="2:39" x14ac:dyDescent="0.3">
      <c r="B99" s="13">
        <f t="shared" si="28"/>
        <v>93</v>
      </c>
      <c r="C99" s="47" t="s">
        <v>166</v>
      </c>
      <c r="D99" s="70">
        <v>45071</v>
      </c>
      <c r="E99" s="47"/>
      <c r="F99" s="9"/>
      <c r="G99" s="172" t="s">
        <v>250</v>
      </c>
      <c r="H99" s="170" t="s">
        <v>251</v>
      </c>
      <c r="I99" s="130" t="s">
        <v>172</v>
      </c>
      <c r="J99" s="6"/>
      <c r="K99" s="25">
        <v>105425</v>
      </c>
      <c r="L99" s="7"/>
      <c r="M99" s="7"/>
      <c r="N99" s="166">
        <f t="shared" si="25"/>
        <v>0</v>
      </c>
      <c r="O99" s="177">
        <f t="shared" si="29"/>
        <v>105425</v>
      </c>
      <c r="P99" s="25">
        <v>70272</v>
      </c>
      <c r="Q99" s="17">
        <f t="shared" si="24"/>
        <v>8784</v>
      </c>
      <c r="R99" s="30">
        <f t="shared" si="26"/>
        <v>79056</v>
      </c>
      <c r="S99" s="30">
        <f t="shared" si="27"/>
        <v>26369</v>
      </c>
      <c r="T99" s="177"/>
      <c r="U99" s="235">
        <f t="shared" si="30"/>
        <v>2196</v>
      </c>
      <c r="V99" s="234">
        <f t="shared" si="30"/>
        <v>2196</v>
      </c>
      <c r="W99" s="234">
        <f t="shared" si="30"/>
        <v>2196</v>
      </c>
      <c r="X99" s="234">
        <f t="shared" si="30"/>
        <v>2196</v>
      </c>
      <c r="Y99" s="234"/>
      <c r="Z99" s="234"/>
      <c r="AA99" s="234"/>
      <c r="AB99" s="234"/>
      <c r="AC99" s="234"/>
      <c r="AD99" s="234"/>
      <c r="AE99" s="234"/>
      <c r="AF99" s="236"/>
      <c r="AI99" s="19"/>
      <c r="AJ99" s="14"/>
      <c r="AK99" s="6"/>
      <c r="AL99" s="20"/>
      <c r="AM99" s="5"/>
    </row>
    <row r="100" spans="2:39" x14ac:dyDescent="0.3">
      <c r="B100" s="13">
        <f t="shared" si="28"/>
        <v>94</v>
      </c>
      <c r="C100" s="47" t="s">
        <v>166</v>
      </c>
      <c r="D100" s="70">
        <v>45071</v>
      </c>
      <c r="E100" s="47"/>
      <c r="F100" s="9"/>
      <c r="G100" s="172" t="s">
        <v>250</v>
      </c>
      <c r="H100" s="170" t="s">
        <v>251</v>
      </c>
      <c r="I100" s="130" t="s">
        <v>172</v>
      </c>
      <c r="J100" s="6"/>
      <c r="K100" s="25">
        <v>105425</v>
      </c>
      <c r="L100" s="7"/>
      <c r="M100" s="7"/>
      <c r="N100" s="166">
        <f t="shared" si="25"/>
        <v>0</v>
      </c>
      <c r="O100" s="177">
        <f t="shared" si="29"/>
        <v>105425</v>
      </c>
      <c r="P100" s="25">
        <v>70272</v>
      </c>
      <c r="Q100" s="17">
        <f t="shared" si="24"/>
        <v>8784</v>
      </c>
      <c r="R100" s="30">
        <f t="shared" si="26"/>
        <v>79056</v>
      </c>
      <c r="S100" s="30">
        <f t="shared" si="27"/>
        <v>26369</v>
      </c>
      <c r="T100" s="177"/>
      <c r="U100" s="235">
        <f t="shared" si="30"/>
        <v>2196</v>
      </c>
      <c r="V100" s="234">
        <f t="shared" si="30"/>
        <v>2196</v>
      </c>
      <c r="W100" s="234">
        <f t="shared" si="30"/>
        <v>2196</v>
      </c>
      <c r="X100" s="234">
        <f t="shared" si="30"/>
        <v>2196</v>
      </c>
      <c r="Y100" s="234"/>
      <c r="Z100" s="234"/>
      <c r="AA100" s="234"/>
      <c r="AB100" s="234"/>
      <c r="AC100" s="234"/>
      <c r="AD100" s="234"/>
      <c r="AE100" s="234"/>
      <c r="AF100" s="236"/>
      <c r="AI100" s="19"/>
      <c r="AJ100" s="14"/>
      <c r="AK100" s="6"/>
      <c r="AL100" s="20"/>
      <c r="AM100" s="5"/>
    </row>
    <row r="101" spans="2:39" x14ac:dyDescent="0.3">
      <c r="B101" s="13">
        <f t="shared" si="28"/>
        <v>95</v>
      </c>
      <c r="C101" s="47" t="s">
        <v>166</v>
      </c>
      <c r="D101" s="70">
        <v>45071</v>
      </c>
      <c r="E101" s="47"/>
      <c r="F101" s="9"/>
      <c r="G101" s="172" t="s">
        <v>250</v>
      </c>
      <c r="H101" s="170" t="s">
        <v>251</v>
      </c>
      <c r="I101" s="130" t="s">
        <v>172</v>
      </c>
      <c r="J101" s="6"/>
      <c r="K101" s="25">
        <v>105425</v>
      </c>
      <c r="L101" s="7"/>
      <c r="M101" s="7"/>
      <c r="N101" s="166">
        <f t="shared" si="25"/>
        <v>0</v>
      </c>
      <c r="O101" s="177">
        <f t="shared" si="29"/>
        <v>105425</v>
      </c>
      <c r="P101" s="25">
        <v>70272</v>
      </c>
      <c r="Q101" s="17">
        <f t="shared" si="24"/>
        <v>8784</v>
      </c>
      <c r="R101" s="30">
        <f t="shared" si="26"/>
        <v>79056</v>
      </c>
      <c r="S101" s="30">
        <f t="shared" si="27"/>
        <v>26369</v>
      </c>
      <c r="T101" s="177"/>
      <c r="U101" s="235">
        <f t="shared" si="30"/>
        <v>2196</v>
      </c>
      <c r="V101" s="234">
        <f t="shared" si="30"/>
        <v>2196</v>
      </c>
      <c r="W101" s="234">
        <f t="shared" si="30"/>
        <v>2196</v>
      </c>
      <c r="X101" s="234">
        <f t="shared" si="30"/>
        <v>2196</v>
      </c>
      <c r="Y101" s="234"/>
      <c r="Z101" s="234"/>
      <c r="AA101" s="234"/>
      <c r="AB101" s="234"/>
      <c r="AC101" s="234"/>
      <c r="AD101" s="234"/>
      <c r="AE101" s="234"/>
      <c r="AF101" s="236"/>
      <c r="AI101" s="19"/>
      <c r="AJ101" s="14"/>
      <c r="AK101" s="6"/>
      <c r="AL101" s="20"/>
      <c r="AM101" s="5"/>
    </row>
    <row r="102" spans="2:39" x14ac:dyDescent="0.3">
      <c r="B102" s="13">
        <f t="shared" si="28"/>
        <v>96</v>
      </c>
      <c r="C102" s="47" t="s">
        <v>166</v>
      </c>
      <c r="D102" s="70">
        <v>45071</v>
      </c>
      <c r="E102" s="47"/>
      <c r="F102" s="9"/>
      <c r="G102" s="172" t="s">
        <v>250</v>
      </c>
      <c r="H102" s="170" t="s">
        <v>251</v>
      </c>
      <c r="I102" s="130" t="s">
        <v>172</v>
      </c>
      <c r="J102" s="6"/>
      <c r="K102" s="25">
        <v>105425</v>
      </c>
      <c r="L102" s="7"/>
      <c r="M102" s="7"/>
      <c r="N102" s="166">
        <f t="shared" si="25"/>
        <v>0</v>
      </c>
      <c r="O102" s="177">
        <f t="shared" si="29"/>
        <v>105425</v>
      </c>
      <c r="P102" s="25">
        <v>70272</v>
      </c>
      <c r="Q102" s="17">
        <f t="shared" si="24"/>
        <v>8784</v>
      </c>
      <c r="R102" s="30">
        <f t="shared" si="26"/>
        <v>79056</v>
      </c>
      <c r="S102" s="30">
        <f t="shared" si="27"/>
        <v>26369</v>
      </c>
      <c r="T102" s="177"/>
      <c r="U102" s="235">
        <f t="shared" si="30"/>
        <v>2196</v>
      </c>
      <c r="V102" s="234">
        <f t="shared" si="30"/>
        <v>2196</v>
      </c>
      <c r="W102" s="234">
        <f t="shared" si="30"/>
        <v>2196</v>
      </c>
      <c r="X102" s="234">
        <f t="shared" si="30"/>
        <v>2196</v>
      </c>
      <c r="Y102" s="234"/>
      <c r="Z102" s="234"/>
      <c r="AA102" s="234"/>
      <c r="AB102" s="234"/>
      <c r="AC102" s="234"/>
      <c r="AD102" s="234"/>
      <c r="AE102" s="234"/>
      <c r="AF102" s="236"/>
      <c r="AI102" s="19"/>
      <c r="AJ102" s="14"/>
      <c r="AK102" s="6"/>
      <c r="AL102" s="20"/>
      <c r="AM102" s="5"/>
    </row>
    <row r="103" spans="2:39" x14ac:dyDescent="0.3">
      <c r="B103" s="13">
        <f t="shared" si="28"/>
        <v>97</v>
      </c>
      <c r="C103" s="47" t="s">
        <v>166</v>
      </c>
      <c r="D103" s="70">
        <v>45071</v>
      </c>
      <c r="E103" s="47"/>
      <c r="F103" s="9"/>
      <c r="G103" s="172" t="s">
        <v>250</v>
      </c>
      <c r="H103" s="170" t="s">
        <v>251</v>
      </c>
      <c r="I103" s="130" t="s">
        <v>172</v>
      </c>
      <c r="J103" s="6"/>
      <c r="K103" s="25">
        <v>105425</v>
      </c>
      <c r="L103" s="7"/>
      <c r="M103" s="7"/>
      <c r="N103" s="166">
        <f t="shared" si="25"/>
        <v>0</v>
      </c>
      <c r="O103" s="177">
        <f t="shared" si="29"/>
        <v>105425</v>
      </c>
      <c r="P103" s="25">
        <v>70272</v>
      </c>
      <c r="Q103" s="17">
        <f t="shared" si="24"/>
        <v>8784</v>
      </c>
      <c r="R103" s="30">
        <f t="shared" ref="R103:R134" si="31">P103+Q103</f>
        <v>79056</v>
      </c>
      <c r="S103" s="30">
        <f t="shared" ref="S103:S134" si="32">IF(N103&gt;0,0,O103-R103)</f>
        <v>26369</v>
      </c>
      <c r="T103" s="177"/>
      <c r="U103" s="235">
        <f t="shared" si="30"/>
        <v>2196</v>
      </c>
      <c r="V103" s="234">
        <f t="shared" si="30"/>
        <v>2196</v>
      </c>
      <c r="W103" s="234">
        <f t="shared" si="30"/>
        <v>2196</v>
      </c>
      <c r="X103" s="234">
        <f t="shared" si="30"/>
        <v>2196</v>
      </c>
      <c r="Y103" s="234"/>
      <c r="Z103" s="234"/>
      <c r="AA103" s="234"/>
      <c r="AB103" s="234"/>
      <c r="AC103" s="234"/>
      <c r="AD103" s="234"/>
      <c r="AE103" s="234"/>
      <c r="AF103" s="236"/>
      <c r="AI103" s="19"/>
      <c r="AJ103" s="14"/>
      <c r="AK103" s="6"/>
      <c r="AL103" s="20"/>
      <c r="AM103" s="5"/>
    </row>
    <row r="104" spans="2:39" x14ac:dyDescent="0.3">
      <c r="B104" s="13">
        <f t="shared" si="28"/>
        <v>98</v>
      </c>
      <c r="C104" s="47" t="s">
        <v>166</v>
      </c>
      <c r="D104" s="70">
        <v>45071</v>
      </c>
      <c r="E104" s="47"/>
      <c r="F104" s="9"/>
      <c r="G104" s="172" t="s">
        <v>250</v>
      </c>
      <c r="H104" s="170" t="s">
        <v>251</v>
      </c>
      <c r="I104" s="130" t="s">
        <v>172</v>
      </c>
      <c r="J104" s="6"/>
      <c r="K104" s="25">
        <v>105425</v>
      </c>
      <c r="L104" s="7"/>
      <c r="M104" s="7"/>
      <c r="N104" s="166">
        <f t="shared" si="25"/>
        <v>0</v>
      </c>
      <c r="O104" s="177">
        <f t="shared" si="29"/>
        <v>105425</v>
      </c>
      <c r="P104" s="25">
        <v>70272</v>
      </c>
      <c r="Q104" s="17">
        <f t="shared" si="24"/>
        <v>8784</v>
      </c>
      <c r="R104" s="30">
        <f t="shared" si="31"/>
        <v>79056</v>
      </c>
      <c r="S104" s="30">
        <f t="shared" si="32"/>
        <v>26369</v>
      </c>
      <c r="T104" s="177"/>
      <c r="U104" s="235">
        <f t="shared" si="30"/>
        <v>2196</v>
      </c>
      <c r="V104" s="234">
        <f t="shared" si="30"/>
        <v>2196</v>
      </c>
      <c r="W104" s="234">
        <f t="shared" si="30"/>
        <v>2196</v>
      </c>
      <c r="X104" s="234">
        <f t="shared" si="30"/>
        <v>2196</v>
      </c>
      <c r="Y104" s="234"/>
      <c r="Z104" s="234"/>
      <c r="AA104" s="234"/>
      <c r="AB104" s="234"/>
      <c r="AC104" s="234"/>
      <c r="AD104" s="234"/>
      <c r="AE104" s="234"/>
      <c r="AF104" s="236"/>
      <c r="AI104" s="19"/>
      <c r="AJ104" s="14"/>
      <c r="AK104" s="6"/>
      <c r="AL104" s="20"/>
      <c r="AM104" s="5"/>
    </row>
    <row r="105" spans="2:39" x14ac:dyDescent="0.3">
      <c r="B105" s="13">
        <f t="shared" si="28"/>
        <v>99</v>
      </c>
      <c r="C105" s="47" t="s">
        <v>166</v>
      </c>
      <c r="D105" s="70">
        <v>45071</v>
      </c>
      <c r="E105" s="47"/>
      <c r="F105" s="9"/>
      <c r="G105" s="172" t="s">
        <v>250</v>
      </c>
      <c r="H105" s="170" t="s">
        <v>251</v>
      </c>
      <c r="I105" s="130" t="s">
        <v>172</v>
      </c>
      <c r="J105" s="6"/>
      <c r="K105" s="25">
        <v>105425</v>
      </c>
      <c r="L105" s="7"/>
      <c r="M105" s="7"/>
      <c r="N105" s="166">
        <f t="shared" si="25"/>
        <v>0</v>
      </c>
      <c r="O105" s="177">
        <f t="shared" si="29"/>
        <v>105425</v>
      </c>
      <c r="P105" s="25">
        <v>70272</v>
      </c>
      <c r="Q105" s="17">
        <f t="shared" si="24"/>
        <v>8784</v>
      </c>
      <c r="R105" s="30">
        <f t="shared" si="31"/>
        <v>79056</v>
      </c>
      <c r="S105" s="30">
        <f t="shared" si="32"/>
        <v>26369</v>
      </c>
      <c r="T105" s="177"/>
      <c r="U105" s="235">
        <f t="shared" si="30"/>
        <v>2196</v>
      </c>
      <c r="V105" s="234">
        <f t="shared" si="30"/>
        <v>2196</v>
      </c>
      <c r="W105" s="234">
        <f t="shared" si="30"/>
        <v>2196</v>
      </c>
      <c r="X105" s="234">
        <f t="shared" si="30"/>
        <v>2196</v>
      </c>
      <c r="Y105" s="234"/>
      <c r="Z105" s="234"/>
      <c r="AA105" s="234"/>
      <c r="AB105" s="234"/>
      <c r="AC105" s="234"/>
      <c r="AD105" s="234"/>
      <c r="AE105" s="234"/>
      <c r="AF105" s="236"/>
      <c r="AI105" s="19"/>
      <c r="AJ105" s="14"/>
      <c r="AK105" s="6"/>
      <c r="AL105" s="20"/>
      <c r="AM105" s="5"/>
    </row>
    <row r="106" spans="2:39" x14ac:dyDescent="0.3">
      <c r="B106" s="13">
        <f t="shared" si="28"/>
        <v>100</v>
      </c>
      <c r="C106" s="47" t="s">
        <v>166</v>
      </c>
      <c r="D106" s="70">
        <v>45071</v>
      </c>
      <c r="E106" s="47"/>
      <c r="F106" s="9"/>
      <c r="G106" s="172" t="s">
        <v>250</v>
      </c>
      <c r="H106" s="170" t="s">
        <v>251</v>
      </c>
      <c r="I106" s="130" t="s">
        <v>172</v>
      </c>
      <c r="J106" s="6"/>
      <c r="K106" s="25">
        <v>105425</v>
      </c>
      <c r="L106" s="7"/>
      <c r="M106" s="7"/>
      <c r="N106" s="166">
        <f t="shared" si="25"/>
        <v>0</v>
      </c>
      <c r="O106" s="177">
        <f t="shared" si="29"/>
        <v>105425</v>
      </c>
      <c r="P106" s="25">
        <v>70272</v>
      </c>
      <c r="Q106" s="17">
        <f t="shared" si="24"/>
        <v>8784</v>
      </c>
      <c r="R106" s="30">
        <f t="shared" si="31"/>
        <v>79056</v>
      </c>
      <c r="S106" s="30">
        <f t="shared" si="32"/>
        <v>26369</v>
      </c>
      <c r="T106" s="177"/>
      <c r="U106" s="235">
        <f t="shared" si="30"/>
        <v>2196</v>
      </c>
      <c r="V106" s="234">
        <f t="shared" si="30"/>
        <v>2196</v>
      </c>
      <c r="W106" s="234">
        <f t="shared" si="30"/>
        <v>2196</v>
      </c>
      <c r="X106" s="234">
        <f t="shared" si="30"/>
        <v>2196</v>
      </c>
      <c r="Y106" s="234"/>
      <c r="Z106" s="234"/>
      <c r="AA106" s="234"/>
      <c r="AB106" s="234"/>
      <c r="AC106" s="234"/>
      <c r="AD106" s="234"/>
      <c r="AE106" s="234"/>
      <c r="AF106" s="236"/>
      <c r="AI106" s="19"/>
      <c r="AJ106" s="14"/>
      <c r="AK106" s="6"/>
      <c r="AL106" s="20"/>
      <c r="AM106" s="5"/>
    </row>
    <row r="107" spans="2:39" x14ac:dyDescent="0.3">
      <c r="B107" s="13">
        <f t="shared" si="28"/>
        <v>101</v>
      </c>
      <c r="C107" s="47" t="s">
        <v>166</v>
      </c>
      <c r="D107" s="70">
        <v>45071</v>
      </c>
      <c r="E107" s="47"/>
      <c r="F107" s="9"/>
      <c r="G107" s="172" t="s">
        <v>250</v>
      </c>
      <c r="H107" s="170" t="s">
        <v>251</v>
      </c>
      <c r="I107" s="130" t="s">
        <v>172</v>
      </c>
      <c r="J107" s="6"/>
      <c r="K107" s="25">
        <v>105425</v>
      </c>
      <c r="L107" s="7"/>
      <c r="M107" s="7"/>
      <c r="N107" s="166">
        <f t="shared" si="25"/>
        <v>0</v>
      </c>
      <c r="O107" s="177">
        <f t="shared" si="29"/>
        <v>105425</v>
      </c>
      <c r="P107" s="25">
        <v>70272</v>
      </c>
      <c r="Q107" s="17">
        <f t="shared" si="24"/>
        <v>8784</v>
      </c>
      <c r="R107" s="30">
        <f t="shared" si="31"/>
        <v>79056</v>
      </c>
      <c r="S107" s="30">
        <f t="shared" si="32"/>
        <v>26369</v>
      </c>
      <c r="T107" s="177"/>
      <c r="U107" s="235">
        <f t="shared" si="30"/>
        <v>2196</v>
      </c>
      <c r="V107" s="234">
        <f t="shared" si="30"/>
        <v>2196</v>
      </c>
      <c r="W107" s="234">
        <f t="shared" si="30"/>
        <v>2196</v>
      </c>
      <c r="X107" s="234">
        <f t="shared" si="30"/>
        <v>2196</v>
      </c>
      <c r="Y107" s="234"/>
      <c r="Z107" s="234"/>
      <c r="AA107" s="234"/>
      <c r="AB107" s="234"/>
      <c r="AC107" s="234"/>
      <c r="AD107" s="234"/>
      <c r="AE107" s="234"/>
      <c r="AF107" s="236"/>
      <c r="AI107" s="19"/>
      <c r="AJ107" s="14"/>
      <c r="AK107" s="6"/>
      <c r="AL107" s="20"/>
      <c r="AM107" s="5"/>
    </row>
    <row r="108" spans="2:39" x14ac:dyDescent="0.3">
      <c r="B108" s="13">
        <f t="shared" si="28"/>
        <v>102</v>
      </c>
      <c r="C108" s="47" t="s">
        <v>166</v>
      </c>
      <c r="D108" s="70">
        <v>45071</v>
      </c>
      <c r="E108" s="47"/>
      <c r="F108" s="9"/>
      <c r="G108" s="172" t="s">
        <v>250</v>
      </c>
      <c r="H108" s="170" t="s">
        <v>251</v>
      </c>
      <c r="I108" s="130" t="s">
        <v>172</v>
      </c>
      <c r="J108" s="6"/>
      <c r="K108" s="25">
        <v>105425</v>
      </c>
      <c r="L108" s="7"/>
      <c r="M108" s="7"/>
      <c r="N108" s="166">
        <f t="shared" si="25"/>
        <v>0</v>
      </c>
      <c r="O108" s="177">
        <f t="shared" si="29"/>
        <v>105425</v>
      </c>
      <c r="P108" s="25">
        <v>70272</v>
      </c>
      <c r="Q108" s="17">
        <f t="shared" si="24"/>
        <v>8784</v>
      </c>
      <c r="R108" s="30">
        <f t="shared" si="31"/>
        <v>79056</v>
      </c>
      <c r="S108" s="30">
        <f t="shared" si="32"/>
        <v>26369</v>
      </c>
      <c r="T108" s="177"/>
      <c r="U108" s="235">
        <f t="shared" si="30"/>
        <v>2196</v>
      </c>
      <c r="V108" s="234">
        <f t="shared" si="30"/>
        <v>2196</v>
      </c>
      <c r="W108" s="234">
        <f t="shared" si="30"/>
        <v>2196</v>
      </c>
      <c r="X108" s="234">
        <f t="shared" si="30"/>
        <v>2196</v>
      </c>
      <c r="Y108" s="234"/>
      <c r="Z108" s="234"/>
      <c r="AA108" s="234"/>
      <c r="AB108" s="234"/>
      <c r="AC108" s="234"/>
      <c r="AD108" s="234"/>
      <c r="AE108" s="234"/>
      <c r="AF108" s="236"/>
      <c r="AI108" s="19"/>
      <c r="AJ108" s="14"/>
      <c r="AK108" s="6"/>
      <c r="AL108" s="20"/>
      <c r="AM108" s="5"/>
    </row>
    <row r="109" spans="2:39" x14ac:dyDescent="0.3">
      <c r="B109" s="13">
        <f t="shared" si="28"/>
        <v>103</v>
      </c>
      <c r="C109" s="47" t="s">
        <v>166</v>
      </c>
      <c r="D109" s="70">
        <v>45071</v>
      </c>
      <c r="E109" s="47"/>
      <c r="F109" s="9"/>
      <c r="G109" s="172" t="s">
        <v>250</v>
      </c>
      <c r="H109" s="170" t="s">
        <v>251</v>
      </c>
      <c r="I109" s="130" t="s">
        <v>172</v>
      </c>
      <c r="J109" s="6"/>
      <c r="K109" s="25">
        <v>105425</v>
      </c>
      <c r="L109" s="7"/>
      <c r="M109" s="7"/>
      <c r="N109" s="166">
        <f t="shared" si="25"/>
        <v>0</v>
      </c>
      <c r="O109" s="177">
        <f t="shared" si="29"/>
        <v>105425</v>
      </c>
      <c r="P109" s="25">
        <v>70272</v>
      </c>
      <c r="Q109" s="17">
        <f t="shared" si="24"/>
        <v>8784</v>
      </c>
      <c r="R109" s="30">
        <f t="shared" si="31"/>
        <v>79056</v>
      </c>
      <c r="S109" s="30">
        <f t="shared" si="32"/>
        <v>26369</v>
      </c>
      <c r="T109" s="177"/>
      <c r="U109" s="235">
        <f t="shared" si="30"/>
        <v>2196</v>
      </c>
      <c r="V109" s="234">
        <f t="shared" si="30"/>
        <v>2196</v>
      </c>
      <c r="W109" s="234">
        <f t="shared" si="30"/>
        <v>2196</v>
      </c>
      <c r="X109" s="234">
        <f t="shared" si="30"/>
        <v>2196</v>
      </c>
      <c r="Y109" s="234"/>
      <c r="Z109" s="234"/>
      <c r="AA109" s="234"/>
      <c r="AB109" s="234"/>
      <c r="AC109" s="234"/>
      <c r="AD109" s="234"/>
      <c r="AE109" s="234"/>
      <c r="AF109" s="236"/>
      <c r="AI109" s="19"/>
      <c r="AJ109" s="14"/>
      <c r="AK109" s="6"/>
      <c r="AL109" s="20"/>
      <c r="AM109" s="5"/>
    </row>
    <row r="110" spans="2:39" x14ac:dyDescent="0.3">
      <c r="B110" s="13">
        <f t="shared" si="28"/>
        <v>104</v>
      </c>
      <c r="C110" s="47" t="s">
        <v>166</v>
      </c>
      <c r="D110" s="70">
        <v>45071</v>
      </c>
      <c r="E110" s="47"/>
      <c r="F110" s="9"/>
      <c r="G110" s="172" t="s">
        <v>250</v>
      </c>
      <c r="H110" s="170" t="s">
        <v>251</v>
      </c>
      <c r="I110" s="130" t="s">
        <v>172</v>
      </c>
      <c r="J110" s="6"/>
      <c r="K110" s="25">
        <v>105425</v>
      </c>
      <c r="L110" s="7"/>
      <c r="M110" s="7"/>
      <c r="N110" s="166">
        <f t="shared" si="25"/>
        <v>0</v>
      </c>
      <c r="O110" s="177">
        <f t="shared" si="29"/>
        <v>105425</v>
      </c>
      <c r="P110" s="25">
        <v>70272</v>
      </c>
      <c r="Q110" s="17">
        <f t="shared" si="24"/>
        <v>8784</v>
      </c>
      <c r="R110" s="30">
        <f t="shared" si="31"/>
        <v>79056</v>
      </c>
      <c r="S110" s="30">
        <f t="shared" si="32"/>
        <v>26369</v>
      </c>
      <c r="T110" s="177"/>
      <c r="U110" s="235">
        <f t="shared" si="30"/>
        <v>2196</v>
      </c>
      <c r="V110" s="234">
        <f t="shared" si="30"/>
        <v>2196</v>
      </c>
      <c r="W110" s="234">
        <f t="shared" si="30"/>
        <v>2196</v>
      </c>
      <c r="X110" s="234">
        <f t="shared" si="30"/>
        <v>2196</v>
      </c>
      <c r="Y110" s="234"/>
      <c r="Z110" s="234"/>
      <c r="AA110" s="234"/>
      <c r="AB110" s="234"/>
      <c r="AC110" s="234"/>
      <c r="AD110" s="234"/>
      <c r="AE110" s="234"/>
      <c r="AF110" s="236"/>
      <c r="AI110" s="19"/>
      <c r="AJ110" s="14"/>
      <c r="AK110" s="6"/>
      <c r="AL110" s="20"/>
      <c r="AM110" s="5"/>
    </row>
    <row r="111" spans="2:39" x14ac:dyDescent="0.3">
      <c r="B111" s="13">
        <f t="shared" si="28"/>
        <v>105</v>
      </c>
      <c r="C111" s="47" t="s">
        <v>166</v>
      </c>
      <c r="D111" s="70">
        <v>45071</v>
      </c>
      <c r="E111" s="47"/>
      <c r="F111" s="9"/>
      <c r="G111" s="172" t="s">
        <v>250</v>
      </c>
      <c r="H111" s="170" t="s">
        <v>251</v>
      </c>
      <c r="I111" s="131" t="s">
        <v>172</v>
      </c>
      <c r="J111" s="6"/>
      <c r="K111" s="25">
        <v>105425</v>
      </c>
      <c r="L111" s="7"/>
      <c r="M111" s="7"/>
      <c r="N111" s="166">
        <f t="shared" si="25"/>
        <v>0</v>
      </c>
      <c r="O111" s="177">
        <f t="shared" si="29"/>
        <v>105425</v>
      </c>
      <c r="P111" s="25">
        <v>70272</v>
      </c>
      <c r="Q111" s="17">
        <f t="shared" si="24"/>
        <v>8784</v>
      </c>
      <c r="R111" s="30">
        <f t="shared" si="31"/>
        <v>79056</v>
      </c>
      <c r="S111" s="30">
        <f t="shared" si="32"/>
        <v>26369</v>
      </c>
      <c r="T111" s="177"/>
      <c r="U111" s="235">
        <f t="shared" si="30"/>
        <v>2196</v>
      </c>
      <c r="V111" s="234">
        <f t="shared" si="30"/>
        <v>2196</v>
      </c>
      <c r="W111" s="234">
        <f t="shared" si="30"/>
        <v>2196</v>
      </c>
      <c r="X111" s="234">
        <f t="shared" si="30"/>
        <v>2196</v>
      </c>
      <c r="Y111" s="234"/>
      <c r="Z111" s="234"/>
      <c r="AA111" s="234"/>
      <c r="AB111" s="234"/>
      <c r="AC111" s="234"/>
      <c r="AD111" s="234"/>
      <c r="AE111" s="234"/>
      <c r="AF111" s="236"/>
      <c r="AI111" s="19"/>
      <c r="AJ111" s="14"/>
      <c r="AK111" s="6"/>
      <c r="AL111" s="20"/>
      <c r="AM111" s="5"/>
    </row>
    <row r="112" spans="2:39" x14ac:dyDescent="0.3">
      <c r="B112" s="13">
        <f t="shared" si="28"/>
        <v>106</v>
      </c>
      <c r="C112" s="47" t="s">
        <v>166</v>
      </c>
      <c r="D112" s="70">
        <v>45071</v>
      </c>
      <c r="E112" s="47"/>
      <c r="F112" s="9"/>
      <c r="G112" s="172" t="s">
        <v>250</v>
      </c>
      <c r="H112" s="170" t="s">
        <v>251</v>
      </c>
      <c r="I112" s="130" t="s">
        <v>172</v>
      </c>
      <c r="J112" s="6"/>
      <c r="K112" s="25">
        <v>79867</v>
      </c>
      <c r="L112" s="7"/>
      <c r="M112" s="7"/>
      <c r="N112" s="166">
        <f t="shared" si="25"/>
        <v>0</v>
      </c>
      <c r="O112" s="177">
        <f t="shared" si="29"/>
        <v>79867</v>
      </c>
      <c r="P112" s="25">
        <v>53216</v>
      </c>
      <c r="Q112" s="17">
        <f t="shared" si="24"/>
        <v>6652</v>
      </c>
      <c r="R112" s="30">
        <f t="shared" si="31"/>
        <v>59868</v>
      </c>
      <c r="S112" s="30">
        <f t="shared" si="32"/>
        <v>19999</v>
      </c>
      <c r="T112" s="177"/>
      <c r="U112" s="235">
        <f t="shared" si="30"/>
        <v>1663</v>
      </c>
      <c r="V112" s="234">
        <f t="shared" si="30"/>
        <v>1663</v>
      </c>
      <c r="W112" s="234">
        <f t="shared" si="30"/>
        <v>1663</v>
      </c>
      <c r="X112" s="234">
        <f t="shared" si="30"/>
        <v>1663</v>
      </c>
      <c r="Y112" s="234"/>
      <c r="Z112" s="234"/>
      <c r="AA112" s="234"/>
      <c r="AB112" s="234"/>
      <c r="AC112" s="234"/>
      <c r="AD112" s="234"/>
      <c r="AE112" s="234"/>
      <c r="AF112" s="236"/>
      <c r="AI112" s="19"/>
      <c r="AJ112" s="14"/>
      <c r="AK112" s="6"/>
      <c r="AL112" s="20"/>
      <c r="AM112" s="5"/>
    </row>
    <row r="113" spans="2:39" x14ac:dyDescent="0.3">
      <c r="B113" s="13">
        <f t="shared" si="28"/>
        <v>107</v>
      </c>
      <c r="C113" s="47" t="s">
        <v>166</v>
      </c>
      <c r="D113" s="70">
        <v>45071</v>
      </c>
      <c r="E113" s="47"/>
      <c r="F113" s="9"/>
      <c r="G113" s="172" t="s">
        <v>250</v>
      </c>
      <c r="H113" s="170" t="s">
        <v>251</v>
      </c>
      <c r="I113" s="130" t="s">
        <v>172</v>
      </c>
      <c r="J113" s="6"/>
      <c r="K113" s="25">
        <v>79867</v>
      </c>
      <c r="L113" s="7"/>
      <c r="M113" s="7"/>
      <c r="N113" s="166">
        <f t="shared" si="25"/>
        <v>0</v>
      </c>
      <c r="O113" s="177">
        <f t="shared" si="29"/>
        <v>79867</v>
      </c>
      <c r="P113" s="25">
        <v>53216</v>
      </c>
      <c r="Q113" s="17">
        <f t="shared" si="24"/>
        <v>6652</v>
      </c>
      <c r="R113" s="30">
        <f t="shared" si="31"/>
        <v>59868</v>
      </c>
      <c r="S113" s="30">
        <f t="shared" si="32"/>
        <v>19999</v>
      </c>
      <c r="T113" s="177"/>
      <c r="U113" s="235">
        <f t="shared" si="30"/>
        <v>1663</v>
      </c>
      <c r="V113" s="234">
        <f t="shared" si="30"/>
        <v>1663</v>
      </c>
      <c r="W113" s="234">
        <f t="shared" si="30"/>
        <v>1663</v>
      </c>
      <c r="X113" s="234">
        <f t="shared" si="30"/>
        <v>1663</v>
      </c>
      <c r="Y113" s="234"/>
      <c r="Z113" s="234"/>
      <c r="AA113" s="234"/>
      <c r="AB113" s="234"/>
      <c r="AC113" s="234"/>
      <c r="AD113" s="234"/>
      <c r="AE113" s="234"/>
      <c r="AF113" s="236"/>
      <c r="AI113" s="19"/>
      <c r="AJ113" s="14"/>
      <c r="AK113" s="6"/>
      <c r="AL113" s="20"/>
      <c r="AM113" s="5"/>
    </row>
    <row r="114" spans="2:39" x14ac:dyDescent="0.3">
      <c r="B114" s="13">
        <f t="shared" si="28"/>
        <v>108</v>
      </c>
      <c r="C114" s="47" t="s">
        <v>166</v>
      </c>
      <c r="D114" s="70">
        <v>45071</v>
      </c>
      <c r="E114" s="47"/>
      <c r="F114" s="9"/>
      <c r="G114" s="172" t="s">
        <v>250</v>
      </c>
      <c r="H114" s="170" t="s">
        <v>251</v>
      </c>
      <c r="I114" s="130" t="s">
        <v>172</v>
      </c>
      <c r="J114" s="6"/>
      <c r="K114" s="25">
        <v>79867</v>
      </c>
      <c r="L114" s="7"/>
      <c r="M114" s="7"/>
      <c r="N114" s="166">
        <f t="shared" si="25"/>
        <v>0</v>
      </c>
      <c r="O114" s="177">
        <f t="shared" si="29"/>
        <v>79867</v>
      </c>
      <c r="P114" s="25">
        <v>53216</v>
      </c>
      <c r="Q114" s="17">
        <f t="shared" si="24"/>
        <v>6652</v>
      </c>
      <c r="R114" s="30">
        <f t="shared" si="31"/>
        <v>59868</v>
      </c>
      <c r="S114" s="30">
        <f t="shared" si="32"/>
        <v>19999</v>
      </c>
      <c r="T114" s="177"/>
      <c r="U114" s="235">
        <f t="shared" si="30"/>
        <v>1663</v>
      </c>
      <c r="V114" s="234">
        <f t="shared" si="30"/>
        <v>1663</v>
      </c>
      <c r="W114" s="234">
        <f t="shared" si="30"/>
        <v>1663</v>
      </c>
      <c r="X114" s="234">
        <f t="shared" si="30"/>
        <v>1663</v>
      </c>
      <c r="Y114" s="234"/>
      <c r="Z114" s="234"/>
      <c r="AA114" s="234"/>
      <c r="AB114" s="234"/>
      <c r="AC114" s="234"/>
      <c r="AD114" s="234"/>
      <c r="AE114" s="234"/>
      <c r="AF114" s="236"/>
      <c r="AI114" s="19"/>
      <c r="AJ114" s="14"/>
      <c r="AK114" s="6"/>
      <c r="AL114" s="20"/>
      <c r="AM114" s="5"/>
    </row>
    <row r="115" spans="2:39" x14ac:dyDescent="0.3">
      <c r="B115" s="13">
        <f t="shared" si="28"/>
        <v>109</v>
      </c>
      <c r="C115" s="47" t="s">
        <v>166</v>
      </c>
      <c r="D115" s="70">
        <v>45071</v>
      </c>
      <c r="E115" s="47"/>
      <c r="F115" s="9"/>
      <c r="G115" s="172" t="s">
        <v>250</v>
      </c>
      <c r="H115" s="170" t="s">
        <v>251</v>
      </c>
      <c r="I115" s="130" t="s">
        <v>172</v>
      </c>
      <c r="J115" s="6"/>
      <c r="K115" s="25">
        <v>79867</v>
      </c>
      <c r="L115" s="7"/>
      <c r="M115" s="7"/>
      <c r="N115" s="166">
        <f t="shared" si="25"/>
        <v>0</v>
      </c>
      <c r="O115" s="177">
        <f t="shared" si="29"/>
        <v>79867</v>
      </c>
      <c r="P115" s="25">
        <v>53216</v>
      </c>
      <c r="Q115" s="17">
        <f t="shared" si="24"/>
        <v>6652</v>
      </c>
      <c r="R115" s="30">
        <f t="shared" si="31"/>
        <v>59868</v>
      </c>
      <c r="S115" s="30">
        <f t="shared" si="32"/>
        <v>19999</v>
      </c>
      <c r="T115" s="177"/>
      <c r="U115" s="235">
        <f t="shared" si="30"/>
        <v>1663</v>
      </c>
      <c r="V115" s="234">
        <f t="shared" si="30"/>
        <v>1663</v>
      </c>
      <c r="W115" s="234">
        <f t="shared" si="30"/>
        <v>1663</v>
      </c>
      <c r="X115" s="234">
        <f t="shared" si="30"/>
        <v>1663</v>
      </c>
      <c r="Y115" s="234"/>
      <c r="Z115" s="234"/>
      <c r="AA115" s="234"/>
      <c r="AB115" s="234"/>
      <c r="AC115" s="234"/>
      <c r="AD115" s="234"/>
      <c r="AE115" s="234"/>
      <c r="AF115" s="236"/>
      <c r="AI115" s="19"/>
      <c r="AJ115" s="14"/>
      <c r="AK115" s="6"/>
      <c r="AL115" s="20"/>
      <c r="AM115" s="5"/>
    </row>
    <row r="116" spans="2:39" x14ac:dyDescent="0.3">
      <c r="B116" s="13">
        <f t="shared" si="28"/>
        <v>110</v>
      </c>
      <c r="C116" s="47" t="s">
        <v>166</v>
      </c>
      <c r="D116" s="70">
        <v>45071</v>
      </c>
      <c r="E116" s="47"/>
      <c r="F116" s="9"/>
      <c r="G116" s="172" t="s">
        <v>250</v>
      </c>
      <c r="H116" s="170" t="s">
        <v>251</v>
      </c>
      <c r="I116" s="130" t="s">
        <v>172</v>
      </c>
      <c r="J116" s="6"/>
      <c r="K116" s="25">
        <v>79867</v>
      </c>
      <c r="L116" s="7"/>
      <c r="M116" s="7"/>
      <c r="N116" s="166">
        <f t="shared" si="25"/>
        <v>0</v>
      </c>
      <c r="O116" s="177">
        <f t="shared" si="29"/>
        <v>79867</v>
      </c>
      <c r="P116" s="25">
        <v>53216</v>
      </c>
      <c r="Q116" s="17">
        <f t="shared" si="24"/>
        <v>6652</v>
      </c>
      <c r="R116" s="30">
        <f t="shared" si="31"/>
        <v>59868</v>
      </c>
      <c r="S116" s="30">
        <f t="shared" si="32"/>
        <v>19999</v>
      </c>
      <c r="T116" s="177"/>
      <c r="U116" s="235">
        <f t="shared" si="30"/>
        <v>1663</v>
      </c>
      <c r="V116" s="234">
        <f t="shared" si="30"/>
        <v>1663</v>
      </c>
      <c r="W116" s="234">
        <f t="shared" si="30"/>
        <v>1663</v>
      </c>
      <c r="X116" s="234">
        <f t="shared" si="30"/>
        <v>1663</v>
      </c>
      <c r="Y116" s="234"/>
      <c r="Z116" s="234"/>
      <c r="AA116" s="234"/>
      <c r="AB116" s="234"/>
      <c r="AC116" s="234"/>
      <c r="AD116" s="234"/>
      <c r="AE116" s="234"/>
      <c r="AF116" s="236"/>
      <c r="AI116" s="19"/>
      <c r="AJ116" s="14"/>
      <c r="AK116" s="6"/>
      <c r="AL116" s="20"/>
      <c r="AM116" s="5"/>
    </row>
    <row r="117" spans="2:39" x14ac:dyDescent="0.3">
      <c r="B117" s="13">
        <f t="shared" si="28"/>
        <v>111</v>
      </c>
      <c r="C117" s="47" t="s">
        <v>166</v>
      </c>
      <c r="D117" s="70">
        <v>45071</v>
      </c>
      <c r="E117" s="47"/>
      <c r="F117" s="9"/>
      <c r="G117" s="172" t="s">
        <v>250</v>
      </c>
      <c r="H117" s="170" t="s">
        <v>251</v>
      </c>
      <c r="I117" s="130" t="s">
        <v>172</v>
      </c>
      <c r="J117" s="6"/>
      <c r="K117" s="25">
        <v>79867</v>
      </c>
      <c r="L117" s="7"/>
      <c r="M117" s="7"/>
      <c r="N117" s="166">
        <f t="shared" si="25"/>
        <v>0</v>
      </c>
      <c r="O117" s="177">
        <f t="shared" si="29"/>
        <v>79867</v>
      </c>
      <c r="P117" s="25">
        <v>53216</v>
      </c>
      <c r="Q117" s="17">
        <f t="shared" si="24"/>
        <v>6652</v>
      </c>
      <c r="R117" s="30">
        <f t="shared" si="31"/>
        <v>59868</v>
      </c>
      <c r="S117" s="30">
        <f t="shared" si="32"/>
        <v>19999</v>
      </c>
      <c r="T117" s="177"/>
      <c r="U117" s="235">
        <f t="shared" si="30"/>
        <v>1663</v>
      </c>
      <c r="V117" s="234">
        <f t="shared" si="30"/>
        <v>1663</v>
      </c>
      <c r="W117" s="234">
        <f t="shared" si="30"/>
        <v>1663</v>
      </c>
      <c r="X117" s="234">
        <f t="shared" si="30"/>
        <v>1663</v>
      </c>
      <c r="Y117" s="234"/>
      <c r="Z117" s="234"/>
      <c r="AA117" s="234"/>
      <c r="AB117" s="234"/>
      <c r="AC117" s="234"/>
      <c r="AD117" s="234"/>
      <c r="AE117" s="234"/>
      <c r="AF117" s="236"/>
      <c r="AI117" s="19"/>
      <c r="AJ117" s="14"/>
      <c r="AK117" s="6"/>
      <c r="AL117" s="20"/>
      <c r="AM117" s="5"/>
    </row>
    <row r="118" spans="2:39" x14ac:dyDescent="0.3">
      <c r="B118" s="13">
        <f t="shared" si="28"/>
        <v>112</v>
      </c>
      <c r="C118" s="47" t="s">
        <v>166</v>
      </c>
      <c r="D118" s="70">
        <v>45071</v>
      </c>
      <c r="E118" s="47"/>
      <c r="F118" s="9"/>
      <c r="G118" s="172" t="s">
        <v>250</v>
      </c>
      <c r="H118" s="170" t="s">
        <v>251</v>
      </c>
      <c r="I118" s="130" t="s">
        <v>172</v>
      </c>
      <c r="J118" s="6"/>
      <c r="K118" s="25">
        <v>79867</v>
      </c>
      <c r="L118" s="7"/>
      <c r="M118" s="7"/>
      <c r="N118" s="166">
        <f t="shared" si="25"/>
        <v>0</v>
      </c>
      <c r="O118" s="177">
        <f t="shared" si="29"/>
        <v>79867</v>
      </c>
      <c r="P118" s="25">
        <v>53216</v>
      </c>
      <c r="Q118" s="17">
        <f t="shared" si="24"/>
        <v>6652</v>
      </c>
      <c r="R118" s="30">
        <f t="shared" si="31"/>
        <v>59868</v>
      </c>
      <c r="S118" s="30">
        <f t="shared" si="32"/>
        <v>19999</v>
      </c>
      <c r="T118" s="177"/>
      <c r="U118" s="235">
        <f t="shared" si="30"/>
        <v>1663</v>
      </c>
      <c r="V118" s="234">
        <f t="shared" si="30"/>
        <v>1663</v>
      </c>
      <c r="W118" s="234">
        <f t="shared" si="30"/>
        <v>1663</v>
      </c>
      <c r="X118" s="234">
        <f t="shared" si="30"/>
        <v>1663</v>
      </c>
      <c r="Y118" s="234"/>
      <c r="Z118" s="234"/>
      <c r="AA118" s="234"/>
      <c r="AB118" s="234"/>
      <c r="AC118" s="234"/>
      <c r="AD118" s="234"/>
      <c r="AE118" s="234"/>
      <c r="AF118" s="236"/>
      <c r="AI118" s="19"/>
      <c r="AJ118" s="14"/>
      <c r="AK118" s="6"/>
      <c r="AL118" s="20"/>
      <c r="AM118" s="5"/>
    </row>
    <row r="119" spans="2:39" x14ac:dyDescent="0.3">
      <c r="B119" s="13">
        <f t="shared" si="28"/>
        <v>113</v>
      </c>
      <c r="C119" s="47" t="s">
        <v>166</v>
      </c>
      <c r="D119" s="70">
        <v>45071</v>
      </c>
      <c r="E119" s="47"/>
      <c r="F119" s="9"/>
      <c r="G119" s="172" t="s">
        <v>250</v>
      </c>
      <c r="H119" s="170" t="s">
        <v>251</v>
      </c>
      <c r="I119" s="130" t="s">
        <v>172</v>
      </c>
      <c r="J119" s="6"/>
      <c r="K119" s="25">
        <v>79867</v>
      </c>
      <c r="L119" s="7"/>
      <c r="M119" s="7"/>
      <c r="N119" s="166">
        <f t="shared" si="25"/>
        <v>0</v>
      </c>
      <c r="O119" s="177">
        <f t="shared" si="29"/>
        <v>79867</v>
      </c>
      <c r="P119" s="25">
        <v>53216</v>
      </c>
      <c r="Q119" s="17">
        <f t="shared" si="24"/>
        <v>6652</v>
      </c>
      <c r="R119" s="30">
        <f t="shared" si="31"/>
        <v>59868</v>
      </c>
      <c r="S119" s="30">
        <f t="shared" si="32"/>
        <v>19999</v>
      </c>
      <c r="T119" s="177"/>
      <c r="U119" s="235">
        <f t="shared" si="30"/>
        <v>1663</v>
      </c>
      <c r="V119" s="234">
        <f t="shared" si="30"/>
        <v>1663</v>
      </c>
      <c r="W119" s="234">
        <f t="shared" si="30"/>
        <v>1663</v>
      </c>
      <c r="X119" s="234">
        <f t="shared" si="30"/>
        <v>1663</v>
      </c>
      <c r="Y119" s="234"/>
      <c r="Z119" s="234"/>
      <c r="AA119" s="234"/>
      <c r="AB119" s="234"/>
      <c r="AC119" s="234"/>
      <c r="AD119" s="234"/>
      <c r="AE119" s="234"/>
      <c r="AF119" s="236"/>
      <c r="AI119" s="19"/>
      <c r="AJ119" s="14"/>
      <c r="AK119" s="6"/>
      <c r="AL119" s="20"/>
      <c r="AM119" s="5"/>
    </row>
    <row r="120" spans="2:39" x14ac:dyDescent="0.3">
      <c r="B120" s="13">
        <f t="shared" si="28"/>
        <v>114</v>
      </c>
      <c r="C120" s="47" t="s">
        <v>166</v>
      </c>
      <c r="D120" s="70">
        <v>45071</v>
      </c>
      <c r="E120" s="47"/>
      <c r="F120" s="9"/>
      <c r="G120" s="172" t="s">
        <v>250</v>
      </c>
      <c r="H120" s="170" t="s">
        <v>251</v>
      </c>
      <c r="I120" s="130" t="s">
        <v>172</v>
      </c>
      <c r="J120" s="6"/>
      <c r="K120" s="25">
        <v>79867</v>
      </c>
      <c r="L120" s="7"/>
      <c r="M120" s="7"/>
      <c r="N120" s="166">
        <f t="shared" si="25"/>
        <v>0</v>
      </c>
      <c r="O120" s="177">
        <f t="shared" si="29"/>
        <v>79867</v>
      </c>
      <c r="P120" s="25">
        <v>53216</v>
      </c>
      <c r="Q120" s="17">
        <f t="shared" si="24"/>
        <v>6652</v>
      </c>
      <c r="R120" s="30">
        <f t="shared" si="31"/>
        <v>59868</v>
      </c>
      <c r="S120" s="30">
        <f t="shared" si="32"/>
        <v>19999</v>
      </c>
      <c r="T120" s="177"/>
      <c r="U120" s="235">
        <f t="shared" si="30"/>
        <v>1663</v>
      </c>
      <c r="V120" s="234">
        <f t="shared" si="30"/>
        <v>1663</v>
      </c>
      <c r="W120" s="234">
        <f t="shared" si="30"/>
        <v>1663</v>
      </c>
      <c r="X120" s="234">
        <f t="shared" si="30"/>
        <v>1663</v>
      </c>
      <c r="Y120" s="234"/>
      <c r="Z120" s="234"/>
      <c r="AA120" s="234"/>
      <c r="AB120" s="234"/>
      <c r="AC120" s="234"/>
      <c r="AD120" s="234"/>
      <c r="AE120" s="234"/>
      <c r="AF120" s="236"/>
      <c r="AI120" s="19"/>
      <c r="AJ120" s="14"/>
      <c r="AK120" s="6"/>
      <c r="AL120" s="20"/>
      <c r="AM120" s="5"/>
    </row>
    <row r="121" spans="2:39" x14ac:dyDescent="0.3">
      <c r="B121" s="13">
        <f t="shared" si="28"/>
        <v>115</v>
      </c>
      <c r="C121" s="47" t="s">
        <v>166</v>
      </c>
      <c r="D121" s="70">
        <v>45071</v>
      </c>
      <c r="E121" s="47"/>
      <c r="F121" s="9"/>
      <c r="G121" s="172" t="s">
        <v>250</v>
      </c>
      <c r="H121" s="170" t="s">
        <v>251</v>
      </c>
      <c r="I121" s="130" t="s">
        <v>172</v>
      </c>
      <c r="J121" s="6"/>
      <c r="K121" s="25">
        <v>79867</v>
      </c>
      <c r="L121" s="7"/>
      <c r="M121" s="7"/>
      <c r="N121" s="166">
        <f t="shared" si="25"/>
        <v>0</v>
      </c>
      <c r="O121" s="177">
        <f t="shared" si="29"/>
        <v>79867</v>
      </c>
      <c r="P121" s="25">
        <v>53216</v>
      </c>
      <c r="Q121" s="17">
        <f t="shared" si="24"/>
        <v>6652</v>
      </c>
      <c r="R121" s="30">
        <f t="shared" si="31"/>
        <v>59868</v>
      </c>
      <c r="S121" s="30">
        <f t="shared" si="32"/>
        <v>19999</v>
      </c>
      <c r="T121" s="177"/>
      <c r="U121" s="235">
        <f t="shared" si="30"/>
        <v>1663</v>
      </c>
      <c r="V121" s="234">
        <f t="shared" si="30"/>
        <v>1663</v>
      </c>
      <c r="W121" s="234">
        <f t="shared" si="30"/>
        <v>1663</v>
      </c>
      <c r="X121" s="234">
        <f t="shared" si="30"/>
        <v>1663</v>
      </c>
      <c r="Y121" s="234"/>
      <c r="Z121" s="234"/>
      <c r="AA121" s="234"/>
      <c r="AB121" s="234"/>
      <c r="AC121" s="234"/>
      <c r="AD121" s="234"/>
      <c r="AE121" s="234"/>
      <c r="AF121" s="236"/>
      <c r="AI121" s="19"/>
      <c r="AJ121" s="14"/>
      <c r="AK121" s="6"/>
      <c r="AL121" s="20"/>
      <c r="AM121" s="5"/>
    </row>
    <row r="122" spans="2:39" x14ac:dyDescent="0.3">
      <c r="B122" s="13">
        <f t="shared" si="28"/>
        <v>116</v>
      </c>
      <c r="C122" s="47" t="s">
        <v>166</v>
      </c>
      <c r="D122" s="70">
        <v>45071</v>
      </c>
      <c r="E122" s="47"/>
      <c r="F122" s="9"/>
      <c r="G122" s="172" t="s">
        <v>250</v>
      </c>
      <c r="H122" s="170" t="s">
        <v>251</v>
      </c>
      <c r="I122" s="130" t="s">
        <v>172</v>
      </c>
      <c r="J122" s="6"/>
      <c r="K122" s="25">
        <v>79867</v>
      </c>
      <c r="L122" s="7"/>
      <c r="M122" s="7"/>
      <c r="N122" s="166">
        <f t="shared" si="25"/>
        <v>0</v>
      </c>
      <c r="O122" s="177">
        <f t="shared" si="29"/>
        <v>79867</v>
      </c>
      <c r="P122" s="25">
        <v>53216</v>
      </c>
      <c r="Q122" s="17">
        <f t="shared" si="24"/>
        <v>6652</v>
      </c>
      <c r="R122" s="30">
        <f t="shared" si="31"/>
        <v>59868</v>
      </c>
      <c r="S122" s="30">
        <f t="shared" si="32"/>
        <v>19999</v>
      </c>
      <c r="T122" s="177"/>
      <c r="U122" s="235">
        <f t="shared" si="30"/>
        <v>1663</v>
      </c>
      <c r="V122" s="234">
        <f t="shared" si="30"/>
        <v>1663</v>
      </c>
      <c r="W122" s="234">
        <f t="shared" si="30"/>
        <v>1663</v>
      </c>
      <c r="X122" s="234">
        <f t="shared" si="30"/>
        <v>1663</v>
      </c>
      <c r="Y122" s="234"/>
      <c r="Z122" s="234"/>
      <c r="AA122" s="234"/>
      <c r="AB122" s="234"/>
      <c r="AC122" s="234"/>
      <c r="AD122" s="234"/>
      <c r="AE122" s="234"/>
      <c r="AF122" s="236"/>
      <c r="AI122" s="19"/>
      <c r="AJ122" s="14"/>
      <c r="AK122" s="6"/>
      <c r="AL122" s="20"/>
      <c r="AM122" s="5"/>
    </row>
    <row r="123" spans="2:39" x14ac:dyDescent="0.3">
      <c r="B123" s="13">
        <f t="shared" si="28"/>
        <v>117</v>
      </c>
      <c r="C123" s="47" t="s">
        <v>166</v>
      </c>
      <c r="D123" s="70">
        <v>45071</v>
      </c>
      <c r="E123" s="47"/>
      <c r="F123" s="9"/>
      <c r="G123" s="172" t="s">
        <v>250</v>
      </c>
      <c r="H123" s="170" t="s">
        <v>251</v>
      </c>
      <c r="I123" s="130" t="s">
        <v>172</v>
      </c>
      <c r="J123" s="6"/>
      <c r="K123" s="25">
        <v>79867</v>
      </c>
      <c r="L123" s="7"/>
      <c r="M123" s="7"/>
      <c r="N123" s="166">
        <f t="shared" si="25"/>
        <v>0</v>
      </c>
      <c r="O123" s="177">
        <f t="shared" si="29"/>
        <v>79867</v>
      </c>
      <c r="P123" s="25">
        <v>53216</v>
      </c>
      <c r="Q123" s="17">
        <f t="shared" si="24"/>
        <v>6652</v>
      </c>
      <c r="R123" s="30">
        <f t="shared" si="31"/>
        <v>59868</v>
      </c>
      <c r="S123" s="30">
        <f t="shared" si="32"/>
        <v>19999</v>
      </c>
      <c r="T123" s="177"/>
      <c r="U123" s="235">
        <f t="shared" si="30"/>
        <v>1663</v>
      </c>
      <c r="V123" s="234">
        <f t="shared" si="30"/>
        <v>1663</v>
      </c>
      <c r="W123" s="234">
        <f t="shared" si="30"/>
        <v>1663</v>
      </c>
      <c r="X123" s="234">
        <f t="shared" si="30"/>
        <v>1663</v>
      </c>
      <c r="Y123" s="234"/>
      <c r="Z123" s="234"/>
      <c r="AA123" s="234"/>
      <c r="AB123" s="234"/>
      <c r="AC123" s="234"/>
      <c r="AD123" s="234"/>
      <c r="AE123" s="234"/>
      <c r="AF123" s="236"/>
      <c r="AI123" s="19"/>
      <c r="AJ123" s="14"/>
      <c r="AK123" s="6"/>
      <c r="AL123" s="20"/>
      <c r="AM123" s="5"/>
    </row>
    <row r="124" spans="2:39" x14ac:dyDescent="0.3">
      <c r="B124" s="13">
        <f t="shared" si="28"/>
        <v>118</v>
      </c>
      <c r="C124" s="47" t="s">
        <v>166</v>
      </c>
      <c r="D124" s="70">
        <v>45071</v>
      </c>
      <c r="E124" s="47"/>
      <c r="F124" s="9"/>
      <c r="G124" s="172" t="s">
        <v>250</v>
      </c>
      <c r="H124" s="170" t="s">
        <v>251</v>
      </c>
      <c r="I124" s="130" t="s">
        <v>172</v>
      </c>
      <c r="J124" s="6"/>
      <c r="K124" s="25">
        <v>79867</v>
      </c>
      <c r="L124" s="7"/>
      <c r="M124" s="7"/>
      <c r="N124" s="166">
        <f t="shared" si="25"/>
        <v>0</v>
      </c>
      <c r="O124" s="177">
        <f t="shared" si="29"/>
        <v>79867</v>
      </c>
      <c r="P124" s="25">
        <v>53216</v>
      </c>
      <c r="Q124" s="17">
        <f t="shared" si="24"/>
        <v>6652</v>
      </c>
      <c r="R124" s="30">
        <f t="shared" si="31"/>
        <v>59868</v>
      </c>
      <c r="S124" s="30">
        <f t="shared" si="32"/>
        <v>19999</v>
      </c>
      <c r="T124" s="177"/>
      <c r="U124" s="235">
        <f t="shared" si="30"/>
        <v>1663</v>
      </c>
      <c r="V124" s="234">
        <f t="shared" si="30"/>
        <v>1663</v>
      </c>
      <c r="W124" s="234">
        <f t="shared" si="30"/>
        <v>1663</v>
      </c>
      <c r="X124" s="234">
        <f t="shared" si="30"/>
        <v>1663</v>
      </c>
      <c r="Y124" s="234"/>
      <c r="Z124" s="234"/>
      <c r="AA124" s="234"/>
      <c r="AB124" s="234"/>
      <c r="AC124" s="234"/>
      <c r="AD124" s="234"/>
      <c r="AE124" s="234"/>
      <c r="AF124" s="236"/>
      <c r="AI124" s="19"/>
      <c r="AJ124" s="14"/>
      <c r="AK124" s="6"/>
      <c r="AL124" s="20"/>
      <c r="AM124" s="5"/>
    </row>
    <row r="125" spans="2:39" x14ac:dyDescent="0.3">
      <c r="B125" s="13">
        <f t="shared" si="28"/>
        <v>119</v>
      </c>
      <c r="C125" s="47" t="s">
        <v>166</v>
      </c>
      <c r="D125" s="70">
        <v>45071</v>
      </c>
      <c r="E125" s="47"/>
      <c r="F125" s="9"/>
      <c r="G125" s="172" t="s">
        <v>250</v>
      </c>
      <c r="H125" s="170" t="s">
        <v>251</v>
      </c>
      <c r="I125" s="130" t="s">
        <v>172</v>
      </c>
      <c r="J125" s="6"/>
      <c r="K125" s="25">
        <v>79867</v>
      </c>
      <c r="L125" s="7"/>
      <c r="M125" s="7"/>
      <c r="N125" s="166">
        <f t="shared" si="25"/>
        <v>0</v>
      </c>
      <c r="O125" s="177">
        <f t="shared" si="29"/>
        <v>79867</v>
      </c>
      <c r="P125" s="25">
        <v>53216</v>
      </c>
      <c r="Q125" s="17">
        <f t="shared" si="24"/>
        <v>6652</v>
      </c>
      <c r="R125" s="30">
        <f t="shared" si="31"/>
        <v>59868</v>
      </c>
      <c r="S125" s="30">
        <f t="shared" si="32"/>
        <v>19999</v>
      </c>
      <c r="T125" s="177"/>
      <c r="U125" s="235">
        <f t="shared" si="30"/>
        <v>1663</v>
      </c>
      <c r="V125" s="234">
        <f t="shared" si="30"/>
        <v>1663</v>
      </c>
      <c r="W125" s="234">
        <f t="shared" si="30"/>
        <v>1663</v>
      </c>
      <c r="X125" s="234">
        <f t="shared" si="30"/>
        <v>1663</v>
      </c>
      <c r="Y125" s="234"/>
      <c r="Z125" s="234"/>
      <c r="AA125" s="234"/>
      <c r="AB125" s="234"/>
      <c r="AC125" s="234"/>
      <c r="AD125" s="234"/>
      <c r="AE125" s="234"/>
      <c r="AF125" s="236"/>
      <c r="AI125" s="19"/>
      <c r="AJ125" s="14"/>
      <c r="AK125" s="6"/>
      <c r="AL125" s="20"/>
      <c r="AM125" s="5"/>
    </row>
    <row r="126" spans="2:39" x14ac:dyDescent="0.3">
      <c r="B126" s="13">
        <f t="shared" si="28"/>
        <v>120</v>
      </c>
      <c r="C126" s="47" t="s">
        <v>166</v>
      </c>
      <c r="D126" s="70">
        <v>45071</v>
      </c>
      <c r="E126" s="47"/>
      <c r="F126" s="9"/>
      <c r="G126" s="172" t="s">
        <v>250</v>
      </c>
      <c r="H126" s="170" t="s">
        <v>251</v>
      </c>
      <c r="I126" s="130" t="s">
        <v>172</v>
      </c>
      <c r="J126" s="6"/>
      <c r="K126" s="25">
        <v>79867</v>
      </c>
      <c r="L126" s="7"/>
      <c r="M126" s="7"/>
      <c r="N126" s="166">
        <f t="shared" si="25"/>
        <v>0</v>
      </c>
      <c r="O126" s="177">
        <f t="shared" si="29"/>
        <v>79867</v>
      </c>
      <c r="P126" s="25">
        <v>53216</v>
      </c>
      <c r="Q126" s="17">
        <f t="shared" si="24"/>
        <v>6652</v>
      </c>
      <c r="R126" s="30">
        <f t="shared" si="31"/>
        <v>59868</v>
      </c>
      <c r="S126" s="30">
        <f t="shared" si="32"/>
        <v>19999</v>
      </c>
      <c r="T126" s="177"/>
      <c r="U126" s="235">
        <f t="shared" si="30"/>
        <v>1663</v>
      </c>
      <c r="V126" s="234">
        <f t="shared" si="30"/>
        <v>1663</v>
      </c>
      <c r="W126" s="234">
        <f t="shared" si="30"/>
        <v>1663</v>
      </c>
      <c r="X126" s="234">
        <f t="shared" si="30"/>
        <v>1663</v>
      </c>
      <c r="Y126" s="234"/>
      <c r="Z126" s="234"/>
      <c r="AA126" s="234"/>
      <c r="AB126" s="234"/>
      <c r="AC126" s="234"/>
      <c r="AD126" s="234"/>
      <c r="AE126" s="234"/>
      <c r="AF126" s="236"/>
      <c r="AI126" s="19"/>
      <c r="AJ126" s="14"/>
      <c r="AK126" s="6"/>
      <c r="AL126" s="20"/>
      <c r="AM126" s="5"/>
    </row>
    <row r="127" spans="2:39" x14ac:dyDescent="0.3">
      <c r="B127" s="13">
        <f t="shared" si="28"/>
        <v>121</v>
      </c>
      <c r="C127" s="47" t="s">
        <v>166</v>
      </c>
      <c r="D127" s="70">
        <v>45071</v>
      </c>
      <c r="E127" s="47"/>
      <c r="F127" s="9"/>
      <c r="G127" s="172" t="s">
        <v>250</v>
      </c>
      <c r="H127" s="170" t="s">
        <v>251</v>
      </c>
      <c r="I127" s="130" t="s">
        <v>172</v>
      </c>
      <c r="J127" s="6"/>
      <c r="K127" s="25">
        <v>79867</v>
      </c>
      <c r="L127" s="7"/>
      <c r="M127" s="7"/>
      <c r="N127" s="166">
        <f t="shared" si="25"/>
        <v>0</v>
      </c>
      <c r="O127" s="177">
        <f t="shared" si="29"/>
        <v>79867</v>
      </c>
      <c r="P127" s="25">
        <v>53216</v>
      </c>
      <c r="Q127" s="17">
        <f t="shared" si="24"/>
        <v>6652</v>
      </c>
      <c r="R127" s="30">
        <f t="shared" si="31"/>
        <v>59868</v>
      </c>
      <c r="S127" s="30">
        <f t="shared" si="32"/>
        <v>19999</v>
      </c>
      <c r="T127" s="177"/>
      <c r="U127" s="235">
        <f t="shared" si="30"/>
        <v>1663</v>
      </c>
      <c r="V127" s="234">
        <f t="shared" si="30"/>
        <v>1663</v>
      </c>
      <c r="W127" s="234">
        <f t="shared" si="30"/>
        <v>1663</v>
      </c>
      <c r="X127" s="234">
        <f t="shared" si="30"/>
        <v>1663</v>
      </c>
      <c r="Y127" s="234"/>
      <c r="Z127" s="234"/>
      <c r="AA127" s="234"/>
      <c r="AB127" s="234"/>
      <c r="AC127" s="234"/>
      <c r="AD127" s="234"/>
      <c r="AE127" s="234"/>
      <c r="AF127" s="236"/>
      <c r="AI127" s="19"/>
      <c r="AJ127" s="14"/>
      <c r="AK127" s="6"/>
      <c r="AL127" s="20"/>
      <c r="AM127" s="5"/>
    </row>
    <row r="128" spans="2:39" x14ac:dyDescent="0.3">
      <c r="B128" s="13">
        <f t="shared" si="28"/>
        <v>122</v>
      </c>
      <c r="C128" s="47" t="s">
        <v>166</v>
      </c>
      <c r="D128" s="70">
        <v>45071</v>
      </c>
      <c r="E128" s="47"/>
      <c r="F128" s="9"/>
      <c r="G128" s="172" t="s">
        <v>250</v>
      </c>
      <c r="H128" s="170" t="s">
        <v>251</v>
      </c>
      <c r="I128" s="130" t="s">
        <v>172</v>
      </c>
      <c r="J128" s="6"/>
      <c r="K128" s="25">
        <v>79867</v>
      </c>
      <c r="L128" s="7"/>
      <c r="M128" s="7"/>
      <c r="N128" s="166">
        <f t="shared" si="25"/>
        <v>0</v>
      </c>
      <c r="O128" s="177">
        <f t="shared" si="29"/>
        <v>79867</v>
      </c>
      <c r="P128" s="25">
        <v>53216</v>
      </c>
      <c r="Q128" s="17">
        <f t="shared" si="24"/>
        <v>6652</v>
      </c>
      <c r="R128" s="30">
        <f t="shared" si="31"/>
        <v>59868</v>
      </c>
      <c r="S128" s="30">
        <f t="shared" si="32"/>
        <v>19999</v>
      </c>
      <c r="T128" s="177"/>
      <c r="U128" s="235">
        <f t="shared" si="30"/>
        <v>1663</v>
      </c>
      <c r="V128" s="234">
        <f t="shared" si="30"/>
        <v>1663</v>
      </c>
      <c r="W128" s="234">
        <f t="shared" si="30"/>
        <v>1663</v>
      </c>
      <c r="X128" s="234">
        <f t="shared" si="30"/>
        <v>1663</v>
      </c>
      <c r="Y128" s="234"/>
      <c r="Z128" s="234"/>
      <c r="AA128" s="234"/>
      <c r="AB128" s="234"/>
      <c r="AC128" s="234"/>
      <c r="AD128" s="234"/>
      <c r="AE128" s="234"/>
      <c r="AF128" s="236"/>
      <c r="AI128" s="19"/>
      <c r="AJ128" s="14"/>
      <c r="AK128" s="6"/>
      <c r="AL128" s="20"/>
      <c r="AM128" s="5"/>
    </row>
    <row r="129" spans="2:39" x14ac:dyDescent="0.3">
      <c r="B129" s="13">
        <f t="shared" si="28"/>
        <v>123</v>
      </c>
      <c r="C129" s="47" t="s">
        <v>166</v>
      </c>
      <c r="D129" s="70">
        <v>45071</v>
      </c>
      <c r="E129" s="47"/>
      <c r="F129" s="9"/>
      <c r="G129" s="172" t="s">
        <v>250</v>
      </c>
      <c r="H129" s="170" t="s">
        <v>251</v>
      </c>
      <c r="I129" s="130" t="s">
        <v>172</v>
      </c>
      <c r="J129" s="6"/>
      <c r="K129" s="25">
        <v>79867</v>
      </c>
      <c r="L129" s="7"/>
      <c r="M129" s="7"/>
      <c r="N129" s="166">
        <f t="shared" si="25"/>
        <v>0</v>
      </c>
      <c r="O129" s="177">
        <f t="shared" si="29"/>
        <v>79867</v>
      </c>
      <c r="P129" s="25">
        <v>53216</v>
      </c>
      <c r="Q129" s="17">
        <f t="shared" si="24"/>
        <v>6652</v>
      </c>
      <c r="R129" s="30">
        <f t="shared" si="31"/>
        <v>59868</v>
      </c>
      <c r="S129" s="30">
        <f t="shared" si="32"/>
        <v>19999</v>
      </c>
      <c r="T129" s="177"/>
      <c r="U129" s="235">
        <f t="shared" si="30"/>
        <v>1663</v>
      </c>
      <c r="V129" s="234">
        <f t="shared" si="30"/>
        <v>1663</v>
      </c>
      <c r="W129" s="234">
        <f t="shared" si="30"/>
        <v>1663</v>
      </c>
      <c r="X129" s="234">
        <f t="shared" si="30"/>
        <v>1663</v>
      </c>
      <c r="Y129" s="234"/>
      <c r="Z129" s="234"/>
      <c r="AA129" s="234"/>
      <c r="AB129" s="234"/>
      <c r="AC129" s="234"/>
      <c r="AD129" s="234"/>
      <c r="AE129" s="234"/>
      <c r="AF129" s="236"/>
      <c r="AI129" s="19"/>
      <c r="AJ129" s="14"/>
      <c r="AK129" s="6"/>
      <c r="AL129" s="20"/>
      <c r="AM129" s="5"/>
    </row>
    <row r="130" spans="2:39" x14ac:dyDescent="0.3">
      <c r="B130" s="13">
        <f t="shared" si="28"/>
        <v>124</v>
      </c>
      <c r="C130" s="47" t="s">
        <v>166</v>
      </c>
      <c r="D130" s="70">
        <v>45071</v>
      </c>
      <c r="E130" s="47"/>
      <c r="F130" s="9"/>
      <c r="G130" s="172" t="s">
        <v>250</v>
      </c>
      <c r="H130" s="170" t="s">
        <v>251</v>
      </c>
      <c r="I130" s="130" t="s">
        <v>172</v>
      </c>
      <c r="J130" s="6"/>
      <c r="K130" s="25">
        <v>79867</v>
      </c>
      <c r="L130" s="7"/>
      <c r="M130" s="7"/>
      <c r="N130" s="166">
        <f t="shared" si="25"/>
        <v>0</v>
      </c>
      <c r="O130" s="177">
        <f t="shared" si="29"/>
        <v>79867</v>
      </c>
      <c r="P130" s="25">
        <v>53216</v>
      </c>
      <c r="Q130" s="17">
        <f t="shared" ref="Q130:Q168" si="33">SUM(U130:AF130)</f>
        <v>6652</v>
      </c>
      <c r="R130" s="30">
        <f t="shared" si="31"/>
        <v>59868</v>
      </c>
      <c r="S130" s="30">
        <f t="shared" si="32"/>
        <v>19999</v>
      </c>
      <c r="T130" s="177"/>
      <c r="U130" s="235">
        <f t="shared" si="30"/>
        <v>1663</v>
      </c>
      <c r="V130" s="234">
        <f t="shared" si="30"/>
        <v>1663</v>
      </c>
      <c r="W130" s="234">
        <f t="shared" si="30"/>
        <v>1663</v>
      </c>
      <c r="X130" s="234">
        <f t="shared" si="30"/>
        <v>1663</v>
      </c>
      <c r="Y130" s="234"/>
      <c r="Z130" s="234"/>
      <c r="AA130" s="234"/>
      <c r="AB130" s="234"/>
      <c r="AC130" s="234"/>
      <c r="AD130" s="234"/>
      <c r="AE130" s="234"/>
      <c r="AF130" s="236"/>
      <c r="AI130" s="19"/>
      <c r="AJ130" s="14"/>
      <c r="AK130" s="6"/>
      <c r="AL130" s="20"/>
      <c r="AM130" s="5"/>
    </row>
    <row r="131" spans="2:39" x14ac:dyDescent="0.3">
      <c r="B131" s="13">
        <f t="shared" si="28"/>
        <v>125</v>
      </c>
      <c r="C131" s="47" t="s">
        <v>166</v>
      </c>
      <c r="D131" s="70">
        <v>45071</v>
      </c>
      <c r="E131" s="47"/>
      <c r="F131" s="9"/>
      <c r="G131" s="172" t="s">
        <v>250</v>
      </c>
      <c r="H131" s="170" t="s">
        <v>251</v>
      </c>
      <c r="I131" s="130" t="s">
        <v>172</v>
      </c>
      <c r="J131" s="6"/>
      <c r="K131" s="25">
        <v>79867</v>
      </c>
      <c r="L131" s="7"/>
      <c r="M131" s="7"/>
      <c r="N131" s="166">
        <f t="shared" si="25"/>
        <v>0</v>
      </c>
      <c r="O131" s="177">
        <f t="shared" si="29"/>
        <v>79867</v>
      </c>
      <c r="P131" s="25">
        <v>53216</v>
      </c>
      <c r="Q131" s="17">
        <f t="shared" si="33"/>
        <v>6652</v>
      </c>
      <c r="R131" s="30">
        <f t="shared" si="31"/>
        <v>59868</v>
      </c>
      <c r="S131" s="30">
        <f t="shared" si="32"/>
        <v>19999</v>
      </c>
      <c r="T131" s="177"/>
      <c r="U131" s="235">
        <f t="shared" si="30"/>
        <v>1663</v>
      </c>
      <c r="V131" s="234">
        <f t="shared" si="30"/>
        <v>1663</v>
      </c>
      <c r="W131" s="234">
        <f t="shared" si="30"/>
        <v>1663</v>
      </c>
      <c r="X131" s="234">
        <f t="shared" si="30"/>
        <v>1663</v>
      </c>
      <c r="Y131" s="234"/>
      <c r="Z131" s="234"/>
      <c r="AA131" s="234"/>
      <c r="AB131" s="234"/>
      <c r="AC131" s="234"/>
      <c r="AD131" s="234"/>
      <c r="AE131" s="234"/>
      <c r="AF131" s="236"/>
      <c r="AI131" s="19"/>
      <c r="AJ131" s="14"/>
      <c r="AK131" s="6"/>
      <c r="AL131" s="20"/>
      <c r="AM131" s="5"/>
    </row>
    <row r="132" spans="2:39" x14ac:dyDescent="0.3">
      <c r="B132" s="13">
        <f t="shared" si="28"/>
        <v>126</v>
      </c>
      <c r="C132" s="47" t="s">
        <v>166</v>
      </c>
      <c r="D132" s="70">
        <v>45071</v>
      </c>
      <c r="E132" s="47"/>
      <c r="F132" s="9"/>
      <c r="G132" s="172" t="s">
        <v>250</v>
      </c>
      <c r="H132" s="170" t="s">
        <v>251</v>
      </c>
      <c r="I132" s="130" t="s">
        <v>172</v>
      </c>
      <c r="J132" s="6"/>
      <c r="K132" s="25">
        <v>79867</v>
      </c>
      <c r="L132" s="7"/>
      <c r="M132" s="7"/>
      <c r="N132" s="166">
        <f t="shared" si="25"/>
        <v>0</v>
      </c>
      <c r="O132" s="177">
        <f t="shared" si="29"/>
        <v>79867</v>
      </c>
      <c r="P132" s="25">
        <v>53216</v>
      </c>
      <c r="Q132" s="17">
        <f t="shared" si="33"/>
        <v>6652</v>
      </c>
      <c r="R132" s="30">
        <f t="shared" si="31"/>
        <v>59868</v>
      </c>
      <c r="S132" s="30">
        <f t="shared" si="32"/>
        <v>19999</v>
      </c>
      <c r="T132" s="177"/>
      <c r="U132" s="235">
        <f t="shared" si="30"/>
        <v>1663</v>
      </c>
      <c r="V132" s="234">
        <f t="shared" si="30"/>
        <v>1663</v>
      </c>
      <c r="W132" s="234">
        <f t="shared" si="30"/>
        <v>1663</v>
      </c>
      <c r="X132" s="234">
        <f t="shared" si="30"/>
        <v>1663</v>
      </c>
      <c r="Y132" s="234"/>
      <c r="Z132" s="234"/>
      <c r="AA132" s="234"/>
      <c r="AB132" s="234"/>
      <c r="AC132" s="234"/>
      <c r="AD132" s="234"/>
      <c r="AE132" s="234"/>
      <c r="AF132" s="236"/>
      <c r="AI132" s="19"/>
      <c r="AJ132" s="14"/>
      <c r="AK132" s="6"/>
      <c r="AL132" s="20"/>
      <c r="AM132" s="5"/>
    </row>
    <row r="133" spans="2:39" x14ac:dyDescent="0.3">
      <c r="B133" s="13">
        <f t="shared" si="28"/>
        <v>127</v>
      </c>
      <c r="C133" s="47" t="s">
        <v>166</v>
      </c>
      <c r="D133" s="70">
        <v>45071</v>
      </c>
      <c r="E133" s="47"/>
      <c r="F133" s="9"/>
      <c r="G133" s="172" t="s">
        <v>250</v>
      </c>
      <c r="H133" s="170" t="s">
        <v>251</v>
      </c>
      <c r="I133" s="130" t="s">
        <v>172</v>
      </c>
      <c r="J133" s="6"/>
      <c r="K133" s="25">
        <v>79867</v>
      </c>
      <c r="L133" s="7"/>
      <c r="M133" s="7"/>
      <c r="N133" s="166">
        <f t="shared" si="25"/>
        <v>0</v>
      </c>
      <c r="O133" s="177">
        <f t="shared" si="29"/>
        <v>79867</v>
      </c>
      <c r="P133" s="25">
        <v>53216</v>
      </c>
      <c r="Q133" s="17">
        <f t="shared" si="33"/>
        <v>6652</v>
      </c>
      <c r="R133" s="30">
        <f t="shared" si="31"/>
        <v>59868</v>
      </c>
      <c r="S133" s="30">
        <f t="shared" si="32"/>
        <v>19999</v>
      </c>
      <c r="T133" s="177"/>
      <c r="U133" s="235">
        <f t="shared" si="30"/>
        <v>1663</v>
      </c>
      <c r="V133" s="234">
        <f t="shared" si="30"/>
        <v>1663</v>
      </c>
      <c r="W133" s="234">
        <f t="shared" si="30"/>
        <v>1663</v>
      </c>
      <c r="X133" s="234">
        <f t="shared" si="30"/>
        <v>1663</v>
      </c>
      <c r="Y133" s="234"/>
      <c r="Z133" s="234"/>
      <c r="AA133" s="234"/>
      <c r="AB133" s="234"/>
      <c r="AC133" s="234"/>
      <c r="AD133" s="234"/>
      <c r="AE133" s="234"/>
      <c r="AF133" s="236"/>
      <c r="AI133" s="19"/>
      <c r="AJ133" s="14"/>
      <c r="AK133" s="6"/>
      <c r="AL133" s="20"/>
      <c r="AM133" s="5"/>
    </row>
    <row r="134" spans="2:39" x14ac:dyDescent="0.3">
      <c r="B134" s="13">
        <f t="shared" si="28"/>
        <v>128</v>
      </c>
      <c r="C134" s="47" t="s">
        <v>166</v>
      </c>
      <c r="D134" s="70">
        <v>45071</v>
      </c>
      <c r="E134" s="47"/>
      <c r="F134" s="9"/>
      <c r="G134" s="172" t="s">
        <v>250</v>
      </c>
      <c r="H134" s="170" t="s">
        <v>251</v>
      </c>
      <c r="I134" s="130" t="s">
        <v>172</v>
      </c>
      <c r="J134" s="6"/>
      <c r="K134" s="25">
        <v>79867</v>
      </c>
      <c r="L134" s="7"/>
      <c r="M134" s="7"/>
      <c r="N134" s="166">
        <f t="shared" si="25"/>
        <v>0</v>
      </c>
      <c r="O134" s="177">
        <f t="shared" si="29"/>
        <v>79867</v>
      </c>
      <c r="P134" s="25">
        <v>53216</v>
      </c>
      <c r="Q134" s="17">
        <f t="shared" si="33"/>
        <v>6652</v>
      </c>
      <c r="R134" s="30">
        <f t="shared" si="31"/>
        <v>59868</v>
      </c>
      <c r="S134" s="30">
        <f t="shared" si="32"/>
        <v>19999</v>
      </c>
      <c r="T134" s="177"/>
      <c r="U134" s="235">
        <f t="shared" si="30"/>
        <v>1663</v>
      </c>
      <c r="V134" s="234">
        <f t="shared" si="30"/>
        <v>1663</v>
      </c>
      <c r="W134" s="234">
        <f t="shared" si="30"/>
        <v>1663</v>
      </c>
      <c r="X134" s="234">
        <f t="shared" si="30"/>
        <v>1663</v>
      </c>
      <c r="Y134" s="234"/>
      <c r="Z134" s="234"/>
      <c r="AA134" s="234"/>
      <c r="AB134" s="234"/>
      <c r="AC134" s="234"/>
      <c r="AD134" s="234"/>
      <c r="AE134" s="234"/>
      <c r="AF134" s="236"/>
      <c r="AI134" s="19"/>
      <c r="AJ134" s="14"/>
      <c r="AK134" s="6"/>
      <c r="AL134" s="20"/>
      <c r="AM134" s="5"/>
    </row>
    <row r="135" spans="2:39" x14ac:dyDescent="0.3">
      <c r="B135" s="13">
        <f t="shared" si="28"/>
        <v>129</v>
      </c>
      <c r="C135" s="47" t="s">
        <v>166</v>
      </c>
      <c r="D135" s="70">
        <v>45071</v>
      </c>
      <c r="E135" s="47"/>
      <c r="F135" s="9"/>
      <c r="G135" s="172" t="s">
        <v>250</v>
      </c>
      <c r="H135" s="170" t="s">
        <v>251</v>
      </c>
      <c r="I135" s="130" t="s">
        <v>172</v>
      </c>
      <c r="J135" s="6"/>
      <c r="K135" s="25">
        <v>79867</v>
      </c>
      <c r="L135" s="7"/>
      <c r="M135" s="7"/>
      <c r="N135" s="166">
        <f t="shared" ref="N135:N168" si="34">IF(E135&gt;0,K135,0)</f>
        <v>0</v>
      </c>
      <c r="O135" s="177">
        <f t="shared" si="29"/>
        <v>79867</v>
      </c>
      <c r="P135" s="25">
        <v>53216</v>
      </c>
      <c r="Q135" s="17">
        <f t="shared" si="33"/>
        <v>6652</v>
      </c>
      <c r="R135" s="30">
        <f t="shared" ref="R135:R166" si="35">P135+Q135</f>
        <v>59868</v>
      </c>
      <c r="S135" s="30">
        <f t="shared" ref="S135:S166" si="36">IF(N135&gt;0,0,O135-R135)</f>
        <v>19999</v>
      </c>
      <c r="T135" s="177"/>
      <c r="U135" s="235">
        <f t="shared" si="30"/>
        <v>1663</v>
      </c>
      <c r="V135" s="234">
        <f t="shared" si="30"/>
        <v>1663</v>
      </c>
      <c r="W135" s="234">
        <f t="shared" si="30"/>
        <v>1663</v>
      </c>
      <c r="X135" s="234">
        <f t="shared" si="30"/>
        <v>1663</v>
      </c>
      <c r="Y135" s="234"/>
      <c r="Z135" s="234"/>
      <c r="AA135" s="234"/>
      <c r="AB135" s="234"/>
      <c r="AC135" s="234"/>
      <c r="AD135" s="234"/>
      <c r="AE135" s="234"/>
      <c r="AF135" s="236"/>
      <c r="AI135" s="19"/>
      <c r="AJ135" s="14"/>
      <c r="AK135" s="6"/>
      <c r="AL135" s="20"/>
      <c r="AM135" s="5"/>
    </row>
    <row r="136" spans="2:39" x14ac:dyDescent="0.3">
      <c r="B136" s="13">
        <f t="shared" si="28"/>
        <v>130</v>
      </c>
      <c r="C136" s="47" t="s">
        <v>166</v>
      </c>
      <c r="D136" s="70">
        <v>45071</v>
      </c>
      <c r="E136" s="47"/>
      <c r="F136" s="9"/>
      <c r="G136" s="172" t="s">
        <v>250</v>
      </c>
      <c r="H136" s="170" t="s">
        <v>251</v>
      </c>
      <c r="I136" s="130" t="s">
        <v>172</v>
      </c>
      <c r="J136" s="6"/>
      <c r="K136" s="25">
        <v>79867</v>
      </c>
      <c r="L136" s="7"/>
      <c r="M136" s="7"/>
      <c r="N136" s="166">
        <f t="shared" si="34"/>
        <v>0</v>
      </c>
      <c r="O136" s="177">
        <f t="shared" si="29"/>
        <v>79867</v>
      </c>
      <c r="P136" s="25">
        <v>53216</v>
      </c>
      <c r="Q136" s="17">
        <f t="shared" si="33"/>
        <v>6652</v>
      </c>
      <c r="R136" s="30">
        <f t="shared" si="35"/>
        <v>59868</v>
      </c>
      <c r="S136" s="30">
        <f t="shared" si="36"/>
        <v>19999</v>
      </c>
      <c r="T136" s="177"/>
      <c r="U136" s="235">
        <f t="shared" si="30"/>
        <v>1663</v>
      </c>
      <c r="V136" s="234">
        <f t="shared" si="30"/>
        <v>1663</v>
      </c>
      <c r="W136" s="234">
        <f t="shared" si="30"/>
        <v>1663</v>
      </c>
      <c r="X136" s="234">
        <f t="shared" si="30"/>
        <v>1663</v>
      </c>
      <c r="Y136" s="234"/>
      <c r="Z136" s="234"/>
      <c r="AA136" s="234"/>
      <c r="AB136" s="234"/>
      <c r="AC136" s="234"/>
      <c r="AD136" s="234"/>
      <c r="AE136" s="234"/>
      <c r="AF136" s="236"/>
      <c r="AI136" s="19"/>
      <c r="AJ136" s="14"/>
      <c r="AK136" s="6"/>
      <c r="AL136" s="20"/>
      <c r="AM136" s="5"/>
    </row>
    <row r="137" spans="2:39" x14ac:dyDescent="0.3">
      <c r="B137" s="13">
        <f t="shared" ref="B137:B167" si="37">B136+1</f>
        <v>131</v>
      </c>
      <c r="C137" s="47" t="s">
        <v>166</v>
      </c>
      <c r="D137" s="70">
        <v>45071</v>
      </c>
      <c r="E137" s="47"/>
      <c r="F137" s="9"/>
      <c r="G137" s="172" t="s">
        <v>250</v>
      </c>
      <c r="H137" s="170" t="s">
        <v>251</v>
      </c>
      <c r="I137" s="130" t="s">
        <v>172</v>
      </c>
      <c r="J137" s="6"/>
      <c r="K137" s="25">
        <v>79867</v>
      </c>
      <c r="L137" s="7"/>
      <c r="M137" s="7"/>
      <c r="N137" s="166">
        <f t="shared" si="34"/>
        <v>0</v>
      </c>
      <c r="O137" s="177">
        <f t="shared" si="29"/>
        <v>79867</v>
      </c>
      <c r="P137" s="25">
        <v>53216</v>
      </c>
      <c r="Q137" s="17">
        <f t="shared" si="33"/>
        <v>6652</v>
      </c>
      <c r="R137" s="30">
        <f t="shared" si="35"/>
        <v>59868</v>
      </c>
      <c r="S137" s="30">
        <f t="shared" si="36"/>
        <v>19999</v>
      </c>
      <c r="T137" s="177"/>
      <c r="U137" s="235">
        <f t="shared" si="30"/>
        <v>1663</v>
      </c>
      <c r="V137" s="234">
        <f t="shared" si="30"/>
        <v>1663</v>
      </c>
      <c r="W137" s="234">
        <f t="shared" si="30"/>
        <v>1663</v>
      </c>
      <c r="X137" s="234">
        <f t="shared" si="30"/>
        <v>1663</v>
      </c>
      <c r="Y137" s="234"/>
      <c r="Z137" s="234"/>
      <c r="AA137" s="234"/>
      <c r="AB137" s="234"/>
      <c r="AC137" s="234"/>
      <c r="AD137" s="234"/>
      <c r="AE137" s="234"/>
      <c r="AF137" s="236"/>
      <c r="AI137" s="19"/>
      <c r="AJ137" s="14"/>
      <c r="AK137" s="6"/>
      <c r="AL137" s="20"/>
      <c r="AM137" s="5"/>
    </row>
    <row r="138" spans="2:39" x14ac:dyDescent="0.3">
      <c r="B138" s="13">
        <f t="shared" si="37"/>
        <v>132</v>
      </c>
      <c r="C138" s="47" t="s">
        <v>166</v>
      </c>
      <c r="D138" s="70">
        <v>45071</v>
      </c>
      <c r="E138" s="47"/>
      <c r="F138" s="9"/>
      <c r="G138" s="172" t="s">
        <v>250</v>
      </c>
      <c r="H138" s="170" t="s">
        <v>251</v>
      </c>
      <c r="I138" s="130" t="s">
        <v>172</v>
      </c>
      <c r="J138" s="6"/>
      <c r="K138" s="25">
        <v>79867</v>
      </c>
      <c r="L138" s="7"/>
      <c r="M138" s="7"/>
      <c r="N138" s="166">
        <f t="shared" si="34"/>
        <v>0</v>
      </c>
      <c r="O138" s="177">
        <f t="shared" si="29"/>
        <v>79867</v>
      </c>
      <c r="P138" s="25">
        <v>53216</v>
      </c>
      <c r="Q138" s="17">
        <f t="shared" si="33"/>
        <v>6652</v>
      </c>
      <c r="R138" s="30">
        <f t="shared" si="35"/>
        <v>59868</v>
      </c>
      <c r="S138" s="30">
        <f t="shared" si="36"/>
        <v>19999</v>
      </c>
      <c r="T138" s="177"/>
      <c r="U138" s="235">
        <f t="shared" si="30"/>
        <v>1663</v>
      </c>
      <c r="V138" s="234">
        <f t="shared" si="30"/>
        <v>1663</v>
      </c>
      <c r="W138" s="234">
        <f t="shared" si="30"/>
        <v>1663</v>
      </c>
      <c r="X138" s="234">
        <f t="shared" si="30"/>
        <v>1663</v>
      </c>
      <c r="Y138" s="234"/>
      <c r="Z138" s="234"/>
      <c r="AA138" s="234"/>
      <c r="AB138" s="234"/>
      <c r="AC138" s="234"/>
      <c r="AD138" s="234"/>
      <c r="AE138" s="234"/>
      <c r="AF138" s="236"/>
      <c r="AI138" s="19"/>
      <c r="AJ138" s="14"/>
      <c r="AK138" s="6"/>
      <c r="AL138" s="20"/>
      <c r="AM138" s="5"/>
    </row>
    <row r="139" spans="2:39" x14ac:dyDescent="0.3">
      <c r="B139" s="13">
        <f t="shared" si="37"/>
        <v>133</v>
      </c>
      <c r="C139" s="47" t="s">
        <v>166</v>
      </c>
      <c r="D139" s="70">
        <v>45071</v>
      </c>
      <c r="E139" s="47"/>
      <c r="F139" s="9"/>
      <c r="G139" s="172" t="s">
        <v>250</v>
      </c>
      <c r="H139" s="170" t="s">
        <v>251</v>
      </c>
      <c r="I139" s="130" t="s">
        <v>172</v>
      </c>
      <c r="J139" s="6"/>
      <c r="K139" s="25">
        <v>79867</v>
      </c>
      <c r="L139" s="7"/>
      <c r="M139" s="7"/>
      <c r="N139" s="166">
        <f t="shared" si="34"/>
        <v>0</v>
      </c>
      <c r="O139" s="177">
        <f t="shared" si="29"/>
        <v>79867</v>
      </c>
      <c r="P139" s="25">
        <v>53216</v>
      </c>
      <c r="Q139" s="17">
        <f t="shared" si="33"/>
        <v>6652</v>
      </c>
      <c r="R139" s="30">
        <f t="shared" si="35"/>
        <v>59868</v>
      </c>
      <c r="S139" s="30">
        <f t="shared" si="36"/>
        <v>19999</v>
      </c>
      <c r="T139" s="177"/>
      <c r="U139" s="235">
        <f t="shared" si="30"/>
        <v>1663</v>
      </c>
      <c r="V139" s="234">
        <f t="shared" si="30"/>
        <v>1663</v>
      </c>
      <c r="W139" s="234">
        <f t="shared" si="30"/>
        <v>1663</v>
      </c>
      <c r="X139" s="234">
        <f t="shared" si="30"/>
        <v>1663</v>
      </c>
      <c r="Y139" s="234"/>
      <c r="Z139" s="234"/>
      <c r="AA139" s="234"/>
      <c r="AB139" s="234"/>
      <c r="AC139" s="234"/>
      <c r="AD139" s="234"/>
      <c r="AE139" s="234"/>
      <c r="AF139" s="236"/>
      <c r="AI139" s="19"/>
      <c r="AJ139" s="14"/>
      <c r="AK139" s="6"/>
      <c r="AL139" s="20"/>
      <c r="AM139" s="5"/>
    </row>
    <row r="140" spans="2:39" x14ac:dyDescent="0.3">
      <c r="B140" s="13">
        <f t="shared" si="37"/>
        <v>134</v>
      </c>
      <c r="C140" s="47" t="s">
        <v>166</v>
      </c>
      <c r="D140" s="70">
        <v>45071</v>
      </c>
      <c r="E140" s="47"/>
      <c r="F140" s="9"/>
      <c r="G140" s="172" t="s">
        <v>250</v>
      </c>
      <c r="H140" s="170" t="s">
        <v>251</v>
      </c>
      <c r="I140" s="130" t="s">
        <v>172</v>
      </c>
      <c r="J140" s="6"/>
      <c r="K140" s="25">
        <v>79867</v>
      </c>
      <c r="L140" s="7"/>
      <c r="M140" s="7"/>
      <c r="N140" s="166">
        <f t="shared" si="34"/>
        <v>0</v>
      </c>
      <c r="O140" s="177">
        <f t="shared" si="29"/>
        <v>79867</v>
      </c>
      <c r="P140" s="25">
        <v>53216</v>
      </c>
      <c r="Q140" s="17">
        <f t="shared" si="33"/>
        <v>6652</v>
      </c>
      <c r="R140" s="30">
        <f t="shared" si="35"/>
        <v>59868</v>
      </c>
      <c r="S140" s="30">
        <f t="shared" si="36"/>
        <v>19999</v>
      </c>
      <c r="T140" s="177"/>
      <c r="U140" s="235">
        <f t="shared" si="30"/>
        <v>1663</v>
      </c>
      <c r="V140" s="234">
        <f t="shared" si="30"/>
        <v>1663</v>
      </c>
      <c r="W140" s="234">
        <f t="shared" si="30"/>
        <v>1663</v>
      </c>
      <c r="X140" s="234">
        <f t="shared" si="30"/>
        <v>1663</v>
      </c>
      <c r="Y140" s="234"/>
      <c r="Z140" s="234"/>
      <c r="AA140" s="234"/>
      <c r="AB140" s="234"/>
      <c r="AC140" s="234"/>
      <c r="AD140" s="234"/>
      <c r="AE140" s="234"/>
      <c r="AF140" s="236"/>
      <c r="AI140" s="19"/>
      <c r="AJ140" s="14"/>
      <c r="AK140" s="6"/>
      <c r="AL140" s="20"/>
      <c r="AM140" s="5"/>
    </row>
    <row r="141" spans="2:39" x14ac:dyDescent="0.3">
      <c r="B141" s="13">
        <f t="shared" si="37"/>
        <v>135</v>
      </c>
      <c r="C141" s="47" t="s">
        <v>166</v>
      </c>
      <c r="D141" s="70">
        <v>45071</v>
      </c>
      <c r="E141" s="47"/>
      <c r="F141" s="9"/>
      <c r="G141" s="172" t="s">
        <v>250</v>
      </c>
      <c r="H141" s="170" t="s">
        <v>251</v>
      </c>
      <c r="I141" s="130" t="s">
        <v>172</v>
      </c>
      <c r="J141" s="6"/>
      <c r="K141" s="25">
        <v>79867</v>
      </c>
      <c r="L141" s="7"/>
      <c r="M141" s="7"/>
      <c r="N141" s="166">
        <f t="shared" si="34"/>
        <v>0</v>
      </c>
      <c r="O141" s="177">
        <f t="shared" si="29"/>
        <v>79867</v>
      </c>
      <c r="P141" s="25">
        <v>53216</v>
      </c>
      <c r="Q141" s="17">
        <f t="shared" si="33"/>
        <v>6652</v>
      </c>
      <c r="R141" s="30">
        <f t="shared" si="35"/>
        <v>59868</v>
      </c>
      <c r="S141" s="30">
        <f t="shared" si="36"/>
        <v>19999</v>
      </c>
      <c r="T141" s="177"/>
      <c r="U141" s="235">
        <f t="shared" si="30"/>
        <v>1663</v>
      </c>
      <c r="V141" s="234">
        <f t="shared" si="30"/>
        <v>1663</v>
      </c>
      <c r="W141" s="234">
        <f t="shared" si="30"/>
        <v>1663</v>
      </c>
      <c r="X141" s="234">
        <f t="shared" si="30"/>
        <v>1663</v>
      </c>
      <c r="Y141" s="234"/>
      <c r="Z141" s="234"/>
      <c r="AA141" s="234"/>
      <c r="AB141" s="234"/>
      <c r="AC141" s="234"/>
      <c r="AD141" s="234"/>
      <c r="AE141" s="234"/>
      <c r="AF141" s="236"/>
      <c r="AI141" s="19"/>
      <c r="AJ141" s="14"/>
      <c r="AK141" s="6"/>
      <c r="AL141" s="20"/>
      <c r="AM141" s="5"/>
    </row>
    <row r="142" spans="2:39" x14ac:dyDescent="0.3">
      <c r="B142" s="13">
        <f t="shared" si="37"/>
        <v>136</v>
      </c>
      <c r="C142" s="47" t="s">
        <v>166</v>
      </c>
      <c r="D142" s="70">
        <v>45071</v>
      </c>
      <c r="E142" s="47"/>
      <c r="F142" s="9"/>
      <c r="G142" s="172" t="s">
        <v>250</v>
      </c>
      <c r="H142" s="170" t="s">
        <v>251</v>
      </c>
      <c r="I142" s="130" t="s">
        <v>172</v>
      </c>
      <c r="J142" s="6"/>
      <c r="K142" s="25">
        <v>79867</v>
      </c>
      <c r="L142" s="7"/>
      <c r="M142" s="7"/>
      <c r="N142" s="166">
        <f t="shared" si="34"/>
        <v>0</v>
      </c>
      <c r="O142" s="177">
        <f t="shared" si="29"/>
        <v>79867</v>
      </c>
      <c r="P142" s="25">
        <v>53216</v>
      </c>
      <c r="Q142" s="17">
        <f t="shared" si="33"/>
        <v>6652</v>
      </c>
      <c r="R142" s="30">
        <f t="shared" si="35"/>
        <v>59868</v>
      </c>
      <c r="S142" s="30">
        <f t="shared" si="36"/>
        <v>19999</v>
      </c>
      <c r="T142" s="177"/>
      <c r="U142" s="235">
        <f t="shared" si="30"/>
        <v>1663</v>
      </c>
      <c r="V142" s="234">
        <f t="shared" si="30"/>
        <v>1663</v>
      </c>
      <c r="W142" s="234">
        <f t="shared" si="30"/>
        <v>1663</v>
      </c>
      <c r="X142" s="234">
        <f t="shared" si="30"/>
        <v>1663</v>
      </c>
      <c r="Y142" s="234"/>
      <c r="Z142" s="234"/>
      <c r="AA142" s="234"/>
      <c r="AB142" s="234"/>
      <c r="AC142" s="234"/>
      <c r="AD142" s="234"/>
      <c r="AE142" s="234"/>
      <c r="AF142" s="236"/>
      <c r="AI142" s="19"/>
      <c r="AJ142" s="14"/>
      <c r="AK142" s="6"/>
      <c r="AL142" s="20"/>
      <c r="AM142" s="5"/>
    </row>
    <row r="143" spans="2:39" x14ac:dyDescent="0.3">
      <c r="B143" s="13">
        <f t="shared" si="37"/>
        <v>137</v>
      </c>
      <c r="C143" s="47" t="s">
        <v>166</v>
      </c>
      <c r="D143" s="70">
        <v>45071</v>
      </c>
      <c r="E143" s="47"/>
      <c r="F143" s="9"/>
      <c r="G143" s="172" t="s">
        <v>250</v>
      </c>
      <c r="H143" s="170" t="s">
        <v>251</v>
      </c>
      <c r="I143" s="130" t="s">
        <v>172</v>
      </c>
      <c r="J143" s="6"/>
      <c r="K143" s="25">
        <v>79867</v>
      </c>
      <c r="L143" s="7"/>
      <c r="M143" s="7"/>
      <c r="N143" s="166">
        <f t="shared" si="34"/>
        <v>0</v>
      </c>
      <c r="O143" s="177">
        <f t="shared" ref="O143:O168" si="38">K143+L143-M143-N143</f>
        <v>79867</v>
      </c>
      <c r="P143" s="25">
        <v>53216</v>
      </c>
      <c r="Q143" s="17">
        <f t="shared" si="33"/>
        <v>6652</v>
      </c>
      <c r="R143" s="30">
        <f t="shared" si="35"/>
        <v>59868</v>
      </c>
      <c r="S143" s="30">
        <f t="shared" si="36"/>
        <v>19999</v>
      </c>
      <c r="T143" s="177"/>
      <c r="U143" s="235">
        <f t="shared" si="30"/>
        <v>1663</v>
      </c>
      <c r="V143" s="234">
        <f t="shared" si="30"/>
        <v>1663</v>
      </c>
      <c r="W143" s="234">
        <f t="shared" si="30"/>
        <v>1663</v>
      </c>
      <c r="X143" s="234">
        <f t="shared" si="30"/>
        <v>1663</v>
      </c>
      <c r="Y143" s="234"/>
      <c r="Z143" s="234"/>
      <c r="AA143" s="234"/>
      <c r="AB143" s="234"/>
      <c r="AC143" s="234"/>
      <c r="AD143" s="234"/>
      <c r="AE143" s="234"/>
      <c r="AF143" s="236"/>
      <c r="AI143" s="19"/>
      <c r="AJ143" s="14"/>
      <c r="AK143" s="6"/>
      <c r="AL143" s="20"/>
      <c r="AM143" s="5"/>
    </row>
    <row r="144" spans="2:39" x14ac:dyDescent="0.3">
      <c r="B144" s="13">
        <f t="shared" si="37"/>
        <v>138</v>
      </c>
      <c r="C144" s="47" t="s">
        <v>166</v>
      </c>
      <c r="D144" s="70">
        <v>45071</v>
      </c>
      <c r="E144" s="47"/>
      <c r="F144" s="9"/>
      <c r="G144" s="172" t="s">
        <v>250</v>
      </c>
      <c r="H144" s="170" t="s">
        <v>251</v>
      </c>
      <c r="I144" s="130" t="s">
        <v>172</v>
      </c>
      <c r="J144" s="6"/>
      <c r="K144" s="25">
        <v>79867</v>
      </c>
      <c r="L144" s="7"/>
      <c r="M144" s="7"/>
      <c r="N144" s="166">
        <f t="shared" si="34"/>
        <v>0</v>
      </c>
      <c r="O144" s="177">
        <f t="shared" si="38"/>
        <v>79867</v>
      </c>
      <c r="P144" s="25">
        <v>53216</v>
      </c>
      <c r="Q144" s="17">
        <f t="shared" si="33"/>
        <v>6652</v>
      </c>
      <c r="R144" s="30">
        <f t="shared" si="35"/>
        <v>59868</v>
      </c>
      <c r="S144" s="30">
        <f t="shared" si="36"/>
        <v>19999</v>
      </c>
      <c r="T144" s="177"/>
      <c r="U144" s="235">
        <f t="shared" si="30"/>
        <v>1663</v>
      </c>
      <c r="V144" s="234">
        <f t="shared" si="30"/>
        <v>1663</v>
      </c>
      <c r="W144" s="234">
        <f t="shared" si="30"/>
        <v>1663</v>
      </c>
      <c r="X144" s="234">
        <f t="shared" si="30"/>
        <v>1663</v>
      </c>
      <c r="Y144" s="234"/>
      <c r="Z144" s="234"/>
      <c r="AA144" s="234"/>
      <c r="AB144" s="234"/>
      <c r="AC144" s="234"/>
      <c r="AD144" s="234"/>
      <c r="AE144" s="234"/>
      <c r="AF144" s="236"/>
      <c r="AI144" s="19"/>
      <c r="AJ144" s="14"/>
      <c r="AK144" s="6"/>
      <c r="AL144" s="20"/>
      <c r="AM144" s="5"/>
    </row>
    <row r="145" spans="2:39" x14ac:dyDescent="0.3">
      <c r="B145" s="13">
        <f t="shared" si="37"/>
        <v>139</v>
      </c>
      <c r="C145" s="47" t="s">
        <v>166</v>
      </c>
      <c r="D145" s="70">
        <v>45071</v>
      </c>
      <c r="E145" s="47"/>
      <c r="F145" s="9"/>
      <c r="G145" s="172" t="s">
        <v>250</v>
      </c>
      <c r="H145" s="170" t="s">
        <v>251</v>
      </c>
      <c r="I145" s="130" t="s">
        <v>172</v>
      </c>
      <c r="J145" s="6"/>
      <c r="K145" s="25">
        <v>79867</v>
      </c>
      <c r="L145" s="7"/>
      <c r="M145" s="7"/>
      <c r="N145" s="166">
        <f t="shared" si="34"/>
        <v>0</v>
      </c>
      <c r="O145" s="177">
        <f t="shared" si="38"/>
        <v>79867</v>
      </c>
      <c r="P145" s="25">
        <v>53216</v>
      </c>
      <c r="Q145" s="17">
        <f t="shared" si="33"/>
        <v>6652</v>
      </c>
      <c r="R145" s="30">
        <f t="shared" si="35"/>
        <v>59868</v>
      </c>
      <c r="S145" s="30">
        <f t="shared" si="36"/>
        <v>19999</v>
      </c>
      <c r="T145" s="177"/>
      <c r="U145" s="235">
        <f t="shared" ref="U145:X168" si="39">INT($O145/$E$4)</f>
        <v>1663</v>
      </c>
      <c r="V145" s="234">
        <f t="shared" si="39"/>
        <v>1663</v>
      </c>
      <c r="W145" s="234">
        <f t="shared" si="39"/>
        <v>1663</v>
      </c>
      <c r="X145" s="234">
        <f t="shared" si="39"/>
        <v>1663</v>
      </c>
      <c r="Y145" s="234"/>
      <c r="Z145" s="234"/>
      <c r="AA145" s="234"/>
      <c r="AB145" s="234"/>
      <c r="AC145" s="234"/>
      <c r="AD145" s="234"/>
      <c r="AE145" s="234"/>
      <c r="AF145" s="236"/>
      <c r="AI145" s="19"/>
      <c r="AJ145" s="14"/>
      <c r="AK145" s="6"/>
      <c r="AL145" s="20"/>
      <c r="AM145" s="5"/>
    </row>
    <row r="146" spans="2:39" x14ac:dyDescent="0.3">
      <c r="B146" s="13">
        <f t="shared" si="37"/>
        <v>140</v>
      </c>
      <c r="C146" s="47" t="s">
        <v>166</v>
      </c>
      <c r="D146" s="70">
        <v>45071</v>
      </c>
      <c r="E146" s="47"/>
      <c r="F146" s="9"/>
      <c r="G146" s="172" t="s">
        <v>250</v>
      </c>
      <c r="H146" s="170" t="s">
        <v>251</v>
      </c>
      <c r="I146" s="130" t="s">
        <v>172</v>
      </c>
      <c r="J146" s="6"/>
      <c r="K146" s="25">
        <v>79867</v>
      </c>
      <c r="L146" s="7"/>
      <c r="M146" s="7"/>
      <c r="N146" s="166">
        <f t="shared" si="34"/>
        <v>0</v>
      </c>
      <c r="O146" s="177">
        <f t="shared" si="38"/>
        <v>79867</v>
      </c>
      <c r="P146" s="25">
        <v>53216</v>
      </c>
      <c r="Q146" s="17">
        <f t="shared" si="33"/>
        <v>6652</v>
      </c>
      <c r="R146" s="30">
        <f t="shared" si="35"/>
        <v>59868</v>
      </c>
      <c r="S146" s="30">
        <f t="shared" si="36"/>
        <v>19999</v>
      </c>
      <c r="T146" s="177"/>
      <c r="U146" s="235">
        <f t="shared" si="39"/>
        <v>1663</v>
      </c>
      <c r="V146" s="234">
        <f t="shared" si="39"/>
        <v>1663</v>
      </c>
      <c r="W146" s="234">
        <f t="shared" si="39"/>
        <v>1663</v>
      </c>
      <c r="X146" s="234">
        <f t="shared" si="39"/>
        <v>1663</v>
      </c>
      <c r="Y146" s="234"/>
      <c r="Z146" s="234"/>
      <c r="AA146" s="234"/>
      <c r="AB146" s="234"/>
      <c r="AC146" s="234"/>
      <c r="AD146" s="234"/>
      <c r="AE146" s="234"/>
      <c r="AF146" s="236"/>
      <c r="AI146" s="19"/>
      <c r="AJ146" s="14"/>
      <c r="AK146" s="6"/>
      <c r="AL146" s="20"/>
      <c r="AM146" s="5"/>
    </row>
    <row r="147" spans="2:39" x14ac:dyDescent="0.3">
      <c r="B147" s="13">
        <f t="shared" si="37"/>
        <v>141</v>
      </c>
      <c r="C147" s="47" t="s">
        <v>166</v>
      </c>
      <c r="D147" s="70">
        <v>45071</v>
      </c>
      <c r="E147" s="47"/>
      <c r="F147" s="9"/>
      <c r="G147" s="172" t="s">
        <v>250</v>
      </c>
      <c r="H147" s="170" t="s">
        <v>251</v>
      </c>
      <c r="I147" s="130" t="s">
        <v>172</v>
      </c>
      <c r="J147" s="6"/>
      <c r="K147" s="25">
        <v>79867</v>
      </c>
      <c r="L147" s="7"/>
      <c r="M147" s="7"/>
      <c r="N147" s="166">
        <f t="shared" si="34"/>
        <v>0</v>
      </c>
      <c r="O147" s="177">
        <f t="shared" si="38"/>
        <v>79867</v>
      </c>
      <c r="P147" s="25">
        <v>53216</v>
      </c>
      <c r="Q147" s="17">
        <f t="shared" si="33"/>
        <v>6652</v>
      </c>
      <c r="R147" s="30">
        <f t="shared" si="35"/>
        <v>59868</v>
      </c>
      <c r="S147" s="30">
        <f t="shared" si="36"/>
        <v>19999</v>
      </c>
      <c r="T147" s="177"/>
      <c r="U147" s="235">
        <f t="shared" si="39"/>
        <v>1663</v>
      </c>
      <c r="V147" s="234">
        <f t="shared" si="39"/>
        <v>1663</v>
      </c>
      <c r="W147" s="234">
        <f t="shared" si="39"/>
        <v>1663</v>
      </c>
      <c r="X147" s="234">
        <f t="shared" si="39"/>
        <v>1663</v>
      </c>
      <c r="Y147" s="234"/>
      <c r="Z147" s="234"/>
      <c r="AA147" s="234"/>
      <c r="AB147" s="234"/>
      <c r="AC147" s="234"/>
      <c r="AD147" s="234"/>
      <c r="AE147" s="234"/>
      <c r="AF147" s="236"/>
      <c r="AI147" s="19"/>
      <c r="AJ147" s="14"/>
      <c r="AK147" s="6"/>
      <c r="AL147" s="20"/>
      <c r="AM147" s="5"/>
    </row>
    <row r="148" spans="2:39" x14ac:dyDescent="0.3">
      <c r="B148" s="13">
        <f t="shared" si="37"/>
        <v>142</v>
      </c>
      <c r="C148" s="47" t="s">
        <v>166</v>
      </c>
      <c r="D148" s="70">
        <v>45071</v>
      </c>
      <c r="E148" s="47"/>
      <c r="F148" s="9"/>
      <c r="G148" s="172" t="s">
        <v>250</v>
      </c>
      <c r="H148" s="170" t="s">
        <v>251</v>
      </c>
      <c r="I148" s="130" t="s">
        <v>172</v>
      </c>
      <c r="J148" s="6"/>
      <c r="K148" s="25">
        <v>73478</v>
      </c>
      <c r="L148" s="7"/>
      <c r="M148" s="7"/>
      <c r="N148" s="166">
        <f t="shared" si="34"/>
        <v>0</v>
      </c>
      <c r="O148" s="177">
        <f t="shared" si="38"/>
        <v>73478</v>
      </c>
      <c r="P148" s="25">
        <v>48960</v>
      </c>
      <c r="Q148" s="17">
        <f t="shared" si="33"/>
        <v>6120</v>
      </c>
      <c r="R148" s="30">
        <f t="shared" si="35"/>
        <v>55080</v>
      </c>
      <c r="S148" s="30">
        <f t="shared" si="36"/>
        <v>18398</v>
      </c>
      <c r="T148" s="177"/>
      <c r="U148" s="235">
        <f t="shared" si="39"/>
        <v>1530</v>
      </c>
      <c r="V148" s="234">
        <f t="shared" si="39"/>
        <v>1530</v>
      </c>
      <c r="W148" s="234">
        <f t="shared" si="39"/>
        <v>1530</v>
      </c>
      <c r="X148" s="234">
        <f t="shared" si="39"/>
        <v>1530</v>
      </c>
      <c r="Y148" s="234"/>
      <c r="Z148" s="234"/>
      <c r="AA148" s="234"/>
      <c r="AB148" s="234"/>
      <c r="AC148" s="234"/>
      <c r="AD148" s="234"/>
      <c r="AE148" s="234"/>
      <c r="AF148" s="236"/>
      <c r="AI148" s="19"/>
      <c r="AJ148" s="14"/>
      <c r="AK148" s="6"/>
      <c r="AL148" s="20"/>
      <c r="AM148" s="5"/>
    </row>
    <row r="149" spans="2:39" x14ac:dyDescent="0.3">
      <c r="B149" s="13">
        <f t="shared" si="37"/>
        <v>143</v>
      </c>
      <c r="C149" s="47" t="s">
        <v>166</v>
      </c>
      <c r="D149" s="70">
        <v>45071</v>
      </c>
      <c r="E149" s="47"/>
      <c r="F149" s="9"/>
      <c r="G149" s="172" t="s">
        <v>250</v>
      </c>
      <c r="H149" s="170" t="s">
        <v>251</v>
      </c>
      <c r="I149" s="130" t="s">
        <v>172</v>
      </c>
      <c r="J149" s="6"/>
      <c r="K149" s="25">
        <v>73478</v>
      </c>
      <c r="L149" s="7"/>
      <c r="M149" s="7"/>
      <c r="N149" s="166">
        <f t="shared" si="34"/>
        <v>0</v>
      </c>
      <c r="O149" s="177">
        <f t="shared" si="38"/>
        <v>73478</v>
      </c>
      <c r="P149" s="25">
        <v>48960</v>
      </c>
      <c r="Q149" s="17">
        <f t="shared" si="33"/>
        <v>6120</v>
      </c>
      <c r="R149" s="30">
        <f t="shared" si="35"/>
        <v>55080</v>
      </c>
      <c r="S149" s="30">
        <f t="shared" si="36"/>
        <v>18398</v>
      </c>
      <c r="T149" s="177"/>
      <c r="U149" s="235">
        <f t="shared" si="39"/>
        <v>1530</v>
      </c>
      <c r="V149" s="234">
        <f t="shared" si="39"/>
        <v>1530</v>
      </c>
      <c r="W149" s="234">
        <f t="shared" si="39"/>
        <v>1530</v>
      </c>
      <c r="X149" s="234">
        <f t="shared" si="39"/>
        <v>1530</v>
      </c>
      <c r="Y149" s="234"/>
      <c r="Z149" s="234"/>
      <c r="AA149" s="234"/>
      <c r="AB149" s="234"/>
      <c r="AC149" s="234"/>
      <c r="AD149" s="234"/>
      <c r="AE149" s="234"/>
      <c r="AF149" s="236"/>
      <c r="AI149" s="19"/>
      <c r="AJ149" s="14"/>
      <c r="AK149" s="6"/>
      <c r="AL149" s="20"/>
      <c r="AM149" s="5"/>
    </row>
    <row r="150" spans="2:39" x14ac:dyDescent="0.3">
      <c r="B150" s="13">
        <f t="shared" si="37"/>
        <v>144</v>
      </c>
      <c r="C150" s="47" t="s">
        <v>166</v>
      </c>
      <c r="D150" s="70">
        <v>45071</v>
      </c>
      <c r="E150" s="47"/>
      <c r="F150" s="9"/>
      <c r="G150" s="172" t="s">
        <v>250</v>
      </c>
      <c r="H150" s="170" t="s">
        <v>251</v>
      </c>
      <c r="I150" s="130" t="s">
        <v>173</v>
      </c>
      <c r="J150" s="6"/>
      <c r="K150" s="25">
        <v>10649</v>
      </c>
      <c r="L150" s="7"/>
      <c r="M150" s="7"/>
      <c r="N150" s="166">
        <f t="shared" si="34"/>
        <v>0</v>
      </c>
      <c r="O150" s="177">
        <f t="shared" si="38"/>
        <v>10649</v>
      </c>
      <c r="P150" s="25">
        <v>7072</v>
      </c>
      <c r="Q150" s="17">
        <f t="shared" si="33"/>
        <v>884</v>
      </c>
      <c r="R150" s="30">
        <f t="shared" si="35"/>
        <v>7956</v>
      </c>
      <c r="S150" s="30">
        <f t="shared" si="36"/>
        <v>2693</v>
      </c>
      <c r="T150" s="177"/>
      <c r="U150" s="235">
        <f t="shared" si="39"/>
        <v>221</v>
      </c>
      <c r="V150" s="234">
        <f t="shared" si="39"/>
        <v>221</v>
      </c>
      <c r="W150" s="234">
        <f t="shared" si="39"/>
        <v>221</v>
      </c>
      <c r="X150" s="234">
        <f t="shared" si="39"/>
        <v>221</v>
      </c>
      <c r="Y150" s="234"/>
      <c r="Z150" s="234"/>
      <c r="AA150" s="234"/>
      <c r="AB150" s="234"/>
      <c r="AC150" s="234"/>
      <c r="AD150" s="234"/>
      <c r="AE150" s="234"/>
      <c r="AF150" s="236"/>
      <c r="AI150" s="19"/>
      <c r="AJ150" s="14"/>
      <c r="AK150" s="6"/>
      <c r="AL150" s="20"/>
      <c r="AM150" s="5"/>
    </row>
    <row r="151" spans="2:39" x14ac:dyDescent="0.3">
      <c r="B151" s="13">
        <f t="shared" si="37"/>
        <v>145</v>
      </c>
      <c r="C151" s="47" t="s">
        <v>166</v>
      </c>
      <c r="D151" s="70">
        <v>45071</v>
      </c>
      <c r="E151" s="47"/>
      <c r="F151" s="9"/>
      <c r="G151" s="172" t="s">
        <v>250</v>
      </c>
      <c r="H151" s="170" t="s">
        <v>251</v>
      </c>
      <c r="I151" s="130" t="s">
        <v>173</v>
      </c>
      <c r="J151" s="6"/>
      <c r="K151" s="25">
        <v>10649</v>
      </c>
      <c r="L151" s="7"/>
      <c r="M151" s="7"/>
      <c r="N151" s="166">
        <f t="shared" si="34"/>
        <v>0</v>
      </c>
      <c r="O151" s="177">
        <f t="shared" si="38"/>
        <v>10649</v>
      </c>
      <c r="P151" s="25">
        <v>7072</v>
      </c>
      <c r="Q151" s="17">
        <f t="shared" si="33"/>
        <v>884</v>
      </c>
      <c r="R151" s="30">
        <f t="shared" si="35"/>
        <v>7956</v>
      </c>
      <c r="S151" s="30">
        <f t="shared" si="36"/>
        <v>2693</v>
      </c>
      <c r="T151" s="177"/>
      <c r="U151" s="235">
        <f t="shared" si="39"/>
        <v>221</v>
      </c>
      <c r="V151" s="234">
        <f t="shared" si="39"/>
        <v>221</v>
      </c>
      <c r="W151" s="234">
        <f t="shared" si="39"/>
        <v>221</v>
      </c>
      <c r="X151" s="234">
        <f t="shared" si="39"/>
        <v>221</v>
      </c>
      <c r="Y151" s="234"/>
      <c r="Z151" s="234"/>
      <c r="AA151" s="234"/>
      <c r="AB151" s="234"/>
      <c r="AC151" s="234"/>
      <c r="AD151" s="234"/>
      <c r="AE151" s="234"/>
      <c r="AF151" s="236"/>
      <c r="AI151" s="19"/>
      <c r="AJ151" s="14"/>
      <c r="AK151" s="6"/>
      <c r="AL151" s="20"/>
      <c r="AM151" s="5"/>
    </row>
    <row r="152" spans="2:39" x14ac:dyDescent="0.3">
      <c r="B152" s="13">
        <f t="shared" si="37"/>
        <v>146</v>
      </c>
      <c r="C152" s="47" t="s">
        <v>166</v>
      </c>
      <c r="D152" s="70">
        <v>45071</v>
      </c>
      <c r="E152" s="47"/>
      <c r="F152" s="9"/>
      <c r="G152" s="172" t="s">
        <v>250</v>
      </c>
      <c r="H152" s="170" t="s">
        <v>251</v>
      </c>
      <c r="I152" s="130" t="s">
        <v>173</v>
      </c>
      <c r="J152" s="6"/>
      <c r="K152" s="25">
        <v>10649</v>
      </c>
      <c r="L152" s="7"/>
      <c r="M152" s="7"/>
      <c r="N152" s="166">
        <f t="shared" si="34"/>
        <v>0</v>
      </c>
      <c r="O152" s="177">
        <f t="shared" si="38"/>
        <v>10649</v>
      </c>
      <c r="P152" s="25">
        <v>7072</v>
      </c>
      <c r="Q152" s="17">
        <f t="shared" si="33"/>
        <v>884</v>
      </c>
      <c r="R152" s="30">
        <f t="shared" si="35"/>
        <v>7956</v>
      </c>
      <c r="S152" s="30">
        <f t="shared" si="36"/>
        <v>2693</v>
      </c>
      <c r="T152" s="177"/>
      <c r="U152" s="235">
        <f t="shared" si="39"/>
        <v>221</v>
      </c>
      <c r="V152" s="234">
        <f t="shared" si="39"/>
        <v>221</v>
      </c>
      <c r="W152" s="234">
        <f t="shared" si="39"/>
        <v>221</v>
      </c>
      <c r="X152" s="234">
        <f t="shared" si="39"/>
        <v>221</v>
      </c>
      <c r="Y152" s="234"/>
      <c r="Z152" s="234"/>
      <c r="AA152" s="234"/>
      <c r="AB152" s="234"/>
      <c r="AC152" s="234"/>
      <c r="AD152" s="234"/>
      <c r="AE152" s="234"/>
      <c r="AF152" s="236"/>
      <c r="AI152" s="19"/>
      <c r="AJ152" s="14"/>
      <c r="AK152" s="6"/>
      <c r="AL152" s="20"/>
      <c r="AM152" s="5"/>
    </row>
    <row r="153" spans="2:39" x14ac:dyDescent="0.3">
      <c r="B153" s="13">
        <f t="shared" si="37"/>
        <v>147</v>
      </c>
      <c r="C153" s="47" t="s">
        <v>166</v>
      </c>
      <c r="D153" s="70">
        <v>45071</v>
      </c>
      <c r="E153" s="47"/>
      <c r="F153" s="9"/>
      <c r="G153" s="172" t="s">
        <v>250</v>
      </c>
      <c r="H153" s="170" t="s">
        <v>251</v>
      </c>
      <c r="I153" s="130" t="s">
        <v>173</v>
      </c>
      <c r="J153" s="6"/>
      <c r="K153" s="25">
        <v>10649</v>
      </c>
      <c r="L153" s="7"/>
      <c r="M153" s="7"/>
      <c r="N153" s="166">
        <f t="shared" si="34"/>
        <v>0</v>
      </c>
      <c r="O153" s="177">
        <f t="shared" si="38"/>
        <v>10649</v>
      </c>
      <c r="P153" s="25">
        <v>7072</v>
      </c>
      <c r="Q153" s="17">
        <f t="shared" si="33"/>
        <v>884</v>
      </c>
      <c r="R153" s="30">
        <f t="shared" si="35"/>
        <v>7956</v>
      </c>
      <c r="S153" s="30">
        <f t="shared" si="36"/>
        <v>2693</v>
      </c>
      <c r="T153" s="177"/>
      <c r="U153" s="235">
        <f t="shared" si="39"/>
        <v>221</v>
      </c>
      <c r="V153" s="234">
        <f t="shared" si="39"/>
        <v>221</v>
      </c>
      <c r="W153" s="234">
        <f t="shared" si="39"/>
        <v>221</v>
      </c>
      <c r="X153" s="234">
        <f t="shared" si="39"/>
        <v>221</v>
      </c>
      <c r="Y153" s="234"/>
      <c r="Z153" s="234"/>
      <c r="AA153" s="234"/>
      <c r="AB153" s="234"/>
      <c r="AC153" s="234"/>
      <c r="AD153" s="234"/>
      <c r="AE153" s="234"/>
      <c r="AF153" s="236"/>
      <c r="AI153" s="19"/>
      <c r="AJ153" s="14"/>
      <c r="AK153" s="6"/>
      <c r="AL153" s="20"/>
      <c r="AM153" s="5"/>
    </row>
    <row r="154" spans="2:39" x14ac:dyDescent="0.3">
      <c r="B154" s="13">
        <f t="shared" si="37"/>
        <v>148</v>
      </c>
      <c r="C154" s="47" t="s">
        <v>166</v>
      </c>
      <c r="D154" s="70">
        <v>45071</v>
      </c>
      <c r="E154" s="47"/>
      <c r="F154" s="9"/>
      <c r="G154" s="172" t="s">
        <v>250</v>
      </c>
      <c r="H154" s="170" t="s">
        <v>251</v>
      </c>
      <c r="I154" s="130" t="s">
        <v>173</v>
      </c>
      <c r="J154" s="6"/>
      <c r="K154" s="25">
        <v>10649</v>
      </c>
      <c r="L154" s="7"/>
      <c r="M154" s="7"/>
      <c r="N154" s="166">
        <f t="shared" si="34"/>
        <v>0</v>
      </c>
      <c r="O154" s="177">
        <f t="shared" si="38"/>
        <v>10649</v>
      </c>
      <c r="P154" s="25">
        <v>7072</v>
      </c>
      <c r="Q154" s="17">
        <f t="shared" si="33"/>
        <v>884</v>
      </c>
      <c r="R154" s="30">
        <f t="shared" si="35"/>
        <v>7956</v>
      </c>
      <c r="S154" s="30">
        <f t="shared" si="36"/>
        <v>2693</v>
      </c>
      <c r="T154" s="177"/>
      <c r="U154" s="235">
        <f t="shared" si="39"/>
        <v>221</v>
      </c>
      <c r="V154" s="234">
        <f t="shared" si="39"/>
        <v>221</v>
      </c>
      <c r="W154" s="234">
        <f t="shared" si="39"/>
        <v>221</v>
      </c>
      <c r="X154" s="234">
        <f t="shared" si="39"/>
        <v>221</v>
      </c>
      <c r="Y154" s="234"/>
      <c r="Z154" s="234"/>
      <c r="AA154" s="234"/>
      <c r="AB154" s="234"/>
      <c r="AC154" s="234"/>
      <c r="AD154" s="234"/>
      <c r="AE154" s="234"/>
      <c r="AF154" s="236"/>
      <c r="AI154" s="19"/>
      <c r="AJ154" s="14"/>
      <c r="AK154" s="6"/>
      <c r="AL154" s="20"/>
      <c r="AM154" s="5"/>
    </row>
    <row r="155" spans="2:39" x14ac:dyDescent="0.3">
      <c r="B155" s="13">
        <f t="shared" si="37"/>
        <v>149</v>
      </c>
      <c r="C155" s="47" t="s">
        <v>166</v>
      </c>
      <c r="D155" s="70">
        <v>45071</v>
      </c>
      <c r="E155" s="47"/>
      <c r="F155" s="9"/>
      <c r="G155" s="172" t="s">
        <v>250</v>
      </c>
      <c r="H155" s="170" t="s">
        <v>251</v>
      </c>
      <c r="I155" s="130" t="s">
        <v>173</v>
      </c>
      <c r="J155" s="6"/>
      <c r="K155" s="25">
        <v>10649</v>
      </c>
      <c r="L155" s="7"/>
      <c r="M155" s="7"/>
      <c r="N155" s="166">
        <f t="shared" si="34"/>
        <v>0</v>
      </c>
      <c r="O155" s="177">
        <f t="shared" si="38"/>
        <v>10649</v>
      </c>
      <c r="P155" s="25">
        <v>7072</v>
      </c>
      <c r="Q155" s="17">
        <f t="shared" si="33"/>
        <v>884</v>
      </c>
      <c r="R155" s="30">
        <f t="shared" si="35"/>
        <v>7956</v>
      </c>
      <c r="S155" s="30">
        <f t="shared" si="36"/>
        <v>2693</v>
      </c>
      <c r="T155" s="177"/>
      <c r="U155" s="235">
        <f t="shared" si="39"/>
        <v>221</v>
      </c>
      <c r="V155" s="234">
        <f t="shared" si="39"/>
        <v>221</v>
      </c>
      <c r="W155" s="234">
        <f t="shared" si="39"/>
        <v>221</v>
      </c>
      <c r="X155" s="234">
        <f t="shared" si="39"/>
        <v>221</v>
      </c>
      <c r="Y155" s="234"/>
      <c r="Z155" s="234"/>
      <c r="AA155" s="234"/>
      <c r="AB155" s="234"/>
      <c r="AC155" s="234"/>
      <c r="AD155" s="234"/>
      <c r="AE155" s="234"/>
      <c r="AF155" s="236"/>
      <c r="AI155" s="19"/>
      <c r="AJ155" s="14"/>
      <c r="AK155" s="6"/>
      <c r="AL155" s="20"/>
      <c r="AM155" s="5"/>
    </row>
    <row r="156" spans="2:39" x14ac:dyDescent="0.3">
      <c r="B156" s="13">
        <f t="shared" si="37"/>
        <v>150</v>
      </c>
      <c r="C156" s="47" t="s">
        <v>166</v>
      </c>
      <c r="D156" s="70">
        <v>45071</v>
      </c>
      <c r="E156" s="47"/>
      <c r="F156" s="9"/>
      <c r="G156" s="172" t="s">
        <v>250</v>
      </c>
      <c r="H156" s="170" t="s">
        <v>251</v>
      </c>
      <c r="I156" s="130" t="s">
        <v>173</v>
      </c>
      <c r="J156" s="6"/>
      <c r="K156" s="25">
        <v>10649</v>
      </c>
      <c r="L156" s="7"/>
      <c r="M156" s="7"/>
      <c r="N156" s="166">
        <f t="shared" si="34"/>
        <v>0</v>
      </c>
      <c r="O156" s="177">
        <f t="shared" si="38"/>
        <v>10649</v>
      </c>
      <c r="P156" s="25">
        <v>7072</v>
      </c>
      <c r="Q156" s="17">
        <f t="shared" si="33"/>
        <v>884</v>
      </c>
      <c r="R156" s="30">
        <f t="shared" si="35"/>
        <v>7956</v>
      </c>
      <c r="S156" s="30">
        <f t="shared" si="36"/>
        <v>2693</v>
      </c>
      <c r="T156" s="177"/>
      <c r="U156" s="235">
        <f t="shared" si="39"/>
        <v>221</v>
      </c>
      <c r="V156" s="234">
        <f t="shared" si="39"/>
        <v>221</v>
      </c>
      <c r="W156" s="234">
        <f t="shared" si="39"/>
        <v>221</v>
      </c>
      <c r="X156" s="234">
        <f t="shared" si="39"/>
        <v>221</v>
      </c>
      <c r="Y156" s="234"/>
      <c r="Z156" s="234"/>
      <c r="AA156" s="234"/>
      <c r="AB156" s="234"/>
      <c r="AC156" s="234"/>
      <c r="AD156" s="234"/>
      <c r="AE156" s="234"/>
      <c r="AF156" s="236"/>
      <c r="AI156" s="19"/>
      <c r="AJ156" s="14"/>
      <c r="AK156" s="6"/>
      <c r="AL156" s="20"/>
      <c r="AM156" s="5"/>
    </row>
    <row r="157" spans="2:39" x14ac:dyDescent="0.3">
      <c r="B157" s="13">
        <f t="shared" si="37"/>
        <v>151</v>
      </c>
      <c r="C157" s="47" t="s">
        <v>166</v>
      </c>
      <c r="D157" s="70">
        <v>45071</v>
      </c>
      <c r="E157" s="47"/>
      <c r="F157" s="9"/>
      <c r="G157" s="172" t="s">
        <v>250</v>
      </c>
      <c r="H157" s="170" t="s">
        <v>251</v>
      </c>
      <c r="I157" s="130" t="s">
        <v>173</v>
      </c>
      <c r="J157" s="6"/>
      <c r="K157" s="25">
        <v>10649</v>
      </c>
      <c r="L157" s="7"/>
      <c r="M157" s="7"/>
      <c r="N157" s="166">
        <f t="shared" si="34"/>
        <v>0</v>
      </c>
      <c r="O157" s="177">
        <f t="shared" si="38"/>
        <v>10649</v>
      </c>
      <c r="P157" s="25">
        <v>7072</v>
      </c>
      <c r="Q157" s="17">
        <f t="shared" si="33"/>
        <v>884</v>
      </c>
      <c r="R157" s="30">
        <f t="shared" si="35"/>
        <v>7956</v>
      </c>
      <c r="S157" s="30">
        <f t="shared" si="36"/>
        <v>2693</v>
      </c>
      <c r="T157" s="177"/>
      <c r="U157" s="235">
        <f t="shared" si="39"/>
        <v>221</v>
      </c>
      <c r="V157" s="234">
        <f t="shared" si="39"/>
        <v>221</v>
      </c>
      <c r="W157" s="234">
        <f t="shared" si="39"/>
        <v>221</v>
      </c>
      <c r="X157" s="234">
        <f t="shared" si="39"/>
        <v>221</v>
      </c>
      <c r="Y157" s="234"/>
      <c r="Z157" s="234"/>
      <c r="AA157" s="234"/>
      <c r="AB157" s="234"/>
      <c r="AC157" s="234"/>
      <c r="AD157" s="234"/>
      <c r="AE157" s="234"/>
      <c r="AF157" s="236"/>
      <c r="AI157" s="19"/>
      <c r="AJ157" s="14"/>
      <c r="AK157" s="6"/>
      <c r="AL157" s="20"/>
      <c r="AM157" s="5"/>
    </row>
    <row r="158" spans="2:39" x14ac:dyDescent="0.3">
      <c r="B158" s="13">
        <f t="shared" si="37"/>
        <v>152</v>
      </c>
      <c r="C158" s="47" t="s">
        <v>166</v>
      </c>
      <c r="D158" s="70">
        <v>45071</v>
      </c>
      <c r="E158" s="47"/>
      <c r="F158" s="9"/>
      <c r="G158" s="172" t="s">
        <v>250</v>
      </c>
      <c r="H158" s="170" t="s">
        <v>251</v>
      </c>
      <c r="I158" s="130" t="s">
        <v>173</v>
      </c>
      <c r="J158" s="6"/>
      <c r="K158" s="25">
        <v>10649</v>
      </c>
      <c r="L158" s="7"/>
      <c r="M158" s="7"/>
      <c r="N158" s="166">
        <f t="shared" si="34"/>
        <v>0</v>
      </c>
      <c r="O158" s="177">
        <f t="shared" si="38"/>
        <v>10649</v>
      </c>
      <c r="P158" s="25">
        <v>7072</v>
      </c>
      <c r="Q158" s="17">
        <f t="shared" si="33"/>
        <v>884</v>
      </c>
      <c r="R158" s="30">
        <f t="shared" si="35"/>
        <v>7956</v>
      </c>
      <c r="S158" s="30">
        <f t="shared" si="36"/>
        <v>2693</v>
      </c>
      <c r="T158" s="177"/>
      <c r="U158" s="235">
        <f t="shared" si="39"/>
        <v>221</v>
      </c>
      <c r="V158" s="234">
        <f t="shared" si="39"/>
        <v>221</v>
      </c>
      <c r="W158" s="234">
        <f t="shared" si="39"/>
        <v>221</v>
      </c>
      <c r="X158" s="234">
        <f t="shared" si="39"/>
        <v>221</v>
      </c>
      <c r="Y158" s="234"/>
      <c r="Z158" s="234"/>
      <c r="AA158" s="234"/>
      <c r="AB158" s="234"/>
      <c r="AC158" s="234"/>
      <c r="AD158" s="234"/>
      <c r="AE158" s="234"/>
      <c r="AF158" s="236"/>
      <c r="AI158" s="19"/>
      <c r="AJ158" s="14"/>
      <c r="AK158" s="6"/>
      <c r="AL158" s="20"/>
      <c r="AM158" s="5"/>
    </row>
    <row r="159" spans="2:39" x14ac:dyDescent="0.3">
      <c r="B159" s="13">
        <f t="shared" si="37"/>
        <v>153</v>
      </c>
      <c r="C159" s="47" t="s">
        <v>166</v>
      </c>
      <c r="D159" s="70">
        <v>45071</v>
      </c>
      <c r="E159" s="47"/>
      <c r="F159" s="9"/>
      <c r="G159" s="172" t="s">
        <v>250</v>
      </c>
      <c r="H159" s="170" t="s">
        <v>251</v>
      </c>
      <c r="I159" s="130" t="s">
        <v>173</v>
      </c>
      <c r="J159" s="6"/>
      <c r="K159" s="25">
        <v>10649</v>
      </c>
      <c r="L159" s="7"/>
      <c r="M159" s="7"/>
      <c r="N159" s="166">
        <f t="shared" si="34"/>
        <v>0</v>
      </c>
      <c r="O159" s="177">
        <f t="shared" si="38"/>
        <v>10649</v>
      </c>
      <c r="P159" s="25">
        <v>7072</v>
      </c>
      <c r="Q159" s="17">
        <f t="shared" si="33"/>
        <v>884</v>
      </c>
      <c r="R159" s="30">
        <f t="shared" si="35"/>
        <v>7956</v>
      </c>
      <c r="S159" s="30">
        <f t="shared" si="36"/>
        <v>2693</v>
      </c>
      <c r="T159" s="177"/>
      <c r="U159" s="235">
        <f t="shared" si="39"/>
        <v>221</v>
      </c>
      <c r="V159" s="234">
        <f t="shared" si="39"/>
        <v>221</v>
      </c>
      <c r="W159" s="234">
        <f t="shared" si="39"/>
        <v>221</v>
      </c>
      <c r="X159" s="234">
        <f t="shared" si="39"/>
        <v>221</v>
      </c>
      <c r="Y159" s="234"/>
      <c r="Z159" s="234"/>
      <c r="AA159" s="234"/>
      <c r="AB159" s="234"/>
      <c r="AC159" s="234"/>
      <c r="AD159" s="234"/>
      <c r="AE159" s="234"/>
      <c r="AF159" s="236"/>
      <c r="AI159" s="19"/>
      <c r="AJ159" s="14"/>
      <c r="AK159" s="6"/>
      <c r="AL159" s="20"/>
      <c r="AM159" s="5"/>
    </row>
    <row r="160" spans="2:39" x14ac:dyDescent="0.3">
      <c r="B160" s="13">
        <f t="shared" si="37"/>
        <v>154</v>
      </c>
      <c r="C160" s="47" t="s">
        <v>166</v>
      </c>
      <c r="D160" s="70">
        <v>45071</v>
      </c>
      <c r="E160" s="47"/>
      <c r="F160" s="9"/>
      <c r="G160" s="172" t="s">
        <v>250</v>
      </c>
      <c r="H160" s="170" t="s">
        <v>251</v>
      </c>
      <c r="I160" s="130" t="s">
        <v>173</v>
      </c>
      <c r="J160" s="6"/>
      <c r="K160" s="25">
        <v>10649</v>
      </c>
      <c r="L160" s="7"/>
      <c r="M160" s="7"/>
      <c r="N160" s="166">
        <f t="shared" si="34"/>
        <v>0</v>
      </c>
      <c r="O160" s="177">
        <f t="shared" si="38"/>
        <v>10649</v>
      </c>
      <c r="P160" s="25">
        <v>7072</v>
      </c>
      <c r="Q160" s="17">
        <f t="shared" si="33"/>
        <v>884</v>
      </c>
      <c r="R160" s="30">
        <f t="shared" si="35"/>
        <v>7956</v>
      </c>
      <c r="S160" s="30">
        <f t="shared" si="36"/>
        <v>2693</v>
      </c>
      <c r="T160" s="177"/>
      <c r="U160" s="235">
        <f t="shared" si="39"/>
        <v>221</v>
      </c>
      <c r="V160" s="234">
        <f t="shared" si="39"/>
        <v>221</v>
      </c>
      <c r="W160" s="234">
        <f t="shared" si="39"/>
        <v>221</v>
      </c>
      <c r="X160" s="234">
        <f t="shared" si="39"/>
        <v>221</v>
      </c>
      <c r="Y160" s="234"/>
      <c r="Z160" s="234"/>
      <c r="AA160" s="234"/>
      <c r="AB160" s="234"/>
      <c r="AC160" s="234"/>
      <c r="AD160" s="234"/>
      <c r="AE160" s="234"/>
      <c r="AF160" s="236"/>
      <c r="AI160" s="19"/>
      <c r="AJ160" s="14"/>
      <c r="AK160" s="6"/>
      <c r="AL160" s="20"/>
      <c r="AM160" s="5"/>
    </row>
    <row r="161" spans="2:39" x14ac:dyDescent="0.3">
      <c r="B161" s="13">
        <f t="shared" si="37"/>
        <v>155</v>
      </c>
      <c r="C161" s="47" t="s">
        <v>166</v>
      </c>
      <c r="D161" s="70">
        <v>45071</v>
      </c>
      <c r="E161" s="47"/>
      <c r="F161" s="9"/>
      <c r="G161" s="172" t="s">
        <v>250</v>
      </c>
      <c r="H161" s="170" t="s">
        <v>251</v>
      </c>
      <c r="I161" s="130" t="s">
        <v>173</v>
      </c>
      <c r="J161" s="6"/>
      <c r="K161" s="25">
        <v>10649</v>
      </c>
      <c r="L161" s="7"/>
      <c r="M161" s="7"/>
      <c r="N161" s="166">
        <f t="shared" si="34"/>
        <v>0</v>
      </c>
      <c r="O161" s="177">
        <f t="shared" si="38"/>
        <v>10649</v>
      </c>
      <c r="P161" s="25">
        <v>7072</v>
      </c>
      <c r="Q161" s="17">
        <f t="shared" si="33"/>
        <v>884</v>
      </c>
      <c r="R161" s="30">
        <f t="shared" si="35"/>
        <v>7956</v>
      </c>
      <c r="S161" s="30">
        <f t="shared" si="36"/>
        <v>2693</v>
      </c>
      <c r="T161" s="177"/>
      <c r="U161" s="235">
        <f t="shared" si="39"/>
        <v>221</v>
      </c>
      <c r="V161" s="234">
        <f t="shared" si="39"/>
        <v>221</v>
      </c>
      <c r="W161" s="234">
        <f t="shared" si="39"/>
        <v>221</v>
      </c>
      <c r="X161" s="234">
        <f t="shared" si="39"/>
        <v>221</v>
      </c>
      <c r="Y161" s="234"/>
      <c r="Z161" s="234"/>
      <c r="AA161" s="234"/>
      <c r="AB161" s="234"/>
      <c r="AC161" s="234"/>
      <c r="AD161" s="234"/>
      <c r="AE161" s="234"/>
      <c r="AF161" s="236"/>
      <c r="AI161" s="19"/>
      <c r="AJ161" s="14"/>
      <c r="AK161" s="6"/>
      <c r="AL161" s="20"/>
      <c r="AM161" s="5"/>
    </row>
    <row r="162" spans="2:39" x14ac:dyDescent="0.3">
      <c r="B162" s="13">
        <f t="shared" si="37"/>
        <v>156</v>
      </c>
      <c r="C162" s="47" t="s">
        <v>166</v>
      </c>
      <c r="D162" s="70">
        <v>45071</v>
      </c>
      <c r="E162" s="47"/>
      <c r="F162" s="9"/>
      <c r="G162" s="172" t="s">
        <v>250</v>
      </c>
      <c r="H162" s="170" t="s">
        <v>251</v>
      </c>
      <c r="I162" s="130" t="s">
        <v>173</v>
      </c>
      <c r="J162" s="6"/>
      <c r="K162" s="25">
        <v>10649</v>
      </c>
      <c r="L162" s="7"/>
      <c r="M162" s="7"/>
      <c r="N162" s="166">
        <f t="shared" si="34"/>
        <v>0</v>
      </c>
      <c r="O162" s="177">
        <f t="shared" si="38"/>
        <v>10649</v>
      </c>
      <c r="P162" s="25">
        <v>7072</v>
      </c>
      <c r="Q162" s="17">
        <f t="shared" si="33"/>
        <v>884</v>
      </c>
      <c r="R162" s="30">
        <f t="shared" si="35"/>
        <v>7956</v>
      </c>
      <c r="S162" s="30">
        <f t="shared" si="36"/>
        <v>2693</v>
      </c>
      <c r="T162" s="177"/>
      <c r="U162" s="235">
        <f t="shared" si="39"/>
        <v>221</v>
      </c>
      <c r="V162" s="234">
        <f t="shared" si="39"/>
        <v>221</v>
      </c>
      <c r="W162" s="234">
        <f t="shared" si="39"/>
        <v>221</v>
      </c>
      <c r="X162" s="234">
        <f t="shared" si="39"/>
        <v>221</v>
      </c>
      <c r="Y162" s="234"/>
      <c r="Z162" s="234"/>
      <c r="AA162" s="234"/>
      <c r="AB162" s="234"/>
      <c r="AC162" s="234"/>
      <c r="AD162" s="234"/>
      <c r="AE162" s="234"/>
      <c r="AF162" s="236"/>
      <c r="AI162" s="19"/>
      <c r="AJ162" s="14"/>
      <c r="AK162" s="6"/>
      <c r="AL162" s="20"/>
      <c r="AM162" s="5"/>
    </row>
    <row r="163" spans="2:39" x14ac:dyDescent="0.3">
      <c r="B163" s="13">
        <f t="shared" si="37"/>
        <v>157</v>
      </c>
      <c r="C163" s="47" t="s">
        <v>166</v>
      </c>
      <c r="D163" s="70">
        <v>45071</v>
      </c>
      <c r="E163" s="47"/>
      <c r="F163" s="9"/>
      <c r="G163" s="172" t="s">
        <v>250</v>
      </c>
      <c r="H163" s="170" t="s">
        <v>251</v>
      </c>
      <c r="I163" s="130" t="s">
        <v>173</v>
      </c>
      <c r="J163" s="6"/>
      <c r="K163" s="25">
        <v>10649</v>
      </c>
      <c r="L163" s="7"/>
      <c r="M163" s="7"/>
      <c r="N163" s="166">
        <f t="shared" si="34"/>
        <v>0</v>
      </c>
      <c r="O163" s="177">
        <f t="shared" si="38"/>
        <v>10649</v>
      </c>
      <c r="P163" s="25">
        <v>7072</v>
      </c>
      <c r="Q163" s="17">
        <f t="shared" si="33"/>
        <v>884</v>
      </c>
      <c r="R163" s="30">
        <f t="shared" si="35"/>
        <v>7956</v>
      </c>
      <c r="S163" s="30">
        <f t="shared" si="36"/>
        <v>2693</v>
      </c>
      <c r="T163" s="177"/>
      <c r="U163" s="235">
        <f t="shared" si="39"/>
        <v>221</v>
      </c>
      <c r="V163" s="234">
        <f t="shared" si="39"/>
        <v>221</v>
      </c>
      <c r="W163" s="234">
        <f t="shared" si="39"/>
        <v>221</v>
      </c>
      <c r="X163" s="234">
        <f t="shared" si="39"/>
        <v>221</v>
      </c>
      <c r="Y163" s="234"/>
      <c r="Z163" s="234"/>
      <c r="AA163" s="234"/>
      <c r="AB163" s="234"/>
      <c r="AC163" s="234"/>
      <c r="AD163" s="234"/>
      <c r="AE163" s="234"/>
      <c r="AF163" s="236"/>
      <c r="AI163" s="19"/>
      <c r="AJ163" s="14"/>
      <c r="AK163" s="6"/>
      <c r="AL163" s="20"/>
      <c r="AM163" s="5"/>
    </row>
    <row r="164" spans="2:39" x14ac:dyDescent="0.3">
      <c r="B164" s="13">
        <f t="shared" si="37"/>
        <v>158</v>
      </c>
      <c r="C164" s="47" t="s">
        <v>166</v>
      </c>
      <c r="D164" s="70">
        <v>45071</v>
      </c>
      <c r="E164" s="47"/>
      <c r="F164" s="9"/>
      <c r="G164" s="172" t="s">
        <v>250</v>
      </c>
      <c r="H164" s="170" t="s">
        <v>251</v>
      </c>
      <c r="I164" s="130" t="s">
        <v>173</v>
      </c>
      <c r="J164" s="6"/>
      <c r="K164" s="25">
        <v>10649</v>
      </c>
      <c r="L164" s="7"/>
      <c r="M164" s="7"/>
      <c r="N164" s="166">
        <f t="shared" si="34"/>
        <v>0</v>
      </c>
      <c r="O164" s="177">
        <f t="shared" si="38"/>
        <v>10649</v>
      </c>
      <c r="P164" s="25">
        <v>7072</v>
      </c>
      <c r="Q164" s="17">
        <f t="shared" si="33"/>
        <v>884</v>
      </c>
      <c r="R164" s="30">
        <f t="shared" si="35"/>
        <v>7956</v>
      </c>
      <c r="S164" s="30">
        <f t="shared" si="36"/>
        <v>2693</v>
      </c>
      <c r="T164" s="177"/>
      <c r="U164" s="235">
        <f t="shared" si="39"/>
        <v>221</v>
      </c>
      <c r="V164" s="234">
        <f t="shared" si="39"/>
        <v>221</v>
      </c>
      <c r="W164" s="234">
        <f t="shared" si="39"/>
        <v>221</v>
      </c>
      <c r="X164" s="234">
        <f t="shared" si="39"/>
        <v>221</v>
      </c>
      <c r="Y164" s="234"/>
      <c r="Z164" s="234"/>
      <c r="AA164" s="234"/>
      <c r="AB164" s="234"/>
      <c r="AC164" s="234"/>
      <c r="AD164" s="234"/>
      <c r="AE164" s="234"/>
      <c r="AF164" s="236"/>
      <c r="AI164" s="19"/>
      <c r="AJ164" s="14"/>
      <c r="AK164" s="6"/>
      <c r="AL164" s="20"/>
      <c r="AM164" s="5"/>
    </row>
    <row r="165" spans="2:39" x14ac:dyDescent="0.3">
      <c r="B165" s="13">
        <f t="shared" si="37"/>
        <v>159</v>
      </c>
      <c r="C165" s="47" t="s">
        <v>166</v>
      </c>
      <c r="D165" s="70">
        <v>45071</v>
      </c>
      <c r="E165" s="47"/>
      <c r="F165" s="9"/>
      <c r="G165" s="172" t="s">
        <v>250</v>
      </c>
      <c r="H165" s="170" t="s">
        <v>251</v>
      </c>
      <c r="I165" s="130" t="s">
        <v>173</v>
      </c>
      <c r="J165" s="6"/>
      <c r="K165" s="25">
        <v>10649</v>
      </c>
      <c r="L165" s="7"/>
      <c r="M165" s="7"/>
      <c r="N165" s="166">
        <f t="shared" si="34"/>
        <v>0</v>
      </c>
      <c r="O165" s="177">
        <f t="shared" si="38"/>
        <v>10649</v>
      </c>
      <c r="P165" s="25">
        <v>7072</v>
      </c>
      <c r="Q165" s="17">
        <f t="shared" si="33"/>
        <v>884</v>
      </c>
      <c r="R165" s="30">
        <f t="shared" si="35"/>
        <v>7956</v>
      </c>
      <c r="S165" s="30">
        <f t="shared" si="36"/>
        <v>2693</v>
      </c>
      <c r="T165" s="177"/>
      <c r="U165" s="235">
        <f t="shared" si="39"/>
        <v>221</v>
      </c>
      <c r="V165" s="234">
        <f t="shared" si="39"/>
        <v>221</v>
      </c>
      <c r="W165" s="234">
        <f t="shared" si="39"/>
        <v>221</v>
      </c>
      <c r="X165" s="234">
        <f t="shared" si="39"/>
        <v>221</v>
      </c>
      <c r="Y165" s="234"/>
      <c r="Z165" s="234"/>
      <c r="AA165" s="234"/>
      <c r="AB165" s="234"/>
      <c r="AC165" s="234"/>
      <c r="AD165" s="234"/>
      <c r="AE165" s="234"/>
      <c r="AF165" s="236"/>
      <c r="AI165" s="19"/>
      <c r="AJ165" s="14"/>
      <c r="AK165" s="6"/>
      <c r="AL165" s="20"/>
      <c r="AM165" s="5"/>
    </row>
    <row r="166" spans="2:39" x14ac:dyDescent="0.3">
      <c r="B166" s="13">
        <f t="shared" si="37"/>
        <v>160</v>
      </c>
      <c r="C166" s="47" t="s">
        <v>166</v>
      </c>
      <c r="D166" s="70">
        <v>45071</v>
      </c>
      <c r="E166" s="47"/>
      <c r="F166" s="9"/>
      <c r="G166" s="172" t="s">
        <v>250</v>
      </c>
      <c r="H166" s="170" t="s">
        <v>251</v>
      </c>
      <c r="I166" s="130" t="s">
        <v>173</v>
      </c>
      <c r="J166" s="6"/>
      <c r="K166" s="25">
        <v>10649</v>
      </c>
      <c r="L166" s="7"/>
      <c r="M166" s="7"/>
      <c r="N166" s="166">
        <f t="shared" si="34"/>
        <v>0</v>
      </c>
      <c r="O166" s="177">
        <f t="shared" si="38"/>
        <v>10649</v>
      </c>
      <c r="P166" s="25">
        <v>7072</v>
      </c>
      <c r="Q166" s="17">
        <f t="shared" si="33"/>
        <v>884</v>
      </c>
      <c r="R166" s="30">
        <f t="shared" si="35"/>
        <v>7956</v>
      </c>
      <c r="S166" s="30">
        <f t="shared" si="36"/>
        <v>2693</v>
      </c>
      <c r="T166" s="177"/>
      <c r="U166" s="235">
        <f t="shared" si="39"/>
        <v>221</v>
      </c>
      <c r="V166" s="234">
        <f t="shared" si="39"/>
        <v>221</v>
      </c>
      <c r="W166" s="234">
        <f t="shared" si="39"/>
        <v>221</v>
      </c>
      <c r="X166" s="234">
        <f t="shared" si="39"/>
        <v>221</v>
      </c>
      <c r="Y166" s="234"/>
      <c r="Z166" s="234"/>
      <c r="AA166" s="234"/>
      <c r="AB166" s="234"/>
      <c r="AC166" s="234"/>
      <c r="AD166" s="234"/>
      <c r="AE166" s="234"/>
      <c r="AF166" s="236"/>
      <c r="AI166" s="19"/>
      <c r="AJ166" s="14"/>
      <c r="AK166" s="6"/>
      <c r="AL166" s="20"/>
      <c r="AM166" s="5"/>
    </row>
    <row r="167" spans="2:39" x14ac:dyDescent="0.3">
      <c r="B167" s="13">
        <f t="shared" si="37"/>
        <v>161</v>
      </c>
      <c r="C167" s="47" t="s">
        <v>166</v>
      </c>
      <c r="D167" s="70">
        <v>45071</v>
      </c>
      <c r="E167" s="47"/>
      <c r="F167" s="9"/>
      <c r="G167" s="172" t="s">
        <v>250</v>
      </c>
      <c r="H167" s="170" t="s">
        <v>251</v>
      </c>
      <c r="I167" s="130" t="s">
        <v>173</v>
      </c>
      <c r="J167" s="6"/>
      <c r="K167" s="25">
        <v>10649</v>
      </c>
      <c r="L167" s="7"/>
      <c r="M167" s="7"/>
      <c r="N167" s="166">
        <f t="shared" si="34"/>
        <v>0</v>
      </c>
      <c r="O167" s="177">
        <f t="shared" si="38"/>
        <v>10649</v>
      </c>
      <c r="P167" s="25">
        <v>7072</v>
      </c>
      <c r="Q167" s="17">
        <f t="shared" si="33"/>
        <v>884</v>
      </c>
      <c r="R167" s="30">
        <f t="shared" ref="R167:R168" si="40">P167+Q167</f>
        <v>7956</v>
      </c>
      <c r="S167" s="30">
        <f t="shared" ref="S167:S168" si="41">IF(N167&gt;0,0,O167-R167)</f>
        <v>2693</v>
      </c>
      <c r="T167" s="177"/>
      <c r="U167" s="235">
        <f t="shared" si="39"/>
        <v>221</v>
      </c>
      <c r="V167" s="234">
        <f t="shared" si="39"/>
        <v>221</v>
      </c>
      <c r="W167" s="234">
        <f t="shared" si="39"/>
        <v>221</v>
      </c>
      <c r="X167" s="234">
        <f t="shared" si="39"/>
        <v>221</v>
      </c>
      <c r="Y167" s="234"/>
      <c r="Z167" s="234"/>
      <c r="AA167" s="234"/>
      <c r="AB167" s="234"/>
      <c r="AC167" s="234"/>
      <c r="AD167" s="234"/>
      <c r="AE167" s="234"/>
      <c r="AF167" s="236"/>
      <c r="AI167" s="19"/>
      <c r="AJ167" s="14"/>
      <c r="AK167" s="6"/>
      <c r="AL167" s="20"/>
      <c r="AM167" s="5"/>
    </row>
    <row r="168" spans="2:39" x14ac:dyDescent="0.3">
      <c r="B168" s="296">
        <v>162</v>
      </c>
      <c r="C168" s="297" t="s">
        <v>282</v>
      </c>
      <c r="D168" s="298">
        <v>45657</v>
      </c>
      <c r="E168" s="297"/>
      <c r="F168" s="315"/>
      <c r="G168" s="315" t="s">
        <v>283</v>
      </c>
      <c r="H168" s="300" t="s">
        <v>251</v>
      </c>
      <c r="I168" s="130" t="s">
        <v>289</v>
      </c>
      <c r="J168" s="130" t="s">
        <v>287</v>
      </c>
      <c r="K168" s="104">
        <v>77440000</v>
      </c>
      <c r="L168" s="180"/>
      <c r="M168" s="180"/>
      <c r="N168" s="166">
        <f t="shared" si="34"/>
        <v>0</v>
      </c>
      <c r="O168" s="301">
        <f t="shared" si="38"/>
        <v>77440000</v>
      </c>
      <c r="P168" s="104">
        <v>20973329</v>
      </c>
      <c r="Q168" s="166">
        <f t="shared" si="33"/>
        <v>6453332</v>
      </c>
      <c r="R168" s="167">
        <f t="shared" si="40"/>
        <v>27426661</v>
      </c>
      <c r="S168" s="167">
        <f t="shared" si="41"/>
        <v>50013339</v>
      </c>
      <c r="T168" s="301"/>
      <c r="U168" s="235">
        <f t="shared" si="39"/>
        <v>1613333</v>
      </c>
      <c r="V168" s="234">
        <f t="shared" si="39"/>
        <v>1613333</v>
      </c>
      <c r="W168" s="234">
        <f t="shared" si="39"/>
        <v>1613333</v>
      </c>
      <c r="X168" s="234">
        <f t="shared" si="39"/>
        <v>1613333</v>
      </c>
      <c r="Y168" s="234"/>
      <c r="Z168" s="234"/>
      <c r="AA168" s="234"/>
      <c r="AB168" s="234"/>
      <c r="AC168" s="234"/>
      <c r="AD168" s="234"/>
      <c r="AE168" s="234"/>
      <c r="AF168" s="236"/>
      <c r="AI168" s="19"/>
      <c r="AJ168" s="14"/>
      <c r="AK168" s="6"/>
      <c r="AL168" s="20"/>
      <c r="AM168" s="5"/>
    </row>
    <row r="169" spans="2:39" x14ac:dyDescent="0.3">
      <c r="B169" s="13"/>
      <c r="C169" s="47"/>
      <c r="D169" s="70"/>
      <c r="E169" s="47"/>
      <c r="F169" s="9"/>
      <c r="G169" s="9"/>
      <c r="H169" s="47"/>
      <c r="I169" s="6"/>
      <c r="J169" s="6"/>
      <c r="K169" s="25"/>
      <c r="L169" s="7"/>
      <c r="M169" s="7"/>
      <c r="N169" s="180"/>
      <c r="O169" s="177"/>
      <c r="P169" s="25"/>
      <c r="Q169" s="17"/>
      <c r="R169" s="30"/>
      <c r="S169" s="30"/>
      <c r="T169" s="20"/>
      <c r="U169" s="235"/>
      <c r="V169" s="234"/>
      <c r="W169" s="234"/>
      <c r="X169" s="234"/>
      <c r="Y169" s="234"/>
      <c r="Z169" s="234"/>
      <c r="AA169" s="234"/>
      <c r="AB169" s="234"/>
      <c r="AC169" s="234"/>
      <c r="AD169" s="234"/>
      <c r="AE169" s="234"/>
      <c r="AF169" s="236"/>
      <c r="AI169" s="19"/>
      <c r="AJ169" s="14"/>
      <c r="AK169" s="6"/>
      <c r="AL169" s="20"/>
      <c r="AM169" s="5"/>
    </row>
    <row r="170" spans="2:39" x14ac:dyDescent="0.3">
      <c r="B170" s="13"/>
      <c r="C170" s="47"/>
      <c r="D170" s="70"/>
      <c r="E170" s="47"/>
      <c r="F170" s="9"/>
      <c r="G170" s="9"/>
      <c r="H170" s="47"/>
      <c r="I170" s="6"/>
      <c r="J170" s="6"/>
      <c r="K170" s="25"/>
      <c r="L170" s="7"/>
      <c r="M170" s="7"/>
      <c r="N170" s="180"/>
      <c r="O170" s="177"/>
      <c r="P170" s="25"/>
      <c r="Q170" s="17"/>
      <c r="R170" s="30"/>
      <c r="S170" s="30"/>
      <c r="T170" s="20"/>
      <c r="U170" s="235"/>
      <c r="V170" s="234"/>
      <c r="W170" s="234"/>
      <c r="X170" s="234"/>
      <c r="Y170" s="234"/>
      <c r="Z170" s="234"/>
      <c r="AA170" s="234"/>
      <c r="AB170" s="234"/>
      <c r="AC170" s="234"/>
      <c r="AD170" s="234"/>
      <c r="AE170" s="234"/>
      <c r="AF170" s="236"/>
      <c r="AI170" s="19"/>
      <c r="AJ170" s="14"/>
      <c r="AK170" s="6"/>
      <c r="AL170" s="20"/>
      <c r="AM170" s="5"/>
    </row>
    <row r="171" spans="2:39" x14ac:dyDescent="0.3">
      <c r="B171" s="13"/>
      <c r="C171" s="47"/>
      <c r="D171" s="70"/>
      <c r="E171" s="47"/>
      <c r="F171" s="9"/>
      <c r="G171" s="9"/>
      <c r="H171" s="47"/>
      <c r="I171" s="6"/>
      <c r="J171" s="6"/>
      <c r="K171" s="25"/>
      <c r="L171" s="7"/>
      <c r="M171" s="7"/>
      <c r="N171" s="180"/>
      <c r="O171" s="177"/>
      <c r="P171" s="25"/>
      <c r="Q171" s="17"/>
      <c r="R171" s="30"/>
      <c r="S171" s="30"/>
      <c r="T171" s="20"/>
      <c r="U171" s="235"/>
      <c r="V171" s="234"/>
      <c r="W171" s="234"/>
      <c r="X171" s="234"/>
      <c r="Y171" s="234"/>
      <c r="Z171" s="234"/>
      <c r="AA171" s="234"/>
      <c r="AB171" s="234"/>
      <c r="AC171" s="234"/>
      <c r="AD171" s="234"/>
      <c r="AE171" s="234"/>
      <c r="AF171" s="236"/>
      <c r="AI171" s="19"/>
      <c r="AJ171" s="14"/>
      <c r="AK171" s="6"/>
      <c r="AL171" s="20"/>
      <c r="AM171" s="5"/>
    </row>
    <row r="172" spans="2:39" x14ac:dyDescent="0.3">
      <c r="B172" s="13"/>
      <c r="C172" s="47"/>
      <c r="D172" s="70"/>
      <c r="E172" s="47"/>
      <c r="F172" s="9"/>
      <c r="G172" s="9"/>
      <c r="H172" s="47"/>
      <c r="I172" s="6"/>
      <c r="J172" s="6"/>
      <c r="K172" s="25"/>
      <c r="L172" s="7"/>
      <c r="M172" s="7"/>
      <c r="N172" s="180"/>
      <c r="O172" s="177"/>
      <c r="P172" s="25"/>
      <c r="Q172" s="17"/>
      <c r="R172" s="30"/>
      <c r="S172" s="30"/>
      <c r="T172" s="20"/>
      <c r="U172" s="235"/>
      <c r="V172" s="234"/>
      <c r="W172" s="234"/>
      <c r="X172" s="234"/>
      <c r="Y172" s="234"/>
      <c r="Z172" s="234"/>
      <c r="AA172" s="234"/>
      <c r="AB172" s="234"/>
      <c r="AC172" s="234"/>
      <c r="AD172" s="234"/>
      <c r="AE172" s="234"/>
      <c r="AF172" s="236"/>
      <c r="AI172" s="19"/>
      <c r="AJ172" s="14"/>
      <c r="AK172" s="6"/>
      <c r="AL172" s="20"/>
      <c r="AM172" s="5"/>
    </row>
    <row r="173" spans="2:39" x14ac:dyDescent="0.3">
      <c r="B173" s="13"/>
      <c r="C173" s="47"/>
      <c r="D173" s="70"/>
      <c r="E173" s="47"/>
      <c r="F173" s="9"/>
      <c r="G173" s="9"/>
      <c r="H173" s="47"/>
      <c r="I173" s="6"/>
      <c r="J173" s="6"/>
      <c r="K173" s="25"/>
      <c r="L173" s="7"/>
      <c r="M173" s="7"/>
      <c r="N173" s="180"/>
      <c r="O173" s="177"/>
      <c r="P173" s="25"/>
      <c r="Q173" s="17"/>
      <c r="R173" s="30"/>
      <c r="S173" s="30"/>
      <c r="T173" s="20"/>
      <c r="U173" s="235"/>
      <c r="V173" s="234"/>
      <c r="W173" s="234"/>
      <c r="X173" s="234"/>
      <c r="Y173" s="234"/>
      <c r="Z173" s="234"/>
      <c r="AA173" s="234"/>
      <c r="AB173" s="234"/>
      <c r="AC173" s="234"/>
      <c r="AD173" s="234"/>
      <c r="AE173" s="234"/>
      <c r="AF173" s="236"/>
      <c r="AI173" s="19"/>
      <c r="AJ173" s="14"/>
      <c r="AK173" s="6"/>
      <c r="AL173" s="20"/>
      <c r="AM173" s="5"/>
    </row>
    <row r="174" spans="2:39" x14ac:dyDescent="0.3">
      <c r="B174" s="13"/>
      <c r="C174" s="47"/>
      <c r="D174" s="70"/>
      <c r="E174" s="47"/>
      <c r="F174" s="9"/>
      <c r="G174" s="9"/>
      <c r="H174" s="47"/>
      <c r="I174" s="6"/>
      <c r="J174" s="6"/>
      <c r="K174" s="25"/>
      <c r="L174" s="7"/>
      <c r="M174" s="7"/>
      <c r="N174" s="180"/>
      <c r="O174" s="177"/>
      <c r="P174" s="25"/>
      <c r="Q174" s="17"/>
      <c r="R174" s="30"/>
      <c r="S174" s="30"/>
      <c r="T174" s="20"/>
      <c r="U174" s="235"/>
      <c r="V174" s="234"/>
      <c r="W174" s="234"/>
      <c r="X174" s="234"/>
      <c r="Y174" s="234"/>
      <c r="Z174" s="234"/>
      <c r="AA174" s="234"/>
      <c r="AB174" s="234"/>
      <c r="AC174" s="234"/>
      <c r="AD174" s="234"/>
      <c r="AE174" s="234"/>
      <c r="AF174" s="236"/>
      <c r="AI174" s="19"/>
      <c r="AJ174" s="14"/>
      <c r="AK174" s="6"/>
      <c r="AL174" s="20"/>
      <c r="AM174" s="5"/>
    </row>
    <row r="175" spans="2:39" ht="14.25" thickBot="1" x14ac:dyDescent="0.35">
      <c r="B175" s="13"/>
      <c r="C175" s="47"/>
      <c r="D175" s="70"/>
      <c r="E175" s="47"/>
      <c r="F175" s="50"/>
      <c r="G175" s="50"/>
      <c r="H175" s="47"/>
      <c r="I175" s="6"/>
      <c r="J175" s="6"/>
      <c r="K175" s="25"/>
      <c r="L175" s="99"/>
      <c r="M175" s="99"/>
      <c r="N175" s="183"/>
      <c r="O175" s="177"/>
      <c r="P175" s="25"/>
      <c r="Q175" s="17"/>
      <c r="R175" s="30"/>
      <c r="S175" s="30"/>
      <c r="T175" s="20"/>
      <c r="U175" s="237"/>
      <c r="V175" s="238"/>
      <c r="W175" s="238"/>
      <c r="X175" s="238"/>
      <c r="Y175" s="238"/>
      <c r="Z175" s="238"/>
      <c r="AA175" s="238"/>
      <c r="AB175" s="238"/>
      <c r="AC175" s="238"/>
      <c r="AD175" s="238"/>
      <c r="AE175" s="238"/>
      <c r="AF175" s="239"/>
      <c r="AI175" s="19"/>
      <c r="AJ175" s="14"/>
      <c r="AK175" s="6"/>
      <c r="AL175" s="20"/>
      <c r="AM175" s="5"/>
    </row>
    <row r="176" spans="2:39" s="2" customFormat="1" ht="19.5" customHeight="1" collapsed="1" thickBot="1" x14ac:dyDescent="0.35">
      <c r="B176" s="400" t="s">
        <v>25</v>
      </c>
      <c r="C176" s="401"/>
      <c r="D176" s="401"/>
      <c r="E176" s="401"/>
      <c r="F176" s="401"/>
      <c r="G176" s="401"/>
      <c r="H176" s="401"/>
      <c r="I176" s="401"/>
      <c r="J176" s="10"/>
      <c r="K176" s="63">
        <f t="shared" ref="K176:S176" si="42">SUM(K7:K175)</f>
        <v>1298465064</v>
      </c>
      <c r="L176" s="36">
        <f t="shared" si="42"/>
        <v>0</v>
      </c>
      <c r="M176" s="36">
        <f t="shared" si="42"/>
        <v>0</v>
      </c>
      <c r="N176" s="181">
        <f t="shared" si="42"/>
        <v>22916692</v>
      </c>
      <c r="O176" s="179">
        <f t="shared" si="42"/>
        <v>1275548372</v>
      </c>
      <c r="P176" s="63">
        <f t="shared" si="42"/>
        <v>1215505797</v>
      </c>
      <c r="Q176" s="36">
        <f t="shared" si="42"/>
        <v>7457340</v>
      </c>
      <c r="R176" s="35">
        <f t="shared" si="42"/>
        <v>1222963137</v>
      </c>
      <c r="S176" s="65">
        <f t="shared" si="42"/>
        <v>52585235</v>
      </c>
      <c r="T176" s="20"/>
      <c r="U176" s="100">
        <f t="shared" ref="U176:AF176" si="43">SUM(U7:U175)</f>
        <v>1864335</v>
      </c>
      <c r="V176" s="31">
        <f t="shared" si="43"/>
        <v>1864335</v>
      </c>
      <c r="W176" s="31">
        <f t="shared" si="43"/>
        <v>1864335</v>
      </c>
      <c r="X176" s="31">
        <f t="shared" si="43"/>
        <v>1864335</v>
      </c>
      <c r="Y176" s="31">
        <f t="shared" si="43"/>
        <v>0</v>
      </c>
      <c r="Z176" s="31">
        <f t="shared" si="43"/>
        <v>0</v>
      </c>
      <c r="AA176" s="31">
        <f t="shared" si="43"/>
        <v>0</v>
      </c>
      <c r="AB176" s="31">
        <f t="shared" si="43"/>
        <v>0</v>
      </c>
      <c r="AC176" s="31">
        <f t="shared" si="43"/>
        <v>0</v>
      </c>
      <c r="AD176" s="268">
        <f t="shared" si="43"/>
        <v>0</v>
      </c>
      <c r="AE176" s="31">
        <f t="shared" si="43"/>
        <v>0</v>
      </c>
      <c r="AF176" s="32">
        <f t="shared" si="43"/>
        <v>0</v>
      </c>
      <c r="AG176" s="1"/>
      <c r="AI176" s="40">
        <v>3341718842</v>
      </c>
      <c r="AJ176" s="43">
        <v>3247529985</v>
      </c>
      <c r="AK176" s="45">
        <f>AI176-O176</f>
        <v>2066170470</v>
      </c>
      <c r="AL176" s="95">
        <f>AJ176-R176</f>
        <v>2024566848</v>
      </c>
    </row>
    <row r="178" spans="15:36" x14ac:dyDescent="0.3">
      <c r="O178" s="90"/>
      <c r="R178" s="90"/>
      <c r="V178" s="90">
        <v>1613775</v>
      </c>
    </row>
    <row r="179" spans="15:36" x14ac:dyDescent="0.3">
      <c r="V179" s="5">
        <f>V176-V178</f>
        <v>250560</v>
      </c>
      <c r="AJ179" s="90"/>
    </row>
    <row r="180" spans="15:36" x14ac:dyDescent="0.3">
      <c r="O180" s="5"/>
    </row>
    <row r="181" spans="15:36" x14ac:dyDescent="0.3">
      <c r="AJ181" s="91"/>
    </row>
  </sheetData>
  <autoFilter ref="B5:AF167"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</autoFilter>
  <mergeCells count="7">
    <mergeCell ref="B176:I176"/>
    <mergeCell ref="K5:O5"/>
    <mergeCell ref="P5:R5"/>
    <mergeCell ref="S5:S6"/>
    <mergeCell ref="AI5:AL5"/>
    <mergeCell ref="B5:B6"/>
    <mergeCell ref="U5:AF5"/>
  </mergeCells>
  <phoneticPr fontId="2" type="noConversion"/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2:AM41"/>
  <sheetViews>
    <sheetView view="pageBreakPreview" zoomScale="90" zoomScaleNormal="100" zoomScaleSheetLayoutView="90" workbookViewId="0">
      <pane xSplit="9" ySplit="6" topLeftCell="Q7" activePane="bottomRight" state="frozen"/>
      <selection pane="topRight" activeCell="G1" sqref="G1"/>
      <selection pane="bottomLeft" activeCell="A7" sqref="A7"/>
      <selection pane="bottomRight" activeCell="X27" sqref="X27:X30"/>
    </sheetView>
  </sheetViews>
  <sheetFormatPr defaultRowHeight="13.5" outlineLevelRow="2" outlineLevelCol="1" x14ac:dyDescent="0.3"/>
  <cols>
    <col min="1" max="1" width="3.5" style="1" customWidth="1"/>
    <col min="2" max="2" width="8" style="1" bestFit="1" customWidth="1"/>
    <col min="3" max="3" width="8.625" style="1" customWidth="1"/>
    <col min="4" max="4" width="10.875" style="3" bestFit="1" customWidth="1"/>
    <col min="5" max="5" width="10.625" style="3" customWidth="1"/>
    <col min="6" max="6" width="12" style="3" customWidth="1"/>
    <col min="7" max="7" width="17" style="3" customWidth="1"/>
    <col min="8" max="8" width="10.375" style="3" customWidth="1"/>
    <col min="9" max="9" width="61" style="1" bestFit="1" customWidth="1"/>
    <col min="10" max="10" width="13.125" style="1" bestFit="1" customWidth="1"/>
    <col min="11" max="11" width="14.25" style="34" bestFit="1" customWidth="1"/>
    <col min="12" max="12" width="10.25" style="1" customWidth="1" outlineLevel="1"/>
    <col min="13" max="13" width="13.25" style="34" customWidth="1" outlineLevel="1"/>
    <col min="14" max="14" width="14.5" style="1" bestFit="1" customWidth="1" outlineLevel="1"/>
    <col min="15" max="15" width="14.25" style="1" bestFit="1" customWidth="1"/>
    <col min="16" max="16" width="14.25" style="34" customWidth="1"/>
    <col min="17" max="17" width="13" style="1" customWidth="1"/>
    <col min="18" max="18" width="16" style="1" customWidth="1"/>
    <col min="19" max="19" width="14.375" style="1" customWidth="1"/>
    <col min="20" max="20" width="2.75" style="1" customWidth="1"/>
    <col min="21" max="22" width="12.875" style="1" customWidth="1"/>
    <col min="23" max="44" width="12.75" style="1" customWidth="1"/>
    <col min="45" max="45" width="4.25" style="1" customWidth="1"/>
    <col min="46" max="46" width="2" style="1" customWidth="1"/>
    <col min="47" max="47" width="15.375" style="1" bestFit="1" customWidth="1"/>
    <col min="48" max="48" width="21.125" style="1" bestFit="1" customWidth="1"/>
    <col min="49" max="49" width="14.125" style="1" bestFit="1" customWidth="1"/>
    <col min="50" max="50" width="13" style="1" bestFit="1" customWidth="1"/>
    <col min="51" max="51" width="11.5" style="1" bestFit="1" customWidth="1"/>
    <col min="52" max="16384" width="9" style="1"/>
  </cols>
  <sheetData>
    <row r="2" spans="2:39" ht="20.25" x14ac:dyDescent="0.3">
      <c r="B2" s="72" t="s">
        <v>156</v>
      </c>
    </row>
    <row r="3" spans="2:39" x14ac:dyDescent="0.3">
      <c r="B3" s="1" t="s">
        <v>23</v>
      </c>
      <c r="D3" s="46">
        <f>비품!D3</f>
        <v>46142</v>
      </c>
    </row>
    <row r="4" spans="2:39" ht="14.25" thickBot="1" x14ac:dyDescent="0.35">
      <c r="C4" s="1" t="s">
        <v>19</v>
      </c>
      <c r="D4" s="4" t="s">
        <v>18</v>
      </c>
      <c r="E4" s="1">
        <v>48</v>
      </c>
      <c r="F4" s="1"/>
      <c r="G4" s="1"/>
      <c r="H4" s="1"/>
      <c r="P4" s="3" t="s">
        <v>290</v>
      </c>
      <c r="Q4" s="3" t="s">
        <v>318</v>
      </c>
      <c r="S4" s="3" t="s">
        <v>318</v>
      </c>
    </row>
    <row r="5" spans="2:39" ht="16.5" customHeight="1" x14ac:dyDescent="0.3">
      <c r="B5" s="415" t="s">
        <v>11</v>
      </c>
      <c r="C5" s="414" t="s">
        <v>0</v>
      </c>
      <c r="D5" s="414" t="s">
        <v>133</v>
      </c>
      <c r="E5" s="414" t="s">
        <v>261</v>
      </c>
      <c r="F5" s="418" t="s">
        <v>262</v>
      </c>
      <c r="G5" s="420" t="s">
        <v>263</v>
      </c>
      <c r="H5" s="418" t="s">
        <v>264</v>
      </c>
      <c r="I5" s="414" t="s">
        <v>265</v>
      </c>
      <c r="J5" s="188"/>
      <c r="K5" s="405" t="s">
        <v>4</v>
      </c>
      <c r="L5" s="407"/>
      <c r="M5" s="407"/>
      <c r="N5" s="407"/>
      <c r="O5" s="408"/>
      <c r="P5" s="405" t="s">
        <v>16</v>
      </c>
      <c r="Q5" s="407"/>
      <c r="R5" s="408"/>
      <c r="S5" s="409" t="s">
        <v>17</v>
      </c>
      <c r="T5" s="14"/>
      <c r="U5" s="402" t="s">
        <v>276</v>
      </c>
      <c r="V5" s="403"/>
      <c r="W5" s="403"/>
      <c r="X5" s="403"/>
      <c r="Y5" s="403"/>
      <c r="Z5" s="403"/>
      <c r="AA5" s="403"/>
      <c r="AB5" s="403"/>
      <c r="AC5" s="403"/>
      <c r="AD5" s="403"/>
      <c r="AE5" s="403"/>
      <c r="AF5" s="404"/>
      <c r="AI5" s="402" t="s">
        <v>20</v>
      </c>
      <c r="AJ5" s="403"/>
      <c r="AK5" s="403"/>
      <c r="AL5" s="404"/>
    </row>
    <row r="6" spans="2:39" ht="30" customHeight="1" thickBot="1" x14ac:dyDescent="0.35">
      <c r="B6" s="416"/>
      <c r="C6" s="417"/>
      <c r="D6" s="417"/>
      <c r="E6" s="417"/>
      <c r="F6" s="419"/>
      <c r="G6" s="421"/>
      <c r="H6" s="419"/>
      <c r="I6" s="417"/>
      <c r="J6" s="189" t="s">
        <v>266</v>
      </c>
      <c r="K6" s="67" t="s">
        <v>13</v>
      </c>
      <c r="L6" s="51" t="s">
        <v>12</v>
      </c>
      <c r="M6" s="48" t="s">
        <v>5</v>
      </c>
      <c r="N6" s="55" t="s">
        <v>14</v>
      </c>
      <c r="O6" s="59" t="s">
        <v>1</v>
      </c>
      <c r="P6" s="67" t="s">
        <v>239</v>
      </c>
      <c r="Q6" s="12" t="s">
        <v>240</v>
      </c>
      <c r="R6" s="59" t="s">
        <v>16</v>
      </c>
      <c r="S6" s="410"/>
      <c r="T6" s="14"/>
      <c r="U6" s="220" t="s">
        <v>306</v>
      </c>
      <c r="V6" s="221" t="s">
        <v>307</v>
      </c>
      <c r="W6" s="221" t="s">
        <v>308</v>
      </c>
      <c r="X6" s="221" t="s">
        <v>309</v>
      </c>
      <c r="Y6" s="221" t="s">
        <v>310</v>
      </c>
      <c r="Z6" s="221" t="s">
        <v>311</v>
      </c>
      <c r="AA6" s="221" t="s">
        <v>312</v>
      </c>
      <c r="AB6" s="221" t="s">
        <v>313</v>
      </c>
      <c r="AC6" s="221" t="s">
        <v>314</v>
      </c>
      <c r="AD6" s="221" t="s">
        <v>303</v>
      </c>
      <c r="AE6" s="221" t="s">
        <v>304</v>
      </c>
      <c r="AF6" s="222" t="s">
        <v>305</v>
      </c>
      <c r="AI6" s="38" t="s">
        <v>55</v>
      </c>
      <c r="AJ6" s="42" t="s">
        <v>16</v>
      </c>
      <c r="AK6" s="44" t="s">
        <v>102</v>
      </c>
      <c r="AL6" s="39" t="s">
        <v>22</v>
      </c>
    </row>
    <row r="7" spans="2:39" outlineLevel="2" x14ac:dyDescent="0.3">
      <c r="B7" s="106" t="s">
        <v>50</v>
      </c>
      <c r="C7" s="176" t="s">
        <v>55</v>
      </c>
      <c r="D7" s="52">
        <v>36435</v>
      </c>
      <c r="E7" s="8"/>
      <c r="F7" s="8"/>
      <c r="G7" s="8"/>
      <c r="H7" s="53"/>
      <c r="I7" s="6" t="s">
        <v>56</v>
      </c>
      <c r="J7" s="6" t="s">
        <v>29</v>
      </c>
      <c r="K7" s="60">
        <v>36783250</v>
      </c>
      <c r="L7" s="6"/>
      <c r="M7" s="17">
        <v>2</v>
      </c>
      <c r="N7" s="101">
        <f t="shared" ref="N7:N22" si="0">IF(E7&gt;0,K7,0)</f>
        <v>0</v>
      </c>
      <c r="O7" s="102">
        <f t="shared" ref="O7:O22" si="1">K7+L7-M7-N7</f>
        <v>36783248</v>
      </c>
      <c r="P7" s="25">
        <v>36783248</v>
      </c>
      <c r="Q7" s="17">
        <f t="shared" ref="Q7:Q22" si="2">SUM(U7:AF7)</f>
        <v>0</v>
      </c>
      <c r="R7" s="30">
        <f t="shared" ref="R7:R30" si="3">P7+Q7</f>
        <v>36783248</v>
      </c>
      <c r="S7" s="30">
        <f t="shared" ref="S7:S30" si="4">IF(N7&gt;0,O7,O7-R7)</f>
        <v>0</v>
      </c>
      <c r="T7" s="66"/>
      <c r="U7" s="235">
        <v>0</v>
      </c>
      <c r="V7" s="234"/>
      <c r="W7" s="234"/>
      <c r="X7" s="234"/>
      <c r="Y7" s="234"/>
      <c r="Z7" s="234"/>
      <c r="AA7" s="234"/>
      <c r="AB7" s="234"/>
      <c r="AC7" s="234"/>
      <c r="AD7" s="234"/>
      <c r="AE7" s="234"/>
      <c r="AF7" s="236"/>
      <c r="AI7" s="19"/>
      <c r="AJ7" s="14"/>
      <c r="AK7" s="6"/>
      <c r="AL7" s="20"/>
      <c r="AM7" s="5"/>
    </row>
    <row r="8" spans="2:39" outlineLevel="2" x14ac:dyDescent="0.3">
      <c r="B8" s="106" t="s">
        <v>50</v>
      </c>
      <c r="C8" s="176" t="s">
        <v>55</v>
      </c>
      <c r="D8" s="52">
        <v>37239</v>
      </c>
      <c r="E8" s="8"/>
      <c r="F8" s="8"/>
      <c r="G8" s="8"/>
      <c r="H8" s="53"/>
      <c r="I8" s="6" t="s">
        <v>57</v>
      </c>
      <c r="J8" s="6" t="s">
        <v>29</v>
      </c>
      <c r="K8" s="60">
        <v>56500000</v>
      </c>
      <c r="L8" s="6"/>
      <c r="M8" s="17">
        <v>16479167</v>
      </c>
      <c r="N8" s="101">
        <f t="shared" si="0"/>
        <v>0</v>
      </c>
      <c r="O8" s="102">
        <f t="shared" si="1"/>
        <v>40020833</v>
      </c>
      <c r="P8" s="25">
        <v>40020833</v>
      </c>
      <c r="Q8" s="17">
        <f t="shared" si="2"/>
        <v>0</v>
      </c>
      <c r="R8" s="30">
        <f t="shared" si="3"/>
        <v>40020833</v>
      </c>
      <c r="S8" s="30">
        <f t="shared" si="4"/>
        <v>0</v>
      </c>
      <c r="T8" s="66"/>
      <c r="U8" s="235">
        <v>0</v>
      </c>
      <c r="V8" s="234"/>
      <c r="W8" s="234"/>
      <c r="X8" s="234"/>
      <c r="Y8" s="234"/>
      <c r="Z8" s="234"/>
      <c r="AA8" s="234"/>
      <c r="AB8" s="234"/>
      <c r="AC8" s="234"/>
      <c r="AD8" s="234"/>
      <c r="AE8" s="234"/>
      <c r="AF8" s="236"/>
      <c r="AI8" s="19"/>
      <c r="AJ8" s="14"/>
      <c r="AK8" s="6"/>
      <c r="AL8" s="20"/>
      <c r="AM8" s="5"/>
    </row>
    <row r="9" spans="2:39" outlineLevel="2" x14ac:dyDescent="0.3">
      <c r="B9" s="106" t="s">
        <v>50</v>
      </c>
      <c r="C9" s="176" t="s">
        <v>55</v>
      </c>
      <c r="D9" s="52">
        <v>37305</v>
      </c>
      <c r="E9" s="8"/>
      <c r="F9" s="8"/>
      <c r="G9" s="8"/>
      <c r="H9" s="53"/>
      <c r="I9" s="6" t="s">
        <v>58</v>
      </c>
      <c r="J9" s="6" t="s">
        <v>29</v>
      </c>
      <c r="K9" s="60">
        <v>1500000</v>
      </c>
      <c r="L9" s="6"/>
      <c r="M9" s="17">
        <v>500000</v>
      </c>
      <c r="N9" s="101">
        <f t="shared" si="0"/>
        <v>0</v>
      </c>
      <c r="O9" s="102">
        <f t="shared" si="1"/>
        <v>1000000</v>
      </c>
      <c r="P9" s="25">
        <v>1000000</v>
      </c>
      <c r="Q9" s="17">
        <f t="shared" si="2"/>
        <v>0</v>
      </c>
      <c r="R9" s="30">
        <f t="shared" si="3"/>
        <v>1000000</v>
      </c>
      <c r="S9" s="30">
        <f t="shared" si="4"/>
        <v>0</v>
      </c>
      <c r="T9" s="66"/>
      <c r="U9" s="235">
        <v>0</v>
      </c>
      <c r="V9" s="234"/>
      <c r="W9" s="234"/>
      <c r="X9" s="234"/>
      <c r="Y9" s="234"/>
      <c r="Z9" s="234"/>
      <c r="AA9" s="234"/>
      <c r="AB9" s="234"/>
      <c r="AC9" s="234"/>
      <c r="AD9" s="234"/>
      <c r="AE9" s="234"/>
      <c r="AF9" s="236"/>
      <c r="AI9" s="19"/>
      <c r="AJ9" s="14"/>
      <c r="AK9" s="6"/>
      <c r="AL9" s="20"/>
      <c r="AM9" s="5"/>
    </row>
    <row r="10" spans="2:39" outlineLevel="2" x14ac:dyDescent="0.3">
      <c r="B10" s="106" t="s">
        <v>50</v>
      </c>
      <c r="C10" s="176" t="s">
        <v>55</v>
      </c>
      <c r="D10" s="52">
        <v>37575</v>
      </c>
      <c r="E10" s="8"/>
      <c r="F10" s="8"/>
      <c r="G10" s="8"/>
      <c r="H10" s="53"/>
      <c r="I10" s="6" t="s">
        <v>59</v>
      </c>
      <c r="J10" s="6" t="s">
        <v>29</v>
      </c>
      <c r="K10" s="60">
        <v>2750000</v>
      </c>
      <c r="L10" s="6"/>
      <c r="M10" s="17">
        <v>1432292</v>
      </c>
      <c r="N10" s="101">
        <f t="shared" si="0"/>
        <v>0</v>
      </c>
      <c r="O10" s="102">
        <f t="shared" si="1"/>
        <v>1317708</v>
      </c>
      <c r="P10" s="25">
        <v>1317708</v>
      </c>
      <c r="Q10" s="17">
        <f t="shared" si="2"/>
        <v>0</v>
      </c>
      <c r="R10" s="30">
        <f t="shared" si="3"/>
        <v>1317708</v>
      </c>
      <c r="S10" s="30">
        <f t="shared" si="4"/>
        <v>0</v>
      </c>
      <c r="T10" s="66"/>
      <c r="U10" s="235">
        <v>0</v>
      </c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6"/>
      <c r="AI10" s="19"/>
      <c r="AJ10" s="14"/>
      <c r="AK10" s="6"/>
      <c r="AL10" s="20"/>
      <c r="AM10" s="5"/>
    </row>
    <row r="11" spans="2:39" outlineLevel="2" x14ac:dyDescent="0.3">
      <c r="B11" s="106" t="s">
        <v>50</v>
      </c>
      <c r="C11" s="176" t="s">
        <v>55</v>
      </c>
      <c r="D11" s="52">
        <v>37645</v>
      </c>
      <c r="E11" s="8"/>
      <c r="F11" s="8"/>
      <c r="G11" s="8"/>
      <c r="H11" s="53"/>
      <c r="I11" s="6" t="s">
        <v>60</v>
      </c>
      <c r="J11" s="6" t="s">
        <v>29</v>
      </c>
      <c r="K11" s="60">
        <v>248600</v>
      </c>
      <c r="L11" s="6"/>
      <c r="M11" s="17">
        <v>139838</v>
      </c>
      <c r="N11" s="101">
        <f t="shared" si="0"/>
        <v>0</v>
      </c>
      <c r="O11" s="102">
        <f t="shared" si="1"/>
        <v>108762</v>
      </c>
      <c r="P11" s="25">
        <v>108762</v>
      </c>
      <c r="Q11" s="17">
        <f t="shared" si="2"/>
        <v>0</v>
      </c>
      <c r="R11" s="30">
        <f t="shared" si="3"/>
        <v>108762</v>
      </c>
      <c r="S11" s="30">
        <f t="shared" si="4"/>
        <v>0</v>
      </c>
      <c r="T11" s="66"/>
      <c r="U11" s="235">
        <v>0</v>
      </c>
      <c r="V11" s="234"/>
      <c r="W11" s="234"/>
      <c r="X11" s="234"/>
      <c r="Y11" s="234"/>
      <c r="Z11" s="234"/>
      <c r="AA11" s="234"/>
      <c r="AB11" s="234"/>
      <c r="AC11" s="234"/>
      <c r="AD11" s="234"/>
      <c r="AE11" s="234"/>
      <c r="AF11" s="236"/>
      <c r="AI11" s="19"/>
      <c r="AJ11" s="14"/>
      <c r="AK11" s="6"/>
      <c r="AL11" s="20"/>
      <c r="AM11" s="5"/>
    </row>
    <row r="12" spans="2:39" outlineLevel="2" x14ac:dyDescent="0.3">
      <c r="B12" s="106" t="s">
        <v>50</v>
      </c>
      <c r="C12" s="176" t="s">
        <v>55</v>
      </c>
      <c r="D12" s="52">
        <v>36479</v>
      </c>
      <c r="E12" s="8"/>
      <c r="F12" s="8"/>
      <c r="G12" s="8"/>
      <c r="H12" s="53"/>
      <c r="I12" s="6" t="s">
        <v>56</v>
      </c>
      <c r="J12" s="6" t="s">
        <v>69</v>
      </c>
      <c r="K12" s="60">
        <v>30900000</v>
      </c>
      <c r="L12" s="6"/>
      <c r="M12" s="17">
        <v>1000</v>
      </c>
      <c r="N12" s="101">
        <f t="shared" si="0"/>
        <v>0</v>
      </c>
      <c r="O12" s="102">
        <f t="shared" si="1"/>
        <v>30899000</v>
      </c>
      <c r="P12" s="25">
        <v>30899000</v>
      </c>
      <c r="Q12" s="17">
        <f t="shared" si="2"/>
        <v>0</v>
      </c>
      <c r="R12" s="30">
        <f t="shared" si="3"/>
        <v>30899000</v>
      </c>
      <c r="S12" s="30">
        <f t="shared" si="4"/>
        <v>0</v>
      </c>
      <c r="T12" s="66"/>
      <c r="U12" s="235">
        <v>0</v>
      </c>
      <c r="V12" s="234"/>
      <c r="W12" s="234"/>
      <c r="X12" s="234"/>
      <c r="Y12" s="234"/>
      <c r="Z12" s="234"/>
      <c r="AA12" s="234"/>
      <c r="AB12" s="234"/>
      <c r="AC12" s="234"/>
      <c r="AD12" s="234"/>
      <c r="AE12" s="234"/>
      <c r="AF12" s="236"/>
      <c r="AI12" s="19"/>
      <c r="AJ12" s="14"/>
      <c r="AK12" s="6"/>
      <c r="AL12" s="20"/>
      <c r="AM12" s="5"/>
    </row>
    <row r="13" spans="2:39" outlineLevel="2" x14ac:dyDescent="0.3">
      <c r="B13" s="106" t="s">
        <v>50</v>
      </c>
      <c r="C13" s="176" t="s">
        <v>55</v>
      </c>
      <c r="D13" s="52">
        <v>37062</v>
      </c>
      <c r="E13" s="8"/>
      <c r="F13" s="8"/>
      <c r="G13" s="8"/>
      <c r="H13" s="53"/>
      <c r="I13" s="6" t="s">
        <v>61</v>
      </c>
      <c r="J13" s="6" t="s">
        <v>69</v>
      </c>
      <c r="K13" s="60">
        <v>2387000</v>
      </c>
      <c r="L13" s="6"/>
      <c r="M13" s="17">
        <v>397833</v>
      </c>
      <c r="N13" s="101">
        <f t="shared" si="0"/>
        <v>0</v>
      </c>
      <c r="O13" s="102">
        <f t="shared" si="1"/>
        <v>1989167</v>
      </c>
      <c r="P13" s="25">
        <v>1989167</v>
      </c>
      <c r="Q13" s="17">
        <f t="shared" si="2"/>
        <v>0</v>
      </c>
      <c r="R13" s="30">
        <f t="shared" si="3"/>
        <v>1989167</v>
      </c>
      <c r="S13" s="30">
        <f t="shared" si="4"/>
        <v>0</v>
      </c>
      <c r="T13" s="66"/>
      <c r="U13" s="235">
        <v>0</v>
      </c>
      <c r="V13" s="234"/>
      <c r="W13" s="234"/>
      <c r="X13" s="234"/>
      <c r="Y13" s="234"/>
      <c r="Z13" s="234"/>
      <c r="AA13" s="234"/>
      <c r="AB13" s="234"/>
      <c r="AC13" s="234"/>
      <c r="AD13" s="234"/>
      <c r="AE13" s="234"/>
      <c r="AF13" s="236"/>
      <c r="AI13" s="19"/>
      <c r="AJ13" s="14"/>
      <c r="AK13" s="6"/>
      <c r="AL13" s="20"/>
      <c r="AM13" s="5"/>
    </row>
    <row r="14" spans="2:39" outlineLevel="2" x14ac:dyDescent="0.3">
      <c r="B14" s="106" t="s">
        <v>50</v>
      </c>
      <c r="C14" s="176" t="s">
        <v>55</v>
      </c>
      <c r="D14" s="52">
        <v>37456</v>
      </c>
      <c r="E14" s="8"/>
      <c r="F14" s="8"/>
      <c r="G14" s="8"/>
      <c r="H14" s="53"/>
      <c r="I14" s="6" t="s">
        <v>62</v>
      </c>
      <c r="J14" s="6" t="s">
        <v>69</v>
      </c>
      <c r="K14" s="60">
        <v>297000</v>
      </c>
      <c r="L14" s="6"/>
      <c r="M14" s="17">
        <v>129938</v>
      </c>
      <c r="N14" s="101">
        <f t="shared" si="0"/>
        <v>0</v>
      </c>
      <c r="O14" s="102">
        <f t="shared" si="1"/>
        <v>167062</v>
      </c>
      <c r="P14" s="25">
        <v>167062</v>
      </c>
      <c r="Q14" s="17">
        <f t="shared" si="2"/>
        <v>0</v>
      </c>
      <c r="R14" s="30">
        <f t="shared" si="3"/>
        <v>167062</v>
      </c>
      <c r="S14" s="30">
        <f t="shared" si="4"/>
        <v>0</v>
      </c>
      <c r="T14" s="66"/>
      <c r="U14" s="235">
        <v>0</v>
      </c>
      <c r="V14" s="234"/>
      <c r="W14" s="234"/>
      <c r="X14" s="234"/>
      <c r="Y14" s="234"/>
      <c r="Z14" s="234"/>
      <c r="AA14" s="234"/>
      <c r="AB14" s="234"/>
      <c r="AC14" s="234"/>
      <c r="AD14" s="234"/>
      <c r="AE14" s="234"/>
      <c r="AF14" s="236"/>
      <c r="AI14" s="19"/>
      <c r="AJ14" s="14"/>
      <c r="AK14" s="6"/>
      <c r="AL14" s="20"/>
      <c r="AM14" s="5"/>
    </row>
    <row r="15" spans="2:39" outlineLevel="2" x14ac:dyDescent="0.3">
      <c r="B15" s="106" t="s">
        <v>50</v>
      </c>
      <c r="C15" s="176" t="s">
        <v>55</v>
      </c>
      <c r="D15" s="52">
        <v>37727</v>
      </c>
      <c r="E15" s="8"/>
      <c r="F15" s="8"/>
      <c r="G15" s="8"/>
      <c r="H15" s="53"/>
      <c r="I15" s="6" t="s">
        <v>63</v>
      </c>
      <c r="J15" s="6" t="s">
        <v>69</v>
      </c>
      <c r="K15" s="60">
        <v>814000</v>
      </c>
      <c r="L15" s="6"/>
      <c r="M15" s="17">
        <v>508750</v>
      </c>
      <c r="N15" s="101">
        <f t="shared" si="0"/>
        <v>0</v>
      </c>
      <c r="O15" s="102">
        <f t="shared" si="1"/>
        <v>305250</v>
      </c>
      <c r="P15" s="25">
        <v>305250</v>
      </c>
      <c r="Q15" s="17">
        <f t="shared" si="2"/>
        <v>0</v>
      </c>
      <c r="R15" s="30">
        <f t="shared" si="3"/>
        <v>305250</v>
      </c>
      <c r="S15" s="30">
        <f t="shared" si="4"/>
        <v>0</v>
      </c>
      <c r="T15" s="66"/>
      <c r="U15" s="235">
        <v>0</v>
      </c>
      <c r="V15" s="234"/>
      <c r="W15" s="234"/>
      <c r="X15" s="234"/>
      <c r="Y15" s="234"/>
      <c r="Z15" s="234"/>
      <c r="AA15" s="234"/>
      <c r="AB15" s="234"/>
      <c r="AC15" s="234"/>
      <c r="AD15" s="234"/>
      <c r="AE15" s="234"/>
      <c r="AF15" s="236"/>
      <c r="AI15" s="19"/>
      <c r="AJ15" s="14"/>
      <c r="AK15" s="6"/>
      <c r="AL15" s="20"/>
      <c r="AM15" s="5"/>
    </row>
    <row r="16" spans="2:39" outlineLevel="2" x14ac:dyDescent="0.3">
      <c r="B16" s="106" t="s">
        <v>50</v>
      </c>
      <c r="C16" s="176" t="s">
        <v>55</v>
      </c>
      <c r="D16" s="52">
        <v>36928</v>
      </c>
      <c r="E16" s="8"/>
      <c r="F16" s="8"/>
      <c r="G16" s="8"/>
      <c r="H16" s="53"/>
      <c r="I16" s="6" t="s">
        <v>64</v>
      </c>
      <c r="J16" s="6" t="s">
        <v>70</v>
      </c>
      <c r="K16" s="60">
        <v>1410750</v>
      </c>
      <c r="L16" s="6"/>
      <c r="M16" s="17">
        <v>117563</v>
      </c>
      <c r="N16" s="101">
        <f t="shared" si="0"/>
        <v>0</v>
      </c>
      <c r="O16" s="102">
        <f t="shared" si="1"/>
        <v>1293187</v>
      </c>
      <c r="P16" s="25">
        <v>1293187</v>
      </c>
      <c r="Q16" s="17">
        <f t="shared" si="2"/>
        <v>0</v>
      </c>
      <c r="R16" s="30">
        <f t="shared" si="3"/>
        <v>1293187</v>
      </c>
      <c r="S16" s="30">
        <f t="shared" si="4"/>
        <v>0</v>
      </c>
      <c r="T16" s="66"/>
      <c r="U16" s="235">
        <v>0</v>
      </c>
      <c r="V16" s="234"/>
      <c r="W16" s="234"/>
      <c r="X16" s="234"/>
      <c r="Y16" s="234"/>
      <c r="Z16" s="234"/>
      <c r="AA16" s="234"/>
      <c r="AB16" s="234"/>
      <c r="AC16" s="234"/>
      <c r="AD16" s="234"/>
      <c r="AE16" s="234"/>
      <c r="AF16" s="236"/>
      <c r="AI16" s="19"/>
      <c r="AJ16" s="14"/>
      <c r="AK16" s="6"/>
      <c r="AL16" s="20"/>
      <c r="AM16" s="5"/>
    </row>
    <row r="17" spans="2:39" outlineLevel="2" x14ac:dyDescent="0.3">
      <c r="B17" s="106" t="s">
        <v>50</v>
      </c>
      <c r="C17" s="176" t="s">
        <v>55</v>
      </c>
      <c r="D17" s="52">
        <v>36865</v>
      </c>
      <c r="E17" s="8"/>
      <c r="F17" s="8"/>
      <c r="G17" s="8"/>
      <c r="H17" s="53"/>
      <c r="I17" s="6" t="s">
        <v>65</v>
      </c>
      <c r="J17" s="6" t="s">
        <v>71</v>
      </c>
      <c r="K17" s="60">
        <v>1257300</v>
      </c>
      <c r="L17" s="6"/>
      <c r="M17" s="17">
        <v>52388</v>
      </c>
      <c r="N17" s="101">
        <f t="shared" si="0"/>
        <v>0</v>
      </c>
      <c r="O17" s="102">
        <f t="shared" si="1"/>
        <v>1204912</v>
      </c>
      <c r="P17" s="25">
        <v>1204912</v>
      </c>
      <c r="Q17" s="17">
        <f t="shared" si="2"/>
        <v>0</v>
      </c>
      <c r="R17" s="30">
        <f t="shared" si="3"/>
        <v>1204912</v>
      </c>
      <c r="S17" s="30">
        <f t="shared" si="4"/>
        <v>0</v>
      </c>
      <c r="T17" s="66"/>
      <c r="U17" s="235">
        <v>0</v>
      </c>
      <c r="V17" s="234"/>
      <c r="W17" s="234"/>
      <c r="X17" s="234"/>
      <c r="Y17" s="234"/>
      <c r="Z17" s="234"/>
      <c r="AA17" s="234"/>
      <c r="AB17" s="234"/>
      <c r="AC17" s="234"/>
      <c r="AD17" s="234"/>
      <c r="AE17" s="234"/>
      <c r="AF17" s="236"/>
      <c r="AI17" s="19"/>
      <c r="AJ17" s="14"/>
      <c r="AK17" s="6"/>
      <c r="AL17" s="20"/>
      <c r="AM17" s="5"/>
    </row>
    <row r="18" spans="2:39" outlineLevel="2" x14ac:dyDescent="0.3">
      <c r="B18" s="106" t="s">
        <v>50</v>
      </c>
      <c r="C18" s="176" t="s">
        <v>55</v>
      </c>
      <c r="D18" s="52">
        <v>36532</v>
      </c>
      <c r="E18" s="8"/>
      <c r="F18" s="8"/>
      <c r="G18" s="8"/>
      <c r="H18" s="53"/>
      <c r="I18" s="6" t="s">
        <v>56</v>
      </c>
      <c r="J18" s="6" t="s">
        <v>72</v>
      </c>
      <c r="K18" s="60">
        <v>17347000</v>
      </c>
      <c r="L18" s="6"/>
      <c r="M18" s="17">
        <v>1000</v>
      </c>
      <c r="N18" s="101">
        <f t="shared" si="0"/>
        <v>0</v>
      </c>
      <c r="O18" s="102">
        <f t="shared" si="1"/>
        <v>17346000</v>
      </c>
      <c r="P18" s="25">
        <v>17346000</v>
      </c>
      <c r="Q18" s="17">
        <f t="shared" si="2"/>
        <v>0</v>
      </c>
      <c r="R18" s="30">
        <f t="shared" si="3"/>
        <v>17346000</v>
      </c>
      <c r="S18" s="30">
        <f t="shared" si="4"/>
        <v>0</v>
      </c>
      <c r="T18" s="66"/>
      <c r="U18" s="235">
        <v>0</v>
      </c>
      <c r="V18" s="234"/>
      <c r="W18" s="234"/>
      <c r="X18" s="234"/>
      <c r="Y18" s="234"/>
      <c r="Z18" s="234"/>
      <c r="AA18" s="234"/>
      <c r="AB18" s="234"/>
      <c r="AC18" s="234"/>
      <c r="AD18" s="234"/>
      <c r="AE18" s="234"/>
      <c r="AF18" s="236"/>
      <c r="AI18" s="19"/>
      <c r="AJ18" s="14"/>
      <c r="AK18" s="6"/>
      <c r="AL18" s="20"/>
      <c r="AM18" s="5"/>
    </row>
    <row r="19" spans="2:39" outlineLevel="2" x14ac:dyDescent="0.3">
      <c r="B19" s="106" t="s">
        <v>50</v>
      </c>
      <c r="C19" s="176" t="s">
        <v>55</v>
      </c>
      <c r="D19" s="52">
        <v>37110</v>
      </c>
      <c r="E19" s="8"/>
      <c r="F19" s="8"/>
      <c r="G19" s="8"/>
      <c r="H19" s="53"/>
      <c r="I19" s="6" t="s">
        <v>66</v>
      </c>
      <c r="J19" s="6" t="s">
        <v>72</v>
      </c>
      <c r="K19" s="60">
        <v>2970000</v>
      </c>
      <c r="L19" s="6"/>
      <c r="M19" s="17">
        <v>618750</v>
      </c>
      <c r="N19" s="101">
        <f t="shared" si="0"/>
        <v>0</v>
      </c>
      <c r="O19" s="102">
        <f t="shared" si="1"/>
        <v>2351250</v>
      </c>
      <c r="P19" s="25">
        <v>2351250</v>
      </c>
      <c r="Q19" s="17">
        <f t="shared" si="2"/>
        <v>0</v>
      </c>
      <c r="R19" s="30">
        <f t="shared" si="3"/>
        <v>2351250</v>
      </c>
      <c r="S19" s="30">
        <f t="shared" si="4"/>
        <v>0</v>
      </c>
      <c r="T19" s="66"/>
      <c r="U19" s="235">
        <v>0</v>
      </c>
      <c r="V19" s="234"/>
      <c r="W19" s="234"/>
      <c r="X19" s="234"/>
      <c r="Y19" s="234"/>
      <c r="Z19" s="234"/>
      <c r="AA19" s="234"/>
      <c r="AB19" s="234"/>
      <c r="AC19" s="234"/>
      <c r="AD19" s="234"/>
      <c r="AE19" s="234"/>
      <c r="AF19" s="236"/>
      <c r="AI19" s="19"/>
      <c r="AJ19" s="14"/>
      <c r="AK19" s="6"/>
      <c r="AL19" s="20"/>
      <c r="AM19" s="5"/>
    </row>
    <row r="20" spans="2:39" outlineLevel="2" x14ac:dyDescent="0.3">
      <c r="B20" s="106" t="s">
        <v>50</v>
      </c>
      <c r="C20" s="176" t="s">
        <v>55</v>
      </c>
      <c r="D20" s="52">
        <v>37113</v>
      </c>
      <c r="E20" s="8"/>
      <c r="F20" s="8"/>
      <c r="G20" s="8"/>
      <c r="H20" s="53"/>
      <c r="I20" s="6" t="s">
        <v>67</v>
      </c>
      <c r="J20" s="6" t="s">
        <v>72</v>
      </c>
      <c r="K20" s="60">
        <v>33000000</v>
      </c>
      <c r="L20" s="6"/>
      <c r="M20" s="17">
        <v>6875000</v>
      </c>
      <c r="N20" s="101">
        <f t="shared" si="0"/>
        <v>0</v>
      </c>
      <c r="O20" s="102">
        <f t="shared" si="1"/>
        <v>26125000</v>
      </c>
      <c r="P20" s="25">
        <v>26125000</v>
      </c>
      <c r="Q20" s="17">
        <f t="shared" si="2"/>
        <v>0</v>
      </c>
      <c r="R20" s="30">
        <f t="shared" si="3"/>
        <v>26125000</v>
      </c>
      <c r="S20" s="30">
        <f t="shared" si="4"/>
        <v>0</v>
      </c>
      <c r="T20" s="66"/>
      <c r="U20" s="235">
        <v>0</v>
      </c>
      <c r="V20" s="234"/>
      <c r="W20" s="234"/>
      <c r="X20" s="234"/>
      <c r="Y20" s="234"/>
      <c r="Z20" s="234"/>
      <c r="AA20" s="234"/>
      <c r="AB20" s="234"/>
      <c r="AC20" s="234"/>
      <c r="AD20" s="234"/>
      <c r="AE20" s="234"/>
      <c r="AF20" s="236"/>
      <c r="AI20" s="19"/>
      <c r="AJ20" s="14"/>
      <c r="AK20" s="6"/>
      <c r="AL20" s="20"/>
      <c r="AM20" s="5"/>
    </row>
    <row r="21" spans="2:39" outlineLevel="2" x14ac:dyDescent="0.3">
      <c r="B21" s="106" t="s">
        <v>50</v>
      </c>
      <c r="C21" s="176" t="s">
        <v>55</v>
      </c>
      <c r="D21" s="52">
        <v>39325</v>
      </c>
      <c r="E21" s="8"/>
      <c r="F21" s="8"/>
      <c r="G21" s="8"/>
      <c r="H21" s="53"/>
      <c r="I21" s="6" t="s">
        <v>68</v>
      </c>
      <c r="J21" s="6"/>
      <c r="K21" s="60">
        <v>132135300</v>
      </c>
      <c r="L21" s="6"/>
      <c r="M21" s="17">
        <v>110112750</v>
      </c>
      <c r="N21" s="101">
        <f t="shared" si="0"/>
        <v>0</v>
      </c>
      <c r="O21" s="102">
        <f t="shared" si="1"/>
        <v>22022550</v>
      </c>
      <c r="P21" s="25">
        <v>22022550</v>
      </c>
      <c r="Q21" s="17">
        <f t="shared" si="2"/>
        <v>0</v>
      </c>
      <c r="R21" s="30">
        <f t="shared" si="3"/>
        <v>22022550</v>
      </c>
      <c r="S21" s="30">
        <f t="shared" si="4"/>
        <v>0</v>
      </c>
      <c r="T21" s="66"/>
      <c r="U21" s="235">
        <v>0</v>
      </c>
      <c r="V21" s="234"/>
      <c r="W21" s="234"/>
      <c r="X21" s="234"/>
      <c r="Y21" s="234"/>
      <c r="Z21" s="234"/>
      <c r="AA21" s="234"/>
      <c r="AB21" s="234"/>
      <c r="AC21" s="234"/>
      <c r="AD21" s="234"/>
      <c r="AE21" s="234"/>
      <c r="AF21" s="236"/>
      <c r="AI21" s="19"/>
      <c r="AJ21" s="14"/>
      <c r="AK21" s="6"/>
      <c r="AL21" s="20"/>
      <c r="AM21" s="5"/>
    </row>
    <row r="22" spans="2:39" outlineLevel="2" x14ac:dyDescent="0.3">
      <c r="B22" s="106" t="s">
        <v>50</v>
      </c>
      <c r="C22" s="176" t="s">
        <v>55</v>
      </c>
      <c r="D22" s="52">
        <v>39325</v>
      </c>
      <c r="E22" s="8"/>
      <c r="F22" s="8"/>
      <c r="G22" s="8"/>
      <c r="H22" s="53"/>
      <c r="I22" s="6" t="s">
        <v>73</v>
      </c>
      <c r="J22" s="6"/>
      <c r="K22" s="60">
        <v>46200000</v>
      </c>
      <c r="L22" s="6"/>
      <c r="M22" s="17"/>
      <c r="N22" s="101">
        <f t="shared" si="0"/>
        <v>0</v>
      </c>
      <c r="O22" s="102">
        <f t="shared" si="1"/>
        <v>46200000</v>
      </c>
      <c r="P22" s="25">
        <v>46200000</v>
      </c>
      <c r="Q22" s="17">
        <f t="shared" si="2"/>
        <v>0</v>
      </c>
      <c r="R22" s="30">
        <f t="shared" si="3"/>
        <v>46200000</v>
      </c>
      <c r="S22" s="30">
        <f t="shared" si="4"/>
        <v>0</v>
      </c>
      <c r="T22" s="66"/>
      <c r="U22" s="235">
        <v>0</v>
      </c>
      <c r="V22" s="234"/>
      <c r="W22" s="234"/>
      <c r="X22" s="234"/>
      <c r="Y22" s="234"/>
      <c r="Z22" s="234"/>
      <c r="AA22" s="234"/>
      <c r="AB22" s="234"/>
      <c r="AC22" s="234"/>
      <c r="AD22" s="234"/>
      <c r="AE22" s="234"/>
      <c r="AF22" s="236"/>
      <c r="AI22" s="19"/>
      <c r="AJ22" s="14"/>
      <c r="AK22" s="6"/>
      <c r="AL22" s="20"/>
      <c r="AM22" s="5"/>
    </row>
    <row r="23" spans="2:39" x14ac:dyDescent="0.3">
      <c r="B23" s="319" t="s">
        <v>50</v>
      </c>
      <c r="C23" s="320" t="s">
        <v>55</v>
      </c>
      <c r="D23" s="321">
        <v>43404</v>
      </c>
      <c r="E23" s="304">
        <v>45657</v>
      </c>
      <c r="F23" s="304">
        <v>45657</v>
      </c>
      <c r="G23" s="322" t="s">
        <v>280</v>
      </c>
      <c r="H23" s="303" t="s">
        <v>255</v>
      </c>
      <c r="I23" s="306" t="s">
        <v>53</v>
      </c>
      <c r="J23" s="306"/>
      <c r="K23" s="307">
        <v>17570000</v>
      </c>
      <c r="L23" s="306"/>
      <c r="M23" s="309"/>
      <c r="N23" s="323">
        <f t="shared" ref="N23:N26" si="5">IF(E23&gt;0,K23,0)</f>
        <v>17570000</v>
      </c>
      <c r="O23" s="324">
        <f t="shared" ref="O23:O24" si="6">K23+L23-M23-N23</f>
        <v>0</v>
      </c>
      <c r="P23" s="307"/>
      <c r="Q23" s="309">
        <f t="shared" ref="Q23:Q26" si="7">SUM(U23:AF23)</f>
        <v>0</v>
      </c>
      <c r="R23" s="311">
        <f t="shared" si="3"/>
        <v>0</v>
      </c>
      <c r="S23" s="311">
        <f t="shared" si="4"/>
        <v>0</v>
      </c>
      <c r="T23" s="325"/>
      <c r="U23" s="235">
        <v>0</v>
      </c>
      <c r="V23" s="234"/>
      <c r="W23" s="234"/>
      <c r="X23" s="234"/>
      <c r="Y23" s="234"/>
      <c r="Z23" s="234"/>
      <c r="AA23" s="234"/>
      <c r="AB23" s="234"/>
      <c r="AC23" s="234"/>
      <c r="AD23" s="234"/>
      <c r="AE23" s="234"/>
      <c r="AF23" s="236"/>
      <c r="AI23" s="19"/>
      <c r="AJ23" s="66"/>
      <c r="AK23" s="6"/>
      <c r="AL23" s="20"/>
      <c r="AM23" s="5"/>
    </row>
    <row r="24" spans="2:39" x14ac:dyDescent="0.3">
      <c r="B24" s="269" t="s">
        <v>50</v>
      </c>
      <c r="C24" s="270" t="s">
        <v>55</v>
      </c>
      <c r="D24" s="271">
        <v>43419</v>
      </c>
      <c r="E24" s="272"/>
      <c r="F24" s="272"/>
      <c r="G24" s="272" t="s">
        <v>254</v>
      </c>
      <c r="H24" s="273" t="s">
        <v>255</v>
      </c>
      <c r="I24" s="274" t="s">
        <v>54</v>
      </c>
      <c r="J24" s="274"/>
      <c r="K24" s="275">
        <v>700000</v>
      </c>
      <c r="L24" s="274"/>
      <c r="M24" s="276"/>
      <c r="N24" s="277">
        <f t="shared" si="5"/>
        <v>0</v>
      </c>
      <c r="O24" s="278">
        <f t="shared" si="6"/>
        <v>700000</v>
      </c>
      <c r="P24" s="275">
        <v>699000</v>
      </c>
      <c r="Q24" s="276">
        <f t="shared" si="7"/>
        <v>0</v>
      </c>
      <c r="R24" s="279">
        <f t="shared" si="3"/>
        <v>699000</v>
      </c>
      <c r="S24" s="279">
        <f t="shared" si="4"/>
        <v>1000</v>
      </c>
      <c r="T24" s="325"/>
      <c r="U24" s="235">
        <v>0</v>
      </c>
      <c r="V24" s="316"/>
      <c r="W24" s="234"/>
      <c r="X24" s="234"/>
      <c r="Y24" s="234"/>
      <c r="Z24" s="234"/>
      <c r="AA24" s="234"/>
      <c r="AB24" s="234"/>
      <c r="AC24" s="234"/>
      <c r="AD24" s="234"/>
      <c r="AE24" s="234"/>
      <c r="AF24" s="236"/>
      <c r="AI24" s="19"/>
      <c r="AJ24" s="66"/>
      <c r="AK24" s="6"/>
      <c r="AL24" s="20"/>
      <c r="AM24" s="5"/>
    </row>
    <row r="25" spans="2:39" x14ac:dyDescent="0.3">
      <c r="B25" s="326">
        <v>1</v>
      </c>
      <c r="C25" s="176" t="s">
        <v>55</v>
      </c>
      <c r="D25" s="327">
        <v>44365</v>
      </c>
      <c r="E25" s="315"/>
      <c r="F25" s="315"/>
      <c r="G25" s="315" t="s">
        <v>250</v>
      </c>
      <c r="H25" s="328" t="s">
        <v>251</v>
      </c>
      <c r="I25" s="130" t="s">
        <v>245</v>
      </c>
      <c r="J25" s="130" t="s">
        <v>8</v>
      </c>
      <c r="K25" s="104">
        <v>550000</v>
      </c>
      <c r="L25" s="130"/>
      <c r="M25" s="166"/>
      <c r="N25" s="329">
        <f t="shared" si="5"/>
        <v>0</v>
      </c>
      <c r="O25" s="330">
        <f t="shared" ref="O25:O26" si="8">K25+L25-M25-N25</f>
        <v>550000</v>
      </c>
      <c r="P25" s="104">
        <v>549000</v>
      </c>
      <c r="Q25" s="166">
        <f t="shared" si="7"/>
        <v>0</v>
      </c>
      <c r="R25" s="167">
        <f t="shared" si="3"/>
        <v>549000</v>
      </c>
      <c r="S25" s="167">
        <f t="shared" si="4"/>
        <v>1000</v>
      </c>
      <c r="T25" s="325"/>
      <c r="U25" s="235">
        <v>0</v>
      </c>
      <c r="V25" s="316"/>
      <c r="W25" s="316"/>
      <c r="X25" s="316"/>
      <c r="Y25" s="316"/>
      <c r="Z25" s="316"/>
      <c r="AA25" s="234"/>
      <c r="AB25" s="234"/>
      <c r="AC25" s="234"/>
      <c r="AD25" s="234"/>
      <c r="AE25" s="234"/>
      <c r="AF25" s="236"/>
      <c r="AI25" s="19"/>
      <c r="AJ25" s="66"/>
      <c r="AK25" s="6"/>
      <c r="AL25" s="20"/>
      <c r="AM25" s="5"/>
    </row>
    <row r="26" spans="2:39" x14ac:dyDescent="0.3">
      <c r="B26" s="326">
        <f t="shared" ref="B26:B29" si="9">B25+1</f>
        <v>2</v>
      </c>
      <c r="C26" s="176" t="s">
        <v>55</v>
      </c>
      <c r="D26" s="327">
        <v>44365</v>
      </c>
      <c r="E26" s="315"/>
      <c r="F26" s="315"/>
      <c r="G26" s="315" t="s">
        <v>250</v>
      </c>
      <c r="H26" s="328" t="s">
        <v>251</v>
      </c>
      <c r="I26" s="130" t="s">
        <v>246</v>
      </c>
      <c r="J26" s="130" t="s">
        <v>8</v>
      </c>
      <c r="K26" s="104">
        <v>9900000</v>
      </c>
      <c r="L26" s="130"/>
      <c r="M26" s="166"/>
      <c r="N26" s="329">
        <f t="shared" si="5"/>
        <v>0</v>
      </c>
      <c r="O26" s="330">
        <f t="shared" si="8"/>
        <v>9900000</v>
      </c>
      <c r="P26" s="104">
        <v>9899000</v>
      </c>
      <c r="Q26" s="166">
        <f t="shared" si="7"/>
        <v>0</v>
      </c>
      <c r="R26" s="167">
        <f t="shared" si="3"/>
        <v>9899000</v>
      </c>
      <c r="S26" s="167">
        <f t="shared" si="4"/>
        <v>1000</v>
      </c>
      <c r="T26" s="325"/>
      <c r="U26" s="235">
        <v>0</v>
      </c>
      <c r="V26" s="316"/>
      <c r="W26" s="316"/>
      <c r="X26" s="316"/>
      <c r="Y26" s="316"/>
      <c r="Z26" s="316"/>
      <c r="AA26" s="234"/>
      <c r="AB26" s="234"/>
      <c r="AC26" s="234"/>
      <c r="AD26" s="234"/>
      <c r="AE26" s="234"/>
      <c r="AF26" s="236"/>
      <c r="AI26" s="19"/>
      <c r="AJ26" s="66"/>
      <c r="AK26" s="6"/>
      <c r="AL26" s="20"/>
      <c r="AM26" s="5"/>
    </row>
    <row r="27" spans="2:39" x14ac:dyDescent="0.3">
      <c r="B27" s="326">
        <f t="shared" si="9"/>
        <v>3</v>
      </c>
      <c r="C27" s="176" t="s">
        <v>55</v>
      </c>
      <c r="D27" s="327">
        <v>45065</v>
      </c>
      <c r="E27" s="315"/>
      <c r="F27" s="315"/>
      <c r="G27" s="315" t="s">
        <v>250</v>
      </c>
      <c r="H27" s="328" t="s">
        <v>251</v>
      </c>
      <c r="I27" s="331" t="s">
        <v>174</v>
      </c>
      <c r="J27" s="130" t="s">
        <v>8</v>
      </c>
      <c r="K27" s="104">
        <v>7682400</v>
      </c>
      <c r="L27" s="130"/>
      <c r="M27" s="166"/>
      <c r="N27" s="329">
        <f t="shared" ref="N27:N30" si="10">IF(E27&gt;0,K27,0)</f>
        <v>0</v>
      </c>
      <c r="O27" s="330">
        <f t="shared" ref="O27:O30" si="11">K27+L27-M27-N27</f>
        <v>7682400</v>
      </c>
      <c r="P27" s="104">
        <v>5121600</v>
      </c>
      <c r="Q27" s="166">
        <f t="shared" ref="Q27:Q30" si="12">SUM(U27:AF27)</f>
        <v>640200</v>
      </c>
      <c r="R27" s="167">
        <f t="shared" si="3"/>
        <v>5761800</v>
      </c>
      <c r="S27" s="167">
        <f t="shared" si="4"/>
        <v>1920600</v>
      </c>
      <c r="T27" s="325"/>
      <c r="U27" s="235">
        <f t="shared" ref="U27:X30" si="13">INT($O27/$E$4)</f>
        <v>160050</v>
      </c>
      <c r="V27" s="234">
        <f t="shared" si="13"/>
        <v>160050</v>
      </c>
      <c r="W27" s="234">
        <f t="shared" si="13"/>
        <v>160050</v>
      </c>
      <c r="X27" s="234">
        <f t="shared" si="13"/>
        <v>160050</v>
      </c>
      <c r="Y27" s="316"/>
      <c r="Z27" s="316"/>
      <c r="AA27" s="316"/>
      <c r="AB27" s="316"/>
      <c r="AC27" s="316"/>
      <c r="AD27" s="316"/>
      <c r="AE27" s="316"/>
      <c r="AF27" s="316"/>
      <c r="AI27" s="19"/>
      <c r="AJ27" s="66"/>
      <c r="AK27" s="6"/>
      <c r="AL27" s="20"/>
      <c r="AM27" s="5"/>
    </row>
    <row r="28" spans="2:39" x14ac:dyDescent="0.3">
      <c r="B28" s="326">
        <f t="shared" si="9"/>
        <v>4</v>
      </c>
      <c r="C28" s="176" t="s">
        <v>55</v>
      </c>
      <c r="D28" s="327">
        <v>45071</v>
      </c>
      <c r="E28" s="315"/>
      <c r="F28" s="315"/>
      <c r="G28" s="315" t="s">
        <v>250</v>
      </c>
      <c r="H28" s="328" t="s">
        <v>251</v>
      </c>
      <c r="I28" s="331" t="s">
        <v>175</v>
      </c>
      <c r="J28" s="130" t="s">
        <v>8</v>
      </c>
      <c r="K28" s="104">
        <v>12386000</v>
      </c>
      <c r="L28" s="130"/>
      <c r="M28" s="166"/>
      <c r="N28" s="329">
        <f t="shared" si="10"/>
        <v>0</v>
      </c>
      <c r="O28" s="330">
        <f t="shared" si="11"/>
        <v>12386000</v>
      </c>
      <c r="P28" s="104">
        <v>8257312</v>
      </c>
      <c r="Q28" s="166">
        <f t="shared" si="12"/>
        <v>1032164</v>
      </c>
      <c r="R28" s="167">
        <f t="shared" si="3"/>
        <v>9289476</v>
      </c>
      <c r="S28" s="167">
        <f t="shared" si="4"/>
        <v>3096524</v>
      </c>
      <c r="T28" s="325"/>
      <c r="U28" s="235">
        <f t="shared" si="13"/>
        <v>258041</v>
      </c>
      <c r="V28" s="234">
        <f t="shared" si="13"/>
        <v>258041</v>
      </c>
      <c r="W28" s="234">
        <f t="shared" si="13"/>
        <v>258041</v>
      </c>
      <c r="X28" s="234">
        <f t="shared" si="13"/>
        <v>258041</v>
      </c>
      <c r="Y28" s="316"/>
      <c r="Z28" s="316"/>
      <c r="AA28" s="316"/>
      <c r="AB28" s="316"/>
      <c r="AC28" s="316"/>
      <c r="AD28" s="316"/>
      <c r="AE28" s="316"/>
      <c r="AF28" s="316"/>
      <c r="AI28" s="19"/>
      <c r="AJ28" s="66"/>
      <c r="AK28" s="6"/>
      <c r="AL28" s="20"/>
      <c r="AM28" s="5"/>
    </row>
    <row r="29" spans="2:39" x14ac:dyDescent="0.3">
      <c r="B29" s="326">
        <f t="shared" si="9"/>
        <v>5</v>
      </c>
      <c r="C29" s="176" t="s">
        <v>55</v>
      </c>
      <c r="D29" s="327">
        <v>45077</v>
      </c>
      <c r="E29" s="315"/>
      <c r="F29" s="315"/>
      <c r="G29" s="315" t="s">
        <v>250</v>
      </c>
      <c r="H29" s="328" t="s">
        <v>251</v>
      </c>
      <c r="I29" s="331" t="s">
        <v>176</v>
      </c>
      <c r="J29" s="130" t="s">
        <v>8</v>
      </c>
      <c r="K29" s="104">
        <v>24101000</v>
      </c>
      <c r="L29" s="130"/>
      <c r="M29" s="166"/>
      <c r="N29" s="329">
        <f t="shared" si="10"/>
        <v>0</v>
      </c>
      <c r="O29" s="330">
        <f t="shared" si="11"/>
        <v>24101000</v>
      </c>
      <c r="P29" s="104">
        <v>16067328</v>
      </c>
      <c r="Q29" s="166">
        <f t="shared" si="12"/>
        <v>2008416</v>
      </c>
      <c r="R29" s="167">
        <f t="shared" si="3"/>
        <v>18075744</v>
      </c>
      <c r="S29" s="167">
        <f t="shared" si="4"/>
        <v>6025256</v>
      </c>
      <c r="T29" s="325"/>
      <c r="U29" s="235">
        <f t="shared" si="13"/>
        <v>502104</v>
      </c>
      <c r="V29" s="234">
        <f t="shared" si="13"/>
        <v>502104</v>
      </c>
      <c r="W29" s="234">
        <f t="shared" si="13"/>
        <v>502104</v>
      </c>
      <c r="X29" s="234">
        <f t="shared" si="13"/>
        <v>502104</v>
      </c>
      <c r="Y29" s="316"/>
      <c r="Z29" s="316"/>
      <c r="AA29" s="316"/>
      <c r="AB29" s="316"/>
      <c r="AC29" s="316"/>
      <c r="AD29" s="316"/>
      <c r="AE29" s="316"/>
      <c r="AF29" s="316"/>
      <c r="AI29" s="19"/>
      <c r="AJ29" s="66"/>
      <c r="AK29" s="6"/>
      <c r="AL29" s="20"/>
      <c r="AM29" s="5"/>
    </row>
    <row r="30" spans="2:39" x14ac:dyDescent="0.3">
      <c r="B30" s="326">
        <v>6</v>
      </c>
      <c r="C30" s="176" t="s">
        <v>284</v>
      </c>
      <c r="D30" s="327">
        <v>45657</v>
      </c>
      <c r="E30" s="315"/>
      <c r="F30" s="315"/>
      <c r="G30" s="315" t="s">
        <v>283</v>
      </c>
      <c r="H30" s="297" t="s">
        <v>285</v>
      </c>
      <c r="I30" s="331" t="s">
        <v>288</v>
      </c>
      <c r="J30" s="331" t="s">
        <v>286</v>
      </c>
      <c r="K30" s="104">
        <v>8580000</v>
      </c>
      <c r="L30" s="130"/>
      <c r="M30" s="166"/>
      <c r="N30" s="27">
        <f t="shared" si="10"/>
        <v>0</v>
      </c>
      <c r="O30" s="330">
        <f t="shared" si="11"/>
        <v>8580000</v>
      </c>
      <c r="P30" s="104">
        <v>2323750</v>
      </c>
      <c r="Q30" s="166">
        <f t="shared" si="12"/>
        <v>715000</v>
      </c>
      <c r="R30" s="167">
        <f t="shared" si="3"/>
        <v>3038750</v>
      </c>
      <c r="S30" s="167">
        <f t="shared" si="4"/>
        <v>5541250</v>
      </c>
      <c r="T30" s="325"/>
      <c r="U30" s="336">
        <f t="shared" si="13"/>
        <v>178750</v>
      </c>
      <c r="V30" s="26">
        <f t="shared" si="13"/>
        <v>178750</v>
      </c>
      <c r="W30" s="26">
        <f t="shared" si="13"/>
        <v>178750</v>
      </c>
      <c r="X30" s="26">
        <f t="shared" si="13"/>
        <v>178750</v>
      </c>
      <c r="Y30" s="364"/>
      <c r="Z30" s="364"/>
      <c r="AA30" s="364"/>
      <c r="AB30" s="364"/>
      <c r="AC30" s="364"/>
      <c r="AD30" s="364"/>
      <c r="AE30" s="364"/>
      <c r="AF30" s="364"/>
      <c r="AI30" s="19"/>
      <c r="AJ30" s="66"/>
      <c r="AK30" s="6"/>
      <c r="AL30" s="20"/>
      <c r="AM30" s="5"/>
    </row>
    <row r="31" spans="2:39" ht="14.25" thickBot="1" x14ac:dyDescent="0.35">
      <c r="B31" s="326"/>
      <c r="C31" s="175"/>
      <c r="D31" s="332"/>
      <c r="E31" s="333"/>
      <c r="F31" s="333"/>
      <c r="G31" s="333"/>
      <c r="H31" s="297"/>
      <c r="I31" s="331"/>
      <c r="J31" s="331"/>
      <c r="K31" s="104"/>
      <c r="L31" s="130"/>
      <c r="M31" s="166"/>
      <c r="N31" s="331"/>
      <c r="O31" s="330"/>
      <c r="P31" s="104"/>
      <c r="Q31" s="334"/>
      <c r="R31" s="167"/>
      <c r="S31" s="167"/>
      <c r="T31" s="331"/>
      <c r="U31" s="335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167"/>
      <c r="AI31" s="19"/>
      <c r="AJ31" s="66"/>
      <c r="AK31" s="6"/>
      <c r="AL31" s="20"/>
      <c r="AM31" s="5"/>
    </row>
    <row r="32" spans="2:39" s="2" customFormat="1" ht="19.5" customHeight="1" collapsed="1" thickBot="1" x14ac:dyDescent="0.35">
      <c r="B32" s="400" t="s">
        <v>51</v>
      </c>
      <c r="C32" s="401"/>
      <c r="D32" s="401"/>
      <c r="E32" s="401"/>
      <c r="F32" s="401"/>
      <c r="G32" s="401"/>
      <c r="H32" s="401"/>
      <c r="I32" s="401"/>
      <c r="J32" s="10"/>
      <c r="K32" s="63">
        <f t="shared" ref="K32:S32" si="14">SUM(K7:K31)</f>
        <v>447969600</v>
      </c>
      <c r="L32" s="36">
        <f t="shared" si="14"/>
        <v>0</v>
      </c>
      <c r="M32" s="37">
        <f t="shared" si="14"/>
        <v>137366271</v>
      </c>
      <c r="N32" s="11">
        <f t="shared" si="14"/>
        <v>17570000</v>
      </c>
      <c r="O32" s="64">
        <f t="shared" si="14"/>
        <v>293033329</v>
      </c>
      <c r="P32" s="63">
        <f t="shared" si="14"/>
        <v>272050919</v>
      </c>
      <c r="Q32" s="36">
        <f t="shared" si="14"/>
        <v>4395780</v>
      </c>
      <c r="R32" s="35">
        <f t="shared" si="14"/>
        <v>276446699</v>
      </c>
      <c r="S32" s="65">
        <f t="shared" si="14"/>
        <v>16586630</v>
      </c>
      <c r="T32" s="14"/>
      <c r="U32" s="100">
        <f t="shared" ref="U32:AF32" si="15">SUM(U7:U31)</f>
        <v>1098945</v>
      </c>
      <c r="V32" s="85">
        <f t="shared" si="15"/>
        <v>1098945</v>
      </c>
      <c r="W32" s="85">
        <f t="shared" si="15"/>
        <v>1098945</v>
      </c>
      <c r="X32" s="85">
        <f t="shared" si="15"/>
        <v>1098945</v>
      </c>
      <c r="Y32" s="85">
        <f t="shared" si="15"/>
        <v>0</v>
      </c>
      <c r="Z32" s="85">
        <f t="shared" si="15"/>
        <v>0</v>
      </c>
      <c r="AA32" s="85">
        <f t="shared" si="15"/>
        <v>0</v>
      </c>
      <c r="AB32" s="85">
        <f t="shared" si="15"/>
        <v>0</v>
      </c>
      <c r="AC32" s="85">
        <f t="shared" si="15"/>
        <v>0</v>
      </c>
      <c r="AD32" s="85">
        <f t="shared" si="15"/>
        <v>0</v>
      </c>
      <c r="AE32" s="85">
        <f t="shared" si="15"/>
        <v>0</v>
      </c>
      <c r="AF32" s="92">
        <f t="shared" si="15"/>
        <v>0</v>
      </c>
      <c r="AG32" s="1"/>
      <c r="AI32" s="40">
        <v>4061183229</v>
      </c>
      <c r="AJ32" s="43">
        <v>3938001494</v>
      </c>
      <c r="AK32" s="45">
        <f>AI32-O32</f>
        <v>3768149900</v>
      </c>
      <c r="AL32" s="41">
        <f>AJ32-R32</f>
        <v>3661554795</v>
      </c>
    </row>
    <row r="37" spans="15:15" x14ac:dyDescent="0.3">
      <c r="O37" s="90"/>
    </row>
    <row r="38" spans="15:15" x14ac:dyDescent="0.3">
      <c r="O38" s="90"/>
    </row>
    <row r="41" spans="15:15" x14ac:dyDescent="0.3">
      <c r="O41" s="105"/>
    </row>
  </sheetData>
  <autoFilter ref="B5:S29">
    <filterColumn colId="9" showButton="0"/>
    <filterColumn colId="10" showButton="0"/>
    <filterColumn colId="11" showButton="0"/>
    <filterColumn colId="12" showButton="0"/>
    <filterColumn colId="14" showButton="0"/>
    <filterColumn colId="15" showButton="0"/>
  </autoFilter>
  <mergeCells count="14">
    <mergeCell ref="AI5:AL5"/>
    <mergeCell ref="B32:I32"/>
    <mergeCell ref="B5:B6"/>
    <mergeCell ref="K5:O5"/>
    <mergeCell ref="P5:R5"/>
    <mergeCell ref="S5:S6"/>
    <mergeCell ref="C5:C6"/>
    <mergeCell ref="D5:D6"/>
    <mergeCell ref="E5:E6"/>
    <mergeCell ref="F5:F6"/>
    <mergeCell ref="G5:G6"/>
    <mergeCell ref="H5:H6"/>
    <mergeCell ref="I5:I6"/>
    <mergeCell ref="U5:AF5"/>
  </mergeCells>
  <phoneticPr fontId="2" type="noConversion"/>
  <pageMargins left="0.70866141732283472" right="0.70866141732283472" top="0.74803149606299213" bottom="0.74803149606299213" header="0.31496062992125984" footer="0.31496062992125984"/>
  <pageSetup paperSize="9" scale="23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"/>
  <sheetViews>
    <sheetView workbookViewId="0">
      <selection activeCell="K35" sqref="K35"/>
    </sheetView>
  </sheetViews>
  <sheetFormatPr defaultRowHeight="16.5" x14ac:dyDescent="0.3"/>
  <sheetData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2:AM35"/>
  <sheetViews>
    <sheetView view="pageBreakPreview" zoomScale="80" zoomScaleNormal="80" zoomScaleSheetLayoutView="80" workbookViewId="0">
      <pane xSplit="9" ySplit="6" topLeftCell="S7" activePane="bottomRight" state="frozen"/>
      <selection pane="topRight" activeCell="G1" sqref="G1"/>
      <selection pane="bottomLeft" activeCell="A7" sqref="A7"/>
      <selection pane="bottomRight" activeCell="S12" sqref="S12"/>
    </sheetView>
  </sheetViews>
  <sheetFormatPr defaultRowHeight="13.5" outlineLevelRow="1" outlineLevelCol="1" x14ac:dyDescent="0.3"/>
  <cols>
    <col min="1" max="1" width="3.5" style="1" customWidth="1"/>
    <col min="2" max="2" width="8" style="1" bestFit="1" customWidth="1"/>
    <col min="3" max="3" width="9.875" style="1" customWidth="1"/>
    <col min="4" max="4" width="11" style="3" bestFit="1" customWidth="1"/>
    <col min="5" max="5" width="10.875" style="3" bestFit="1" customWidth="1"/>
    <col min="6" max="6" width="10.375" style="3" customWidth="1"/>
    <col min="7" max="7" width="15.125" style="3" customWidth="1"/>
    <col min="8" max="8" width="10.125" style="3" customWidth="1"/>
    <col min="9" max="9" width="77.625" style="1" customWidth="1"/>
    <col min="10" max="10" width="14.125" style="1" customWidth="1"/>
    <col min="11" max="11" width="14.25" style="34" bestFit="1" customWidth="1"/>
    <col min="12" max="12" width="10.25" style="1" customWidth="1" outlineLevel="1"/>
    <col min="13" max="13" width="13.25" style="34" customWidth="1" outlineLevel="1"/>
    <col min="14" max="14" width="14.5" style="1" bestFit="1" customWidth="1" outlineLevel="1"/>
    <col min="15" max="15" width="14.25" style="1" bestFit="1" customWidth="1"/>
    <col min="16" max="16" width="14.25" style="34" customWidth="1"/>
    <col min="17" max="17" width="18" style="1" bestFit="1" customWidth="1"/>
    <col min="18" max="18" width="16" style="1" customWidth="1"/>
    <col min="19" max="19" width="14.375" style="1" customWidth="1"/>
    <col min="20" max="20" width="17.75" style="1" customWidth="1"/>
    <col min="21" max="32" width="12.75" style="1" customWidth="1"/>
    <col min="33" max="33" width="4.25" style="1" customWidth="1"/>
    <col min="34" max="34" width="2" style="1" customWidth="1"/>
    <col min="35" max="35" width="13.75" style="1" bestFit="1" customWidth="1"/>
    <col min="36" max="36" width="12.375" style="1" customWidth="1"/>
    <col min="37" max="37" width="14.125" style="1" bestFit="1" customWidth="1"/>
    <col min="38" max="38" width="13" style="1" bestFit="1" customWidth="1"/>
    <col min="39" max="39" width="11.5" style="1" bestFit="1" customWidth="1"/>
    <col min="40" max="16384" width="9" style="1"/>
  </cols>
  <sheetData>
    <row r="2" spans="2:39" ht="20.25" x14ac:dyDescent="0.3">
      <c r="B2" s="72" t="s">
        <v>157</v>
      </c>
    </row>
    <row r="3" spans="2:39" x14ac:dyDescent="0.3">
      <c r="B3" s="1" t="s">
        <v>23</v>
      </c>
      <c r="D3" s="46">
        <f>시설장치!D3</f>
        <v>46142</v>
      </c>
    </row>
    <row r="4" spans="2:39" ht="14.25" thickBot="1" x14ac:dyDescent="0.35">
      <c r="C4" s="1" t="s">
        <v>19</v>
      </c>
      <c r="D4" s="4" t="s">
        <v>18</v>
      </c>
      <c r="E4" s="1">
        <v>48</v>
      </c>
      <c r="F4" s="1"/>
      <c r="G4" s="1"/>
      <c r="H4" s="1"/>
      <c r="P4" s="3" t="s">
        <v>290</v>
      </c>
      <c r="Q4" s="3" t="s">
        <v>316</v>
      </c>
      <c r="S4" s="3" t="s">
        <v>316</v>
      </c>
    </row>
    <row r="5" spans="2:39" ht="16.5" customHeight="1" thickBot="1" x14ac:dyDescent="0.35">
      <c r="B5" s="405" t="s">
        <v>11</v>
      </c>
      <c r="C5" s="201"/>
      <c r="D5" s="201"/>
      <c r="E5" s="202"/>
      <c r="F5" s="186"/>
      <c r="G5" s="193"/>
      <c r="H5" s="186"/>
      <c r="I5" s="201"/>
      <c r="J5" s="188"/>
      <c r="K5" s="405" t="s">
        <v>4</v>
      </c>
      <c r="L5" s="407"/>
      <c r="M5" s="407"/>
      <c r="N5" s="407"/>
      <c r="O5" s="408"/>
      <c r="P5" s="405" t="s">
        <v>16</v>
      </c>
      <c r="Q5" s="407"/>
      <c r="R5" s="408"/>
      <c r="S5" s="409" t="s">
        <v>17</v>
      </c>
      <c r="T5" s="14"/>
      <c r="U5" s="402" t="s">
        <v>276</v>
      </c>
      <c r="V5" s="403"/>
      <c r="W5" s="403"/>
      <c r="X5" s="403"/>
      <c r="Y5" s="403"/>
      <c r="Z5" s="403"/>
      <c r="AA5" s="403"/>
      <c r="AB5" s="403"/>
      <c r="AC5" s="403"/>
      <c r="AD5" s="403"/>
      <c r="AE5" s="403"/>
      <c r="AF5" s="404"/>
      <c r="AI5" s="402" t="s">
        <v>20</v>
      </c>
      <c r="AJ5" s="403"/>
      <c r="AK5" s="403"/>
      <c r="AL5" s="404"/>
    </row>
    <row r="6" spans="2:39" ht="30" customHeight="1" thickBot="1" x14ac:dyDescent="0.35">
      <c r="B6" s="406"/>
      <c r="C6" s="203" t="s">
        <v>0</v>
      </c>
      <c r="D6" s="203" t="s">
        <v>133</v>
      </c>
      <c r="E6" s="204" t="s">
        <v>15</v>
      </c>
      <c r="F6" s="205" t="s">
        <v>249</v>
      </c>
      <c r="G6" s="206" t="s">
        <v>248</v>
      </c>
      <c r="H6" s="205" t="s">
        <v>247</v>
      </c>
      <c r="I6" s="204" t="s">
        <v>2</v>
      </c>
      <c r="J6" s="188" t="s">
        <v>3</v>
      </c>
      <c r="K6" s="67" t="s">
        <v>13</v>
      </c>
      <c r="L6" s="51" t="s">
        <v>12</v>
      </c>
      <c r="M6" s="48" t="s">
        <v>5</v>
      </c>
      <c r="N6" s="55" t="s">
        <v>14</v>
      </c>
      <c r="O6" s="59" t="s">
        <v>1</v>
      </c>
      <c r="P6" s="67" t="s">
        <v>239</v>
      </c>
      <c r="Q6" s="12" t="s">
        <v>240</v>
      </c>
      <c r="R6" s="59" t="s">
        <v>16</v>
      </c>
      <c r="S6" s="410"/>
      <c r="T6" s="14"/>
      <c r="U6" s="220" t="s">
        <v>306</v>
      </c>
      <c r="V6" s="221" t="s">
        <v>307</v>
      </c>
      <c r="W6" s="221" t="s">
        <v>308</v>
      </c>
      <c r="X6" s="221" t="s">
        <v>309</v>
      </c>
      <c r="Y6" s="221" t="s">
        <v>310</v>
      </c>
      <c r="Z6" s="221" t="s">
        <v>311</v>
      </c>
      <c r="AA6" s="221" t="s">
        <v>312</v>
      </c>
      <c r="AB6" s="221" t="s">
        <v>313</v>
      </c>
      <c r="AC6" s="221" t="s">
        <v>314</v>
      </c>
      <c r="AD6" s="221" t="s">
        <v>303</v>
      </c>
      <c r="AE6" s="221" t="s">
        <v>304</v>
      </c>
      <c r="AF6" s="222" t="s">
        <v>305</v>
      </c>
      <c r="AI6" s="38" t="s">
        <v>82</v>
      </c>
      <c r="AJ6" s="42" t="s">
        <v>103</v>
      </c>
      <c r="AK6" s="44" t="s">
        <v>104</v>
      </c>
      <c r="AL6" s="39" t="s">
        <v>105</v>
      </c>
    </row>
    <row r="7" spans="2:39" outlineLevel="1" x14ac:dyDescent="0.3">
      <c r="B7" s="13">
        <v>1</v>
      </c>
      <c r="C7" s="57" t="s">
        <v>82</v>
      </c>
      <c r="D7" s="8">
        <v>39325</v>
      </c>
      <c r="E7" s="8"/>
      <c r="F7" s="8"/>
      <c r="G7" s="53" t="s">
        <v>250</v>
      </c>
      <c r="H7" s="52" t="s">
        <v>251</v>
      </c>
      <c r="I7" s="6" t="s">
        <v>83</v>
      </c>
      <c r="J7" s="6" t="s">
        <v>76</v>
      </c>
      <c r="K7" s="60">
        <v>17675000</v>
      </c>
      <c r="L7" s="6"/>
      <c r="M7" s="17"/>
      <c r="N7" s="101">
        <f t="shared" ref="N7:N9" si="0">IF(F7&gt;0,K7,0)</f>
        <v>0</v>
      </c>
      <c r="O7" s="61">
        <f t="shared" ref="O7" si="1">K7+L7-M7-N7</f>
        <v>17675000</v>
      </c>
      <c r="P7" s="25">
        <v>17674000</v>
      </c>
      <c r="Q7" s="17">
        <f t="shared" ref="Q7:Q9" si="2">SUM(U7:AF7)</f>
        <v>0</v>
      </c>
      <c r="R7" s="30">
        <f t="shared" ref="R7" si="3">P7+Q7</f>
        <v>17674000</v>
      </c>
      <c r="S7" s="30">
        <f t="shared" ref="S7:S9" si="4">IF(N7&gt;0,O7,O7-R7)</f>
        <v>1000</v>
      </c>
      <c r="T7" s="66"/>
      <c r="U7" s="235"/>
      <c r="V7" s="234"/>
      <c r="W7" s="234"/>
      <c r="X7" s="234"/>
      <c r="Y7" s="234"/>
      <c r="Z7" s="234"/>
      <c r="AA7" s="234"/>
      <c r="AB7" s="234"/>
      <c r="AC7" s="234"/>
      <c r="AD7" s="234"/>
      <c r="AE7" s="234"/>
      <c r="AF7" s="236"/>
      <c r="AI7" s="19"/>
      <c r="AJ7" s="14"/>
      <c r="AK7" s="6"/>
      <c r="AL7" s="20"/>
      <c r="AM7" s="5"/>
    </row>
    <row r="8" spans="2:39" outlineLevel="1" x14ac:dyDescent="0.3">
      <c r="B8" s="13">
        <f>B7+1</f>
        <v>2</v>
      </c>
      <c r="C8" s="57" t="s">
        <v>82</v>
      </c>
      <c r="D8" s="70">
        <v>39673</v>
      </c>
      <c r="E8" s="9"/>
      <c r="F8" s="9"/>
      <c r="G8" s="173" t="s">
        <v>250</v>
      </c>
      <c r="H8" s="47" t="s">
        <v>251</v>
      </c>
      <c r="I8" s="6" t="s">
        <v>84</v>
      </c>
      <c r="J8" s="6"/>
      <c r="K8" s="25">
        <v>41426000</v>
      </c>
      <c r="L8" s="6"/>
      <c r="M8" s="17"/>
      <c r="N8" s="101">
        <f t="shared" si="0"/>
        <v>0</v>
      </c>
      <c r="O8" s="61">
        <f t="shared" ref="O8:O14" si="5">K8+L8-M8-N8</f>
        <v>41426000</v>
      </c>
      <c r="P8" s="25">
        <v>41425000</v>
      </c>
      <c r="Q8" s="17">
        <f t="shared" si="2"/>
        <v>0</v>
      </c>
      <c r="R8" s="30">
        <f t="shared" ref="R8:R14" si="6">P8+Q8</f>
        <v>41425000</v>
      </c>
      <c r="S8" s="30">
        <f t="shared" si="4"/>
        <v>1000</v>
      </c>
      <c r="T8" s="66"/>
      <c r="U8" s="235"/>
      <c r="V8" s="234"/>
      <c r="W8" s="234"/>
      <c r="X8" s="234"/>
      <c r="Y8" s="234"/>
      <c r="Z8" s="234"/>
      <c r="AA8" s="234"/>
      <c r="AB8" s="234"/>
      <c r="AC8" s="234"/>
      <c r="AD8" s="234"/>
      <c r="AE8" s="234"/>
      <c r="AF8" s="236"/>
      <c r="AI8" s="19"/>
      <c r="AJ8" s="14"/>
      <c r="AK8" s="6"/>
      <c r="AL8" s="20"/>
      <c r="AM8" s="5"/>
    </row>
    <row r="9" spans="2:39" outlineLevel="1" x14ac:dyDescent="0.3">
      <c r="B9" s="13">
        <f t="shared" ref="B9:B27" si="7">B8+1</f>
        <v>3</v>
      </c>
      <c r="C9" s="57" t="s">
        <v>82</v>
      </c>
      <c r="D9" s="70">
        <v>39721</v>
      </c>
      <c r="E9" s="9"/>
      <c r="F9" s="9"/>
      <c r="G9" s="173" t="s">
        <v>250</v>
      </c>
      <c r="H9" s="47" t="s">
        <v>251</v>
      </c>
      <c r="I9" s="6" t="s">
        <v>85</v>
      </c>
      <c r="J9" s="6" t="s">
        <v>81</v>
      </c>
      <c r="K9" s="25">
        <v>1320000</v>
      </c>
      <c r="L9" s="6"/>
      <c r="M9" s="17"/>
      <c r="N9" s="101">
        <f t="shared" si="0"/>
        <v>0</v>
      </c>
      <c r="O9" s="61">
        <f t="shared" si="5"/>
        <v>1320000</v>
      </c>
      <c r="P9" s="25">
        <v>1319000</v>
      </c>
      <c r="Q9" s="17">
        <f t="shared" si="2"/>
        <v>0</v>
      </c>
      <c r="R9" s="30">
        <f t="shared" si="6"/>
        <v>1319000</v>
      </c>
      <c r="S9" s="30">
        <f t="shared" si="4"/>
        <v>1000</v>
      </c>
      <c r="T9" s="66"/>
      <c r="U9" s="235"/>
      <c r="V9" s="234"/>
      <c r="W9" s="234"/>
      <c r="X9" s="234"/>
      <c r="Y9" s="234"/>
      <c r="Z9" s="234"/>
      <c r="AA9" s="234"/>
      <c r="AB9" s="234"/>
      <c r="AC9" s="234"/>
      <c r="AD9" s="234"/>
      <c r="AE9" s="234"/>
      <c r="AF9" s="236"/>
      <c r="AI9" s="19"/>
      <c r="AJ9" s="14"/>
      <c r="AK9" s="6"/>
      <c r="AL9" s="20"/>
      <c r="AM9" s="5"/>
    </row>
    <row r="10" spans="2:39" outlineLevel="1" x14ac:dyDescent="0.3">
      <c r="B10" s="13">
        <f t="shared" si="7"/>
        <v>4</v>
      </c>
      <c r="C10" s="57" t="s">
        <v>82</v>
      </c>
      <c r="D10" s="70">
        <v>40049</v>
      </c>
      <c r="E10" s="9"/>
      <c r="F10" s="9"/>
      <c r="G10" s="173" t="s">
        <v>250</v>
      </c>
      <c r="H10" s="47" t="s">
        <v>251</v>
      </c>
      <c r="I10" s="6" t="s">
        <v>86</v>
      </c>
      <c r="J10" s="6" t="s">
        <v>81</v>
      </c>
      <c r="K10" s="25">
        <v>55000000</v>
      </c>
      <c r="L10" s="6"/>
      <c r="M10" s="17"/>
      <c r="N10" s="101">
        <f t="shared" ref="N10:N21" si="8">IF(F10&gt;0,K10,0)</f>
        <v>0</v>
      </c>
      <c r="O10" s="61">
        <f t="shared" si="5"/>
        <v>55000000</v>
      </c>
      <c r="P10" s="25">
        <v>54999000</v>
      </c>
      <c r="Q10" s="17">
        <f t="shared" ref="Q10:Q21" si="9">SUM(U10:AF10)</f>
        <v>0</v>
      </c>
      <c r="R10" s="30">
        <f t="shared" si="6"/>
        <v>54999000</v>
      </c>
      <c r="S10" s="30">
        <f t="shared" ref="S10:S21" si="10">IF(N10&gt;0,O10,O10-R10)</f>
        <v>1000</v>
      </c>
      <c r="T10" s="66"/>
      <c r="U10" s="235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6"/>
      <c r="AI10" s="19"/>
      <c r="AJ10" s="14"/>
      <c r="AK10" s="6"/>
      <c r="AL10" s="20"/>
      <c r="AM10" s="5"/>
    </row>
    <row r="11" spans="2:39" outlineLevel="1" x14ac:dyDescent="0.3">
      <c r="B11" s="13">
        <f t="shared" si="7"/>
        <v>5</v>
      </c>
      <c r="C11" s="57" t="s">
        <v>82</v>
      </c>
      <c r="D11" s="70">
        <v>40086</v>
      </c>
      <c r="E11" s="9"/>
      <c r="F11" s="9"/>
      <c r="G11" s="173" t="s">
        <v>250</v>
      </c>
      <c r="H11" s="47" t="s">
        <v>251</v>
      </c>
      <c r="I11" s="6" t="s">
        <v>87</v>
      </c>
      <c r="J11" s="6"/>
      <c r="K11" s="25">
        <v>267767500</v>
      </c>
      <c r="L11" s="6"/>
      <c r="M11" s="17"/>
      <c r="N11" s="101">
        <f t="shared" si="8"/>
        <v>0</v>
      </c>
      <c r="O11" s="61">
        <f t="shared" si="5"/>
        <v>267767500</v>
      </c>
      <c r="P11" s="25">
        <v>267766500</v>
      </c>
      <c r="Q11" s="17">
        <f t="shared" si="9"/>
        <v>0</v>
      </c>
      <c r="R11" s="30">
        <f t="shared" si="6"/>
        <v>267766500</v>
      </c>
      <c r="S11" s="30">
        <f t="shared" si="10"/>
        <v>1000</v>
      </c>
      <c r="T11" s="66"/>
      <c r="U11" s="235"/>
      <c r="V11" s="234"/>
      <c r="W11" s="234"/>
      <c r="X11" s="234"/>
      <c r="Y11" s="234"/>
      <c r="Z11" s="234"/>
      <c r="AA11" s="234"/>
      <c r="AB11" s="234"/>
      <c r="AC11" s="234"/>
      <c r="AD11" s="234"/>
      <c r="AE11" s="234"/>
      <c r="AF11" s="236"/>
      <c r="AI11" s="19"/>
      <c r="AJ11" s="14"/>
      <c r="AK11" s="6"/>
      <c r="AL11" s="20"/>
      <c r="AM11" s="5"/>
    </row>
    <row r="12" spans="2:39" outlineLevel="1" x14ac:dyDescent="0.3">
      <c r="B12" s="13">
        <f t="shared" si="7"/>
        <v>6</v>
      </c>
      <c r="C12" s="57" t="s">
        <v>82</v>
      </c>
      <c r="D12" s="70">
        <v>40602</v>
      </c>
      <c r="E12" s="9"/>
      <c r="F12" s="9"/>
      <c r="G12" s="173" t="s">
        <v>250</v>
      </c>
      <c r="H12" s="47" t="s">
        <v>251</v>
      </c>
      <c r="I12" s="6" t="s">
        <v>88</v>
      </c>
      <c r="J12" s="6"/>
      <c r="K12" s="25">
        <v>35838000</v>
      </c>
      <c r="L12" s="6"/>
      <c r="M12" s="17"/>
      <c r="N12" s="101">
        <f t="shared" si="8"/>
        <v>0</v>
      </c>
      <c r="O12" s="61">
        <f t="shared" si="5"/>
        <v>35838000</v>
      </c>
      <c r="P12" s="25">
        <v>35837000</v>
      </c>
      <c r="Q12" s="17">
        <f t="shared" si="9"/>
        <v>0</v>
      </c>
      <c r="R12" s="30">
        <f t="shared" si="6"/>
        <v>35837000</v>
      </c>
      <c r="S12" s="30">
        <f t="shared" si="10"/>
        <v>1000</v>
      </c>
      <c r="T12" s="66"/>
      <c r="U12" s="235"/>
      <c r="V12" s="234"/>
      <c r="W12" s="234"/>
      <c r="X12" s="234"/>
      <c r="Y12" s="234"/>
      <c r="Z12" s="234"/>
      <c r="AA12" s="234"/>
      <c r="AB12" s="234"/>
      <c r="AC12" s="234"/>
      <c r="AD12" s="234"/>
      <c r="AE12" s="234"/>
      <c r="AF12" s="236"/>
      <c r="AI12" s="19"/>
      <c r="AJ12" s="14"/>
      <c r="AK12" s="6"/>
      <c r="AL12" s="20"/>
      <c r="AM12" s="5"/>
    </row>
    <row r="13" spans="2:39" outlineLevel="1" x14ac:dyDescent="0.3">
      <c r="B13" s="13">
        <f t="shared" si="7"/>
        <v>7</v>
      </c>
      <c r="C13" s="57" t="s">
        <v>82</v>
      </c>
      <c r="D13" s="70">
        <v>42173</v>
      </c>
      <c r="E13" s="9"/>
      <c r="F13" s="9"/>
      <c r="G13" s="173" t="s">
        <v>250</v>
      </c>
      <c r="H13" s="47" t="s">
        <v>251</v>
      </c>
      <c r="I13" s="6" t="s">
        <v>89</v>
      </c>
      <c r="J13" s="6"/>
      <c r="K13" s="25">
        <v>567000</v>
      </c>
      <c r="L13" s="6"/>
      <c r="M13" s="17"/>
      <c r="N13" s="101">
        <f t="shared" si="8"/>
        <v>0</v>
      </c>
      <c r="O13" s="61">
        <f t="shared" si="5"/>
        <v>567000</v>
      </c>
      <c r="P13" s="25">
        <v>566000</v>
      </c>
      <c r="Q13" s="17">
        <f t="shared" si="9"/>
        <v>0</v>
      </c>
      <c r="R13" s="30">
        <f t="shared" si="6"/>
        <v>566000</v>
      </c>
      <c r="S13" s="30">
        <f t="shared" si="10"/>
        <v>1000</v>
      </c>
      <c r="T13" s="66"/>
      <c r="U13" s="235"/>
      <c r="V13" s="234"/>
      <c r="W13" s="234"/>
      <c r="X13" s="234"/>
      <c r="Y13" s="234"/>
      <c r="Z13" s="234"/>
      <c r="AA13" s="234"/>
      <c r="AB13" s="234"/>
      <c r="AC13" s="234"/>
      <c r="AD13" s="234"/>
      <c r="AE13" s="234"/>
      <c r="AF13" s="236"/>
      <c r="AI13" s="19"/>
      <c r="AJ13" s="14"/>
      <c r="AK13" s="6"/>
      <c r="AL13" s="20"/>
      <c r="AM13" s="5"/>
    </row>
    <row r="14" spans="2:39" outlineLevel="1" x14ac:dyDescent="0.3">
      <c r="B14" s="13">
        <f t="shared" si="7"/>
        <v>8</v>
      </c>
      <c r="C14" s="57" t="s">
        <v>82</v>
      </c>
      <c r="D14" s="70">
        <v>42335</v>
      </c>
      <c r="E14" s="9"/>
      <c r="F14" s="9"/>
      <c r="G14" s="173" t="s">
        <v>250</v>
      </c>
      <c r="H14" s="47" t="s">
        <v>251</v>
      </c>
      <c r="I14" s="6" t="s">
        <v>90</v>
      </c>
      <c r="J14" s="6"/>
      <c r="K14" s="25">
        <v>5181000</v>
      </c>
      <c r="L14" s="6"/>
      <c r="M14" s="17"/>
      <c r="N14" s="101">
        <f t="shared" si="8"/>
        <v>0</v>
      </c>
      <c r="O14" s="61">
        <f t="shared" si="5"/>
        <v>5181000</v>
      </c>
      <c r="P14" s="25">
        <v>5180000</v>
      </c>
      <c r="Q14" s="17">
        <f t="shared" si="9"/>
        <v>0</v>
      </c>
      <c r="R14" s="30">
        <f t="shared" si="6"/>
        <v>5180000</v>
      </c>
      <c r="S14" s="30">
        <f t="shared" si="10"/>
        <v>1000</v>
      </c>
      <c r="T14" s="66"/>
      <c r="U14" s="235"/>
      <c r="V14" s="234"/>
      <c r="W14" s="234"/>
      <c r="X14" s="234"/>
      <c r="Y14" s="234"/>
      <c r="Z14" s="234"/>
      <c r="AA14" s="234"/>
      <c r="AB14" s="234"/>
      <c r="AC14" s="234"/>
      <c r="AD14" s="234"/>
      <c r="AE14" s="234"/>
      <c r="AF14" s="236"/>
      <c r="AI14" s="19"/>
      <c r="AJ14" s="14"/>
      <c r="AK14" s="6"/>
      <c r="AL14" s="20"/>
      <c r="AM14" s="5"/>
    </row>
    <row r="15" spans="2:39" outlineLevel="1" x14ac:dyDescent="0.3">
      <c r="B15" s="13">
        <f t="shared" si="7"/>
        <v>9</v>
      </c>
      <c r="C15" s="57" t="s">
        <v>82</v>
      </c>
      <c r="D15" s="70">
        <v>42639</v>
      </c>
      <c r="E15" s="9"/>
      <c r="F15" s="9"/>
      <c r="G15" s="173" t="s">
        <v>250</v>
      </c>
      <c r="H15" s="47" t="s">
        <v>251</v>
      </c>
      <c r="I15" s="6" t="s">
        <v>91</v>
      </c>
      <c r="J15" s="6"/>
      <c r="K15" s="25">
        <v>72600000</v>
      </c>
      <c r="L15" s="6"/>
      <c r="M15" s="17"/>
      <c r="N15" s="101">
        <f t="shared" si="8"/>
        <v>0</v>
      </c>
      <c r="O15" s="61">
        <f t="shared" ref="O15:O27" si="11">K15+L15-M15-N15</f>
        <v>72600000</v>
      </c>
      <c r="P15" s="25">
        <v>72599000</v>
      </c>
      <c r="Q15" s="17">
        <f t="shared" si="9"/>
        <v>0</v>
      </c>
      <c r="R15" s="30">
        <f t="shared" ref="R15:R27" si="12">P15+Q15</f>
        <v>72599000</v>
      </c>
      <c r="S15" s="30">
        <f t="shared" si="10"/>
        <v>1000</v>
      </c>
      <c r="T15" s="66"/>
      <c r="U15" s="235"/>
      <c r="V15" s="234"/>
      <c r="W15" s="234"/>
      <c r="X15" s="234"/>
      <c r="Y15" s="234"/>
      <c r="Z15" s="234"/>
      <c r="AA15" s="234"/>
      <c r="AB15" s="234"/>
      <c r="AC15" s="234"/>
      <c r="AD15" s="234"/>
      <c r="AE15" s="234"/>
      <c r="AF15" s="236"/>
      <c r="AI15" s="19"/>
      <c r="AJ15" s="14"/>
      <c r="AK15" s="6"/>
      <c r="AL15" s="20"/>
      <c r="AM15" s="5"/>
    </row>
    <row r="16" spans="2:39" outlineLevel="1" x14ac:dyDescent="0.3">
      <c r="B16" s="13">
        <f t="shared" si="7"/>
        <v>10</v>
      </c>
      <c r="C16" s="57" t="s">
        <v>82</v>
      </c>
      <c r="D16" s="70">
        <v>43054</v>
      </c>
      <c r="E16" s="9"/>
      <c r="F16" s="9"/>
      <c r="G16" s="173" t="s">
        <v>250</v>
      </c>
      <c r="H16" s="47" t="s">
        <v>251</v>
      </c>
      <c r="I16" s="6" t="s">
        <v>92</v>
      </c>
      <c r="J16" s="6"/>
      <c r="K16" s="25">
        <v>11191400</v>
      </c>
      <c r="L16" s="6"/>
      <c r="M16" s="17"/>
      <c r="N16" s="101">
        <f t="shared" si="8"/>
        <v>0</v>
      </c>
      <c r="O16" s="61">
        <f t="shared" si="11"/>
        <v>11191400</v>
      </c>
      <c r="P16" s="25">
        <v>11190400</v>
      </c>
      <c r="Q16" s="17">
        <f t="shared" si="9"/>
        <v>0</v>
      </c>
      <c r="R16" s="30">
        <f t="shared" si="12"/>
        <v>11190400</v>
      </c>
      <c r="S16" s="30">
        <f t="shared" si="10"/>
        <v>1000</v>
      </c>
      <c r="T16" s="66"/>
      <c r="U16" s="235"/>
      <c r="V16" s="234"/>
      <c r="W16" s="234"/>
      <c r="X16" s="234"/>
      <c r="Y16" s="234"/>
      <c r="Z16" s="234"/>
      <c r="AA16" s="234"/>
      <c r="AB16" s="234"/>
      <c r="AC16" s="234"/>
      <c r="AD16" s="234"/>
      <c r="AE16" s="234"/>
      <c r="AF16" s="236"/>
      <c r="AI16" s="19"/>
      <c r="AJ16" s="14"/>
      <c r="AK16" s="6"/>
      <c r="AL16" s="20"/>
      <c r="AM16" s="5"/>
    </row>
    <row r="17" spans="2:39" outlineLevel="1" x14ac:dyDescent="0.3">
      <c r="B17" s="13">
        <f t="shared" si="7"/>
        <v>11</v>
      </c>
      <c r="C17" s="57" t="s">
        <v>82</v>
      </c>
      <c r="D17" s="70">
        <v>43117</v>
      </c>
      <c r="E17" s="9"/>
      <c r="F17" s="9"/>
      <c r="G17" s="173" t="s">
        <v>250</v>
      </c>
      <c r="H17" s="47" t="s">
        <v>251</v>
      </c>
      <c r="I17" s="6" t="s">
        <v>35</v>
      </c>
      <c r="J17" s="6"/>
      <c r="K17" s="25">
        <v>1552485000</v>
      </c>
      <c r="L17" s="6"/>
      <c r="M17" s="17"/>
      <c r="N17" s="101">
        <f t="shared" si="8"/>
        <v>0</v>
      </c>
      <c r="O17" s="61">
        <f t="shared" si="11"/>
        <v>1552485000</v>
      </c>
      <c r="P17" s="25">
        <v>1552484000</v>
      </c>
      <c r="Q17" s="17">
        <f t="shared" si="9"/>
        <v>0</v>
      </c>
      <c r="R17" s="30">
        <f t="shared" si="12"/>
        <v>1552484000</v>
      </c>
      <c r="S17" s="30">
        <f t="shared" si="10"/>
        <v>1000</v>
      </c>
      <c r="T17" s="66"/>
      <c r="U17" s="235"/>
      <c r="V17" s="234"/>
      <c r="W17" s="234"/>
      <c r="X17" s="234"/>
      <c r="Y17" s="234"/>
      <c r="Z17" s="234"/>
      <c r="AA17" s="234"/>
      <c r="AB17" s="234"/>
      <c r="AC17" s="234"/>
      <c r="AD17" s="234"/>
      <c r="AE17" s="234"/>
      <c r="AF17" s="236"/>
      <c r="AI17" s="19"/>
      <c r="AJ17" s="14"/>
      <c r="AK17" s="6"/>
      <c r="AL17" s="20"/>
      <c r="AM17" s="5"/>
    </row>
    <row r="18" spans="2:39" x14ac:dyDescent="0.3">
      <c r="B18" s="13">
        <f t="shared" si="7"/>
        <v>12</v>
      </c>
      <c r="C18" s="57" t="s">
        <v>82</v>
      </c>
      <c r="D18" s="70">
        <v>43154</v>
      </c>
      <c r="E18" s="9"/>
      <c r="F18" s="9"/>
      <c r="G18" s="173" t="s">
        <v>250</v>
      </c>
      <c r="H18" s="47" t="s">
        <v>251</v>
      </c>
      <c r="I18" s="6" t="s">
        <v>153</v>
      </c>
      <c r="J18" s="6"/>
      <c r="K18" s="25">
        <v>6534000</v>
      </c>
      <c r="L18" s="6"/>
      <c r="M18" s="17"/>
      <c r="N18" s="101">
        <f t="shared" si="8"/>
        <v>0</v>
      </c>
      <c r="O18" s="61">
        <f t="shared" si="11"/>
        <v>6534000</v>
      </c>
      <c r="P18" s="25">
        <v>6533000</v>
      </c>
      <c r="Q18" s="17">
        <f t="shared" si="9"/>
        <v>0</v>
      </c>
      <c r="R18" s="30">
        <f t="shared" si="12"/>
        <v>6533000</v>
      </c>
      <c r="S18" s="30">
        <f t="shared" si="10"/>
        <v>1000</v>
      </c>
      <c r="T18" s="66"/>
      <c r="U18" s="235"/>
      <c r="V18" s="234"/>
      <c r="W18" s="234"/>
      <c r="X18" s="234"/>
      <c r="Y18" s="234"/>
      <c r="Z18" s="234"/>
      <c r="AA18" s="234"/>
      <c r="AB18" s="234"/>
      <c r="AC18" s="234"/>
      <c r="AD18" s="234"/>
      <c r="AE18" s="234"/>
      <c r="AF18" s="236"/>
      <c r="AI18" s="19"/>
      <c r="AJ18" s="14"/>
      <c r="AK18" s="6"/>
      <c r="AL18" s="20"/>
      <c r="AM18" s="5"/>
    </row>
    <row r="19" spans="2:39" x14ac:dyDescent="0.3">
      <c r="B19" s="13">
        <f t="shared" si="7"/>
        <v>13</v>
      </c>
      <c r="C19" s="57" t="s">
        <v>82</v>
      </c>
      <c r="D19" s="70">
        <v>43473</v>
      </c>
      <c r="E19" s="9"/>
      <c r="F19" s="9"/>
      <c r="G19" s="173" t="s">
        <v>250</v>
      </c>
      <c r="H19" s="47" t="s">
        <v>251</v>
      </c>
      <c r="I19" s="6" t="s">
        <v>93</v>
      </c>
      <c r="J19" s="6"/>
      <c r="K19" s="25">
        <v>5115000</v>
      </c>
      <c r="L19" s="6"/>
      <c r="M19" s="17"/>
      <c r="N19" s="101">
        <f t="shared" si="8"/>
        <v>0</v>
      </c>
      <c r="O19" s="61">
        <f t="shared" si="11"/>
        <v>5115000</v>
      </c>
      <c r="P19" s="25">
        <v>5114000</v>
      </c>
      <c r="Q19" s="17">
        <f t="shared" si="9"/>
        <v>0</v>
      </c>
      <c r="R19" s="30">
        <f t="shared" si="12"/>
        <v>5114000</v>
      </c>
      <c r="S19" s="30">
        <f t="shared" si="10"/>
        <v>1000</v>
      </c>
      <c r="T19" s="66"/>
      <c r="U19" s="235"/>
      <c r="V19" s="234"/>
      <c r="W19" s="234"/>
      <c r="X19" s="234"/>
      <c r="Y19" s="234"/>
      <c r="Z19" s="234"/>
      <c r="AA19" s="234"/>
      <c r="AB19" s="234"/>
      <c r="AC19" s="234"/>
      <c r="AD19" s="234"/>
      <c r="AE19" s="234"/>
      <c r="AF19" s="236"/>
      <c r="AI19" s="19"/>
      <c r="AJ19" s="14"/>
      <c r="AK19" s="6"/>
      <c r="AL19" s="20"/>
      <c r="AM19" s="5"/>
    </row>
    <row r="20" spans="2:39" x14ac:dyDescent="0.3">
      <c r="B20" s="13">
        <f t="shared" si="7"/>
        <v>14</v>
      </c>
      <c r="C20" s="57" t="s">
        <v>82</v>
      </c>
      <c r="D20" s="70">
        <v>43830</v>
      </c>
      <c r="E20" s="8"/>
      <c r="F20" s="8"/>
      <c r="G20" s="173" t="s">
        <v>250</v>
      </c>
      <c r="H20" s="47" t="s">
        <v>251</v>
      </c>
      <c r="I20" s="6" t="s">
        <v>94</v>
      </c>
      <c r="J20" s="6"/>
      <c r="K20" s="25">
        <v>137500000</v>
      </c>
      <c r="L20" s="6"/>
      <c r="M20" s="17"/>
      <c r="N20" s="101">
        <f t="shared" si="8"/>
        <v>0</v>
      </c>
      <c r="O20" s="61">
        <f t="shared" si="11"/>
        <v>137500000</v>
      </c>
      <c r="P20" s="25">
        <v>137499000</v>
      </c>
      <c r="Q20" s="17">
        <f t="shared" si="9"/>
        <v>0</v>
      </c>
      <c r="R20" s="30">
        <f t="shared" si="12"/>
        <v>137499000</v>
      </c>
      <c r="S20" s="30">
        <f t="shared" si="10"/>
        <v>1000</v>
      </c>
      <c r="T20" s="66"/>
      <c r="U20" s="235"/>
      <c r="V20" s="234"/>
      <c r="W20" s="234"/>
      <c r="X20" s="234"/>
      <c r="Y20" s="234"/>
      <c r="Z20" s="234"/>
      <c r="AA20" s="234"/>
      <c r="AB20" s="234"/>
      <c r="AC20" s="234"/>
      <c r="AD20" s="234"/>
      <c r="AE20" s="234"/>
      <c r="AF20" s="236"/>
      <c r="AI20" s="19"/>
      <c r="AJ20" s="14"/>
      <c r="AK20" s="6"/>
      <c r="AL20" s="20"/>
      <c r="AM20" s="5"/>
    </row>
    <row r="21" spans="2:39" x14ac:dyDescent="0.3">
      <c r="B21" s="13">
        <f t="shared" si="7"/>
        <v>15</v>
      </c>
      <c r="C21" s="57" t="s">
        <v>82</v>
      </c>
      <c r="D21" s="70">
        <v>43861</v>
      </c>
      <c r="E21" s="9"/>
      <c r="F21" s="9"/>
      <c r="G21" s="173" t="s">
        <v>250</v>
      </c>
      <c r="H21" s="47" t="s">
        <v>251</v>
      </c>
      <c r="I21" s="6" t="s">
        <v>95</v>
      </c>
      <c r="J21" s="6"/>
      <c r="K21" s="25">
        <v>17431978</v>
      </c>
      <c r="L21" s="6"/>
      <c r="M21" s="17"/>
      <c r="N21" s="101">
        <f t="shared" si="8"/>
        <v>0</v>
      </c>
      <c r="O21" s="61">
        <f t="shared" si="11"/>
        <v>17431978</v>
      </c>
      <c r="P21" s="25">
        <v>17430978</v>
      </c>
      <c r="Q21" s="17">
        <f t="shared" si="9"/>
        <v>0</v>
      </c>
      <c r="R21" s="30">
        <f t="shared" si="12"/>
        <v>17430978</v>
      </c>
      <c r="S21" s="167">
        <f t="shared" si="10"/>
        <v>1000</v>
      </c>
      <c r="T21" s="66"/>
      <c r="U21" s="235"/>
      <c r="V21" s="234"/>
      <c r="W21" s="234"/>
      <c r="X21" s="234"/>
      <c r="Y21" s="234"/>
      <c r="Z21" s="234"/>
      <c r="AA21" s="234"/>
      <c r="AB21" s="234"/>
      <c r="AC21" s="234"/>
      <c r="AD21" s="234"/>
      <c r="AE21" s="234"/>
      <c r="AF21" s="236"/>
      <c r="AI21" s="19"/>
      <c r="AJ21" s="14"/>
      <c r="AK21" s="6"/>
      <c r="AL21" s="20"/>
      <c r="AM21" s="5"/>
    </row>
    <row r="22" spans="2:39" x14ac:dyDescent="0.3">
      <c r="B22" s="13">
        <f t="shared" si="7"/>
        <v>16</v>
      </c>
      <c r="C22" s="57" t="s">
        <v>82</v>
      </c>
      <c r="D22" s="70">
        <v>44135</v>
      </c>
      <c r="E22" s="9"/>
      <c r="F22" s="9"/>
      <c r="G22" s="173" t="s">
        <v>250</v>
      </c>
      <c r="H22" s="47" t="s">
        <v>251</v>
      </c>
      <c r="I22" s="6" t="s">
        <v>96</v>
      </c>
      <c r="J22" s="6"/>
      <c r="K22" s="25">
        <v>33000000</v>
      </c>
      <c r="L22" s="6"/>
      <c r="M22" s="17"/>
      <c r="N22" s="101">
        <f t="shared" ref="N22:N27" si="13">IF(F22&gt;0,K22,0)</f>
        <v>0</v>
      </c>
      <c r="O22" s="61">
        <f t="shared" si="11"/>
        <v>33000000</v>
      </c>
      <c r="P22" s="25">
        <v>32999000</v>
      </c>
      <c r="Q22" s="17">
        <f t="shared" ref="Q22:Q27" si="14">SUM(U22:AF22)</f>
        <v>0</v>
      </c>
      <c r="R22" s="30">
        <f t="shared" si="12"/>
        <v>32999000</v>
      </c>
      <c r="S22" s="30">
        <f t="shared" ref="S22:S27" si="15">IF(N22&gt;0,O22,O22-R22)</f>
        <v>1000</v>
      </c>
      <c r="T22" s="66"/>
      <c r="U22" s="235"/>
      <c r="V22" s="234"/>
      <c r="W22" s="234"/>
      <c r="X22" s="234"/>
      <c r="Y22" s="234"/>
      <c r="Z22" s="234"/>
      <c r="AA22" s="234"/>
      <c r="AB22" s="234"/>
      <c r="AC22" s="234"/>
      <c r="AD22" s="234"/>
      <c r="AE22" s="234"/>
      <c r="AF22" s="236"/>
      <c r="AI22" s="19"/>
      <c r="AJ22" s="14"/>
      <c r="AK22" s="6"/>
      <c r="AL22" s="20"/>
      <c r="AM22" s="5"/>
    </row>
    <row r="23" spans="2:39" x14ac:dyDescent="0.3">
      <c r="B23" s="13">
        <f t="shared" si="7"/>
        <v>17</v>
      </c>
      <c r="C23" s="57" t="s">
        <v>82</v>
      </c>
      <c r="D23" s="70">
        <v>44135</v>
      </c>
      <c r="E23" s="9"/>
      <c r="F23" s="9"/>
      <c r="G23" s="173" t="s">
        <v>250</v>
      </c>
      <c r="H23" s="47" t="s">
        <v>251</v>
      </c>
      <c r="I23" s="6" t="s">
        <v>97</v>
      </c>
      <c r="J23" s="6"/>
      <c r="K23" s="25">
        <v>2167000</v>
      </c>
      <c r="L23" s="6"/>
      <c r="M23" s="17"/>
      <c r="N23" s="101">
        <f t="shared" si="13"/>
        <v>0</v>
      </c>
      <c r="O23" s="61">
        <f t="shared" si="11"/>
        <v>2167000</v>
      </c>
      <c r="P23" s="25">
        <v>2166000</v>
      </c>
      <c r="Q23" s="17">
        <f t="shared" si="14"/>
        <v>0</v>
      </c>
      <c r="R23" s="30">
        <f t="shared" si="12"/>
        <v>2166000</v>
      </c>
      <c r="S23" s="30">
        <f t="shared" si="15"/>
        <v>1000</v>
      </c>
      <c r="T23" s="66"/>
      <c r="U23" s="235"/>
      <c r="V23" s="234"/>
      <c r="W23" s="234"/>
      <c r="X23" s="234"/>
      <c r="Y23" s="234"/>
      <c r="Z23" s="234"/>
      <c r="AA23" s="234"/>
      <c r="AB23" s="234"/>
      <c r="AC23" s="234"/>
      <c r="AD23" s="234"/>
      <c r="AE23" s="234"/>
      <c r="AF23" s="236"/>
      <c r="AI23" s="19"/>
      <c r="AJ23" s="14"/>
      <c r="AK23" s="6"/>
      <c r="AL23" s="20"/>
      <c r="AM23" s="5"/>
    </row>
    <row r="24" spans="2:39" x14ac:dyDescent="0.3">
      <c r="B24" s="13">
        <f t="shared" si="7"/>
        <v>18</v>
      </c>
      <c r="C24" s="57" t="s">
        <v>82</v>
      </c>
      <c r="D24" s="70">
        <v>44165</v>
      </c>
      <c r="E24" s="9"/>
      <c r="F24" s="9"/>
      <c r="G24" s="173" t="s">
        <v>250</v>
      </c>
      <c r="H24" s="47" t="s">
        <v>251</v>
      </c>
      <c r="I24" s="6" t="s">
        <v>98</v>
      </c>
      <c r="J24" s="6"/>
      <c r="K24" s="25">
        <v>990000</v>
      </c>
      <c r="L24" s="6"/>
      <c r="M24" s="17"/>
      <c r="N24" s="101">
        <f t="shared" si="13"/>
        <v>0</v>
      </c>
      <c r="O24" s="61">
        <f t="shared" si="11"/>
        <v>990000</v>
      </c>
      <c r="P24" s="25">
        <v>989000</v>
      </c>
      <c r="Q24" s="17">
        <f t="shared" si="14"/>
        <v>0</v>
      </c>
      <c r="R24" s="30">
        <f t="shared" si="12"/>
        <v>989000</v>
      </c>
      <c r="S24" s="30">
        <f t="shared" si="15"/>
        <v>1000</v>
      </c>
      <c r="T24" s="66"/>
      <c r="U24" s="235"/>
      <c r="V24" s="234"/>
      <c r="W24" s="234"/>
      <c r="X24" s="234"/>
      <c r="Y24" s="234"/>
      <c r="Z24" s="234"/>
      <c r="AA24" s="234"/>
      <c r="AB24" s="234"/>
      <c r="AC24" s="234"/>
      <c r="AD24" s="234"/>
      <c r="AE24" s="234"/>
      <c r="AF24" s="236"/>
      <c r="AI24" s="19"/>
      <c r="AJ24" s="14"/>
      <c r="AK24" s="6"/>
      <c r="AL24" s="20"/>
      <c r="AM24" s="5"/>
    </row>
    <row r="25" spans="2:39" x14ac:dyDescent="0.3">
      <c r="B25" s="13">
        <f t="shared" si="7"/>
        <v>19</v>
      </c>
      <c r="C25" s="57" t="s">
        <v>82</v>
      </c>
      <c r="D25" s="70">
        <v>44165</v>
      </c>
      <c r="E25" s="9"/>
      <c r="F25" s="9"/>
      <c r="G25" s="173" t="s">
        <v>250</v>
      </c>
      <c r="H25" s="47" t="s">
        <v>251</v>
      </c>
      <c r="I25" s="6" t="s">
        <v>99</v>
      </c>
      <c r="J25" s="6"/>
      <c r="K25" s="25">
        <v>1100000</v>
      </c>
      <c r="L25" s="6"/>
      <c r="M25" s="17"/>
      <c r="N25" s="101">
        <f t="shared" si="13"/>
        <v>0</v>
      </c>
      <c r="O25" s="61">
        <f t="shared" si="11"/>
        <v>1100000</v>
      </c>
      <c r="P25" s="25">
        <v>1099000</v>
      </c>
      <c r="Q25" s="17">
        <f t="shared" si="14"/>
        <v>0</v>
      </c>
      <c r="R25" s="30">
        <f t="shared" si="12"/>
        <v>1099000</v>
      </c>
      <c r="S25" s="30">
        <f t="shared" si="15"/>
        <v>1000</v>
      </c>
      <c r="T25" s="66"/>
      <c r="U25" s="235"/>
      <c r="V25" s="234"/>
      <c r="W25" s="234"/>
      <c r="X25" s="234"/>
      <c r="Y25" s="234"/>
      <c r="Z25" s="234"/>
      <c r="AA25" s="234"/>
      <c r="AB25" s="234"/>
      <c r="AC25" s="234"/>
      <c r="AD25" s="234"/>
      <c r="AE25" s="234"/>
      <c r="AF25" s="236"/>
      <c r="AI25" s="19"/>
      <c r="AJ25" s="14"/>
      <c r="AK25" s="6"/>
      <c r="AL25" s="20"/>
      <c r="AM25" s="5"/>
    </row>
    <row r="26" spans="2:39" x14ac:dyDescent="0.3">
      <c r="B26" s="13">
        <f t="shared" si="7"/>
        <v>20</v>
      </c>
      <c r="C26" s="57" t="s">
        <v>82</v>
      </c>
      <c r="D26" s="70">
        <v>44165</v>
      </c>
      <c r="E26" s="9"/>
      <c r="F26" s="9"/>
      <c r="G26" s="173" t="s">
        <v>250</v>
      </c>
      <c r="H26" s="47" t="s">
        <v>251</v>
      </c>
      <c r="I26" s="6" t="s">
        <v>100</v>
      </c>
      <c r="J26" s="6"/>
      <c r="K26" s="25">
        <v>3960000</v>
      </c>
      <c r="L26" s="6"/>
      <c r="M26" s="17"/>
      <c r="N26" s="101">
        <f t="shared" si="13"/>
        <v>0</v>
      </c>
      <c r="O26" s="61">
        <f t="shared" si="11"/>
        <v>3960000</v>
      </c>
      <c r="P26" s="25">
        <v>3959000</v>
      </c>
      <c r="Q26" s="17">
        <f t="shared" si="14"/>
        <v>0</v>
      </c>
      <c r="R26" s="30">
        <f t="shared" si="12"/>
        <v>3959000</v>
      </c>
      <c r="S26" s="30">
        <f t="shared" si="15"/>
        <v>1000</v>
      </c>
      <c r="T26" s="66"/>
      <c r="U26" s="235"/>
      <c r="V26" s="234"/>
      <c r="W26" s="234"/>
      <c r="X26" s="234"/>
      <c r="Y26" s="234"/>
      <c r="Z26" s="234"/>
      <c r="AA26" s="234"/>
      <c r="AB26" s="234"/>
      <c r="AC26" s="234"/>
      <c r="AD26" s="234"/>
      <c r="AE26" s="234"/>
      <c r="AF26" s="236"/>
      <c r="AI26" s="19"/>
      <c r="AJ26" s="14"/>
      <c r="AK26" s="6"/>
      <c r="AL26" s="20"/>
      <c r="AM26" s="5"/>
    </row>
    <row r="27" spans="2:39" x14ac:dyDescent="0.3">
      <c r="B27" s="13">
        <f t="shared" si="7"/>
        <v>21</v>
      </c>
      <c r="C27" s="57" t="s">
        <v>82</v>
      </c>
      <c r="D27" s="70">
        <v>44260</v>
      </c>
      <c r="E27" s="9"/>
      <c r="F27" s="9"/>
      <c r="G27" s="173" t="s">
        <v>250</v>
      </c>
      <c r="H27" s="47" t="s">
        <v>251</v>
      </c>
      <c r="I27" s="6" t="s">
        <v>101</v>
      </c>
      <c r="J27" s="6"/>
      <c r="K27" s="25">
        <v>540583230</v>
      </c>
      <c r="L27" s="6"/>
      <c r="M27" s="17"/>
      <c r="N27" s="101">
        <f t="shared" si="13"/>
        <v>0</v>
      </c>
      <c r="O27" s="61">
        <f t="shared" si="11"/>
        <v>540583230</v>
      </c>
      <c r="P27" s="25">
        <f>518058900+22523330</f>
        <v>540582230</v>
      </c>
      <c r="Q27" s="17">
        <f t="shared" si="14"/>
        <v>0</v>
      </c>
      <c r="R27" s="30">
        <f t="shared" si="12"/>
        <v>540582230</v>
      </c>
      <c r="S27" s="30">
        <f t="shared" si="15"/>
        <v>1000</v>
      </c>
      <c r="T27" s="66"/>
      <c r="U27" s="235"/>
      <c r="V27" s="234"/>
      <c r="W27" s="234"/>
      <c r="X27" s="234"/>
      <c r="Y27" s="234"/>
      <c r="Z27" s="234"/>
      <c r="AA27" s="234"/>
      <c r="AB27" s="234"/>
      <c r="AC27" s="234"/>
      <c r="AD27" s="234"/>
      <c r="AE27" s="234"/>
      <c r="AF27" s="236"/>
      <c r="AI27" s="19"/>
      <c r="AJ27" s="14"/>
      <c r="AK27" s="6"/>
      <c r="AL27" s="20"/>
      <c r="AM27" s="5"/>
    </row>
    <row r="28" spans="2:39" x14ac:dyDescent="0.3">
      <c r="B28" s="13"/>
      <c r="C28" s="57"/>
      <c r="D28" s="9"/>
      <c r="E28" s="47"/>
      <c r="F28" s="9"/>
      <c r="G28" s="47"/>
      <c r="H28" s="47"/>
      <c r="I28" s="6"/>
      <c r="J28" s="6"/>
      <c r="K28" s="25"/>
      <c r="L28" s="6"/>
      <c r="M28" s="17"/>
      <c r="N28" s="14"/>
      <c r="O28" s="61"/>
      <c r="P28" s="25"/>
      <c r="Q28" s="17"/>
      <c r="R28" s="30"/>
      <c r="S28" s="30"/>
      <c r="T28" s="14"/>
      <c r="U28" s="235"/>
      <c r="V28" s="234"/>
      <c r="W28" s="234"/>
      <c r="X28" s="234"/>
      <c r="Y28" s="234"/>
      <c r="Z28" s="234"/>
      <c r="AA28" s="234"/>
      <c r="AB28" s="234"/>
      <c r="AC28" s="234"/>
      <c r="AD28" s="234"/>
      <c r="AE28" s="234"/>
      <c r="AF28" s="236"/>
      <c r="AI28" s="19"/>
      <c r="AJ28" s="14"/>
      <c r="AK28" s="6"/>
      <c r="AL28" s="20"/>
      <c r="AM28" s="5"/>
    </row>
    <row r="29" spans="2:39" ht="14.25" thickBot="1" x14ac:dyDescent="0.35">
      <c r="B29" s="13"/>
      <c r="C29" s="57"/>
      <c r="D29" s="50"/>
      <c r="E29" s="47"/>
      <c r="F29" s="50"/>
      <c r="G29" s="47"/>
      <c r="H29" s="47"/>
      <c r="I29" s="54"/>
      <c r="J29" s="54"/>
      <c r="K29" s="69"/>
      <c r="L29" s="54"/>
      <c r="M29" s="18"/>
      <c r="N29" s="16"/>
      <c r="O29" s="62"/>
      <c r="P29" s="25"/>
      <c r="Q29" s="17"/>
      <c r="R29" s="30"/>
      <c r="S29" s="30"/>
      <c r="T29" s="14"/>
      <c r="U29" s="237"/>
      <c r="V29" s="238"/>
      <c r="W29" s="238"/>
      <c r="X29" s="238"/>
      <c r="Y29" s="238"/>
      <c r="Z29" s="238"/>
      <c r="AA29" s="238"/>
      <c r="AB29" s="238"/>
      <c r="AC29" s="238"/>
      <c r="AD29" s="238"/>
      <c r="AE29" s="238"/>
      <c r="AF29" s="239"/>
      <c r="AI29" s="19"/>
      <c r="AJ29" s="14"/>
      <c r="AK29" s="6"/>
      <c r="AL29" s="20"/>
      <c r="AM29" s="5"/>
    </row>
    <row r="30" spans="2:39" s="2" customFormat="1" ht="19.5" customHeight="1" collapsed="1" thickBot="1" x14ac:dyDescent="0.35">
      <c r="B30" s="400" t="s">
        <v>74</v>
      </c>
      <c r="C30" s="401"/>
      <c r="D30" s="401"/>
      <c r="E30" s="401"/>
      <c r="F30" s="401"/>
      <c r="G30" s="401"/>
      <c r="H30" s="401"/>
      <c r="I30" s="401"/>
      <c r="J30" s="10"/>
      <c r="K30" s="63">
        <f t="shared" ref="K30:S30" si="16">SUM(K7:K29)</f>
        <v>2809432108</v>
      </c>
      <c r="L30" s="36">
        <f t="shared" si="16"/>
        <v>0</v>
      </c>
      <c r="M30" s="37">
        <f t="shared" si="16"/>
        <v>0</v>
      </c>
      <c r="N30" s="11">
        <f t="shared" si="16"/>
        <v>0</v>
      </c>
      <c r="O30" s="64">
        <f t="shared" si="16"/>
        <v>2809432108</v>
      </c>
      <c r="P30" s="63">
        <f t="shared" si="16"/>
        <v>2809411108</v>
      </c>
      <c r="Q30" s="36">
        <f t="shared" si="16"/>
        <v>0</v>
      </c>
      <c r="R30" s="35">
        <f t="shared" si="16"/>
        <v>2809411108</v>
      </c>
      <c r="S30" s="65">
        <f t="shared" si="16"/>
        <v>21000</v>
      </c>
      <c r="T30" s="14"/>
      <c r="U30" s="100">
        <f t="shared" ref="U30:AF30" si="17">SUM(U8:U29)</f>
        <v>0</v>
      </c>
      <c r="V30" s="85">
        <f t="shared" si="17"/>
        <v>0</v>
      </c>
      <c r="W30" s="85">
        <f t="shared" si="17"/>
        <v>0</v>
      </c>
      <c r="X30" s="85">
        <f t="shared" si="17"/>
        <v>0</v>
      </c>
      <c r="Y30" s="85">
        <f t="shared" si="17"/>
        <v>0</v>
      </c>
      <c r="Z30" s="85">
        <f t="shared" si="17"/>
        <v>0</v>
      </c>
      <c r="AA30" s="85">
        <f t="shared" si="17"/>
        <v>0</v>
      </c>
      <c r="AB30" s="85">
        <f t="shared" si="17"/>
        <v>0</v>
      </c>
      <c r="AC30" s="85">
        <f t="shared" si="17"/>
        <v>0</v>
      </c>
      <c r="AD30" s="85">
        <f t="shared" si="17"/>
        <v>0</v>
      </c>
      <c r="AE30" s="85">
        <f t="shared" si="17"/>
        <v>0</v>
      </c>
      <c r="AF30" s="92">
        <f t="shared" si="17"/>
        <v>0</v>
      </c>
      <c r="AG30" s="1"/>
      <c r="AI30" s="40">
        <v>474641312</v>
      </c>
      <c r="AJ30" s="43">
        <v>544675981</v>
      </c>
      <c r="AK30" s="45">
        <f>AI30-S30</f>
        <v>474620312</v>
      </c>
      <c r="AL30" s="41">
        <f>AJ30-Q30</f>
        <v>544675981</v>
      </c>
    </row>
    <row r="32" spans="2:39" x14ac:dyDescent="0.3">
      <c r="O32" s="5"/>
      <c r="Q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5:32" x14ac:dyDescent="0.3">
      <c r="O33" s="5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</row>
    <row r="34" spans="15:32" x14ac:dyDescent="0.3"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96"/>
    </row>
    <row r="35" spans="15:32" x14ac:dyDescent="0.3">
      <c r="Q35" s="34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</row>
  </sheetData>
  <autoFilter ref="B5:AF27"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29" showButton="0"/>
  </autoFilter>
  <mergeCells count="7">
    <mergeCell ref="AI5:AL5"/>
    <mergeCell ref="B30:I30"/>
    <mergeCell ref="B5:B6"/>
    <mergeCell ref="K5:O5"/>
    <mergeCell ref="P5:R5"/>
    <mergeCell ref="S5:S6"/>
    <mergeCell ref="U5:AF5"/>
  </mergeCells>
  <phoneticPr fontId="2" type="noConversion"/>
  <pageMargins left="0.7" right="0.7" top="0.75" bottom="0.75" header="0.3" footer="0.3"/>
  <pageSetup paperSize="9" scale="22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2:AM45"/>
  <sheetViews>
    <sheetView view="pageBreakPreview" zoomScale="80" zoomScaleNormal="80" zoomScaleSheetLayoutView="80" workbookViewId="0">
      <pane xSplit="9" ySplit="6" topLeftCell="V7" activePane="bottomRight" state="frozen"/>
      <selection pane="topRight" activeCell="G1" sqref="G1"/>
      <selection pane="bottomLeft" activeCell="A7" sqref="A7"/>
      <selection pane="bottomRight" activeCell="X40" sqref="X40"/>
    </sheetView>
  </sheetViews>
  <sheetFormatPr defaultRowHeight="13.5" outlineLevelRow="1" outlineLevelCol="1" x14ac:dyDescent="0.3"/>
  <cols>
    <col min="1" max="1" width="3.5" style="1" customWidth="1"/>
    <col min="2" max="2" width="8" style="1" bestFit="1" customWidth="1"/>
    <col min="3" max="3" width="9.875" style="1" customWidth="1"/>
    <col min="4" max="4" width="10.875" style="3" bestFit="1" customWidth="1"/>
    <col min="5" max="6" width="11" style="3" bestFit="1" customWidth="1"/>
    <col min="7" max="7" width="13" style="3" bestFit="1" customWidth="1"/>
    <col min="8" max="8" width="8" style="3" customWidth="1"/>
    <col min="9" max="9" width="66" style="1" customWidth="1"/>
    <col min="10" max="10" width="7" style="1" customWidth="1"/>
    <col min="11" max="11" width="14.25" style="34" bestFit="1" customWidth="1"/>
    <col min="12" max="12" width="10.25" style="1" customWidth="1" outlineLevel="1"/>
    <col min="13" max="13" width="13.25" style="34" customWidth="1" outlineLevel="1"/>
    <col min="14" max="14" width="11.625" style="1" bestFit="1" customWidth="1" outlineLevel="1"/>
    <col min="15" max="15" width="14.25" style="1" bestFit="1" customWidth="1"/>
    <col min="16" max="16" width="14.25" style="34" customWidth="1"/>
    <col min="17" max="17" width="11.625" style="1" customWidth="1"/>
    <col min="18" max="18" width="13.25" style="1" customWidth="1"/>
    <col min="19" max="19" width="14.25" style="1" customWidth="1"/>
    <col min="20" max="20" width="2.875" style="1" customWidth="1"/>
    <col min="21" max="32" width="12.75" style="1" customWidth="1"/>
    <col min="33" max="33" width="4.25" style="1" customWidth="1"/>
    <col min="34" max="34" width="2" style="1" customWidth="1"/>
    <col min="35" max="35" width="13.625" style="1" bestFit="1" customWidth="1"/>
    <col min="36" max="36" width="12.375" style="1" customWidth="1"/>
    <col min="37" max="37" width="14" style="1" bestFit="1" customWidth="1"/>
    <col min="38" max="38" width="12.875" style="1" bestFit="1" customWidth="1"/>
    <col min="39" max="39" width="11.5" style="1" bestFit="1" customWidth="1"/>
    <col min="40" max="16384" width="9" style="1"/>
  </cols>
  <sheetData>
    <row r="2" spans="2:39" ht="20.25" x14ac:dyDescent="0.3">
      <c r="B2" s="72" t="s">
        <v>158</v>
      </c>
    </row>
    <row r="3" spans="2:39" x14ac:dyDescent="0.3">
      <c r="B3" s="1" t="s">
        <v>23</v>
      </c>
      <c r="D3" s="46">
        <f>소프트웨어!D3</f>
        <v>46142</v>
      </c>
    </row>
    <row r="4" spans="2:39" ht="14.25" thickBot="1" x14ac:dyDescent="0.35">
      <c r="C4" s="1" t="s">
        <v>19</v>
      </c>
      <c r="D4" s="4" t="s">
        <v>18</v>
      </c>
      <c r="E4" s="1">
        <v>60</v>
      </c>
      <c r="F4" s="1"/>
      <c r="G4" s="1"/>
      <c r="H4" s="1"/>
      <c r="P4" s="3" t="s">
        <v>290</v>
      </c>
      <c r="Q4" s="3" t="s">
        <v>319</v>
      </c>
      <c r="S4" s="3" t="s">
        <v>319</v>
      </c>
    </row>
    <row r="5" spans="2:39" ht="16.5" customHeight="1" thickBot="1" x14ac:dyDescent="0.35">
      <c r="B5" s="405" t="s">
        <v>11</v>
      </c>
      <c r="C5" s="201"/>
      <c r="D5" s="201"/>
      <c r="E5" s="202"/>
      <c r="F5" s="186"/>
      <c r="G5" s="187"/>
      <c r="H5" s="192"/>
      <c r="I5" s="201"/>
      <c r="J5" s="188"/>
      <c r="K5" s="405" t="s">
        <v>4</v>
      </c>
      <c r="L5" s="407"/>
      <c r="M5" s="407"/>
      <c r="N5" s="407"/>
      <c r="O5" s="408"/>
      <c r="P5" s="405" t="s">
        <v>16</v>
      </c>
      <c r="Q5" s="407"/>
      <c r="R5" s="408"/>
      <c r="S5" s="409" t="s">
        <v>17</v>
      </c>
      <c r="T5" s="20"/>
      <c r="U5" s="402" t="s">
        <v>277</v>
      </c>
      <c r="V5" s="403"/>
      <c r="W5" s="403"/>
      <c r="X5" s="403"/>
      <c r="Y5" s="403"/>
      <c r="Z5" s="403"/>
      <c r="AA5" s="403"/>
      <c r="AB5" s="403"/>
      <c r="AC5" s="403"/>
      <c r="AD5" s="403"/>
      <c r="AE5" s="403"/>
      <c r="AF5" s="404"/>
      <c r="AI5" s="402" t="s">
        <v>20</v>
      </c>
      <c r="AJ5" s="403"/>
      <c r="AK5" s="403"/>
      <c r="AL5" s="404"/>
    </row>
    <row r="6" spans="2:39" ht="30" customHeight="1" thickBot="1" x14ac:dyDescent="0.35">
      <c r="B6" s="406"/>
      <c r="C6" s="203" t="s">
        <v>0</v>
      </c>
      <c r="D6" s="203" t="s">
        <v>133</v>
      </c>
      <c r="E6" s="204" t="s">
        <v>15</v>
      </c>
      <c r="F6" s="205" t="s">
        <v>249</v>
      </c>
      <c r="G6" s="207" t="s">
        <v>248</v>
      </c>
      <c r="H6" s="208" t="s">
        <v>247</v>
      </c>
      <c r="I6" s="204" t="s">
        <v>2</v>
      </c>
      <c r="J6" s="188" t="s">
        <v>3</v>
      </c>
      <c r="K6" s="67" t="s">
        <v>13</v>
      </c>
      <c r="L6" s="51" t="s">
        <v>12</v>
      </c>
      <c r="M6" s="48" t="s">
        <v>5</v>
      </c>
      <c r="N6" s="55" t="s">
        <v>14</v>
      </c>
      <c r="O6" s="59" t="s">
        <v>1</v>
      </c>
      <c r="P6" s="67" t="s">
        <v>239</v>
      </c>
      <c r="Q6" s="12" t="s">
        <v>240</v>
      </c>
      <c r="R6" s="59" t="s">
        <v>16</v>
      </c>
      <c r="S6" s="410"/>
      <c r="T6" s="20"/>
      <c r="U6" s="23" t="s">
        <v>306</v>
      </c>
      <c r="V6" s="21" t="s">
        <v>307</v>
      </c>
      <c r="W6" s="24" t="s">
        <v>308</v>
      </c>
      <c r="X6" s="21" t="s">
        <v>309</v>
      </c>
      <c r="Y6" s="21" t="s">
        <v>310</v>
      </c>
      <c r="Z6" s="24" t="s">
        <v>311</v>
      </c>
      <c r="AA6" s="84" t="s">
        <v>312</v>
      </c>
      <c r="AB6" s="21" t="s">
        <v>313</v>
      </c>
      <c r="AC6" s="24" t="s">
        <v>314</v>
      </c>
      <c r="AD6" s="21" t="s">
        <v>303</v>
      </c>
      <c r="AE6" s="24" t="s">
        <v>304</v>
      </c>
      <c r="AF6" s="22" t="s">
        <v>305</v>
      </c>
      <c r="AI6" s="38" t="s">
        <v>107</v>
      </c>
      <c r="AJ6" s="42" t="s">
        <v>103</v>
      </c>
      <c r="AK6" s="44" t="s">
        <v>135</v>
      </c>
      <c r="AL6" s="39" t="s">
        <v>105</v>
      </c>
    </row>
    <row r="7" spans="2:39" outlineLevel="1" x14ac:dyDescent="0.3">
      <c r="B7" s="13">
        <v>1</v>
      </c>
      <c r="C7" s="57" t="s">
        <v>107</v>
      </c>
      <c r="D7" s="8">
        <v>38590</v>
      </c>
      <c r="E7" s="9"/>
      <c r="F7" s="9"/>
      <c r="G7" s="8" t="s">
        <v>252</v>
      </c>
      <c r="H7" s="53" t="s">
        <v>251</v>
      </c>
      <c r="I7" s="6" t="s">
        <v>106</v>
      </c>
      <c r="J7" s="6" t="s">
        <v>75</v>
      </c>
      <c r="K7" s="60">
        <v>3126467</v>
      </c>
      <c r="L7" s="6"/>
      <c r="M7" s="17"/>
      <c r="N7" s="101">
        <f>IF(F7&gt;0,K7,0)</f>
        <v>0</v>
      </c>
      <c r="O7" s="61">
        <f t="shared" ref="O7:O17" si="0">K7+L7-M7-N7</f>
        <v>3126467</v>
      </c>
      <c r="P7" s="25">
        <v>3125467</v>
      </c>
      <c r="Q7" s="17">
        <f>SUM(U7:AF7)</f>
        <v>0</v>
      </c>
      <c r="R7" s="30">
        <f t="shared" ref="R7:R17" si="1">P7+Q7</f>
        <v>3125467</v>
      </c>
      <c r="S7" s="30">
        <f>IF(N7&gt;0,O7,O7-R7)</f>
        <v>1000</v>
      </c>
      <c r="T7" s="177"/>
      <c r="U7" s="104"/>
      <c r="V7" s="87"/>
      <c r="W7" s="87"/>
      <c r="X7" s="87"/>
      <c r="Y7" s="26"/>
      <c r="Z7" s="27"/>
      <c r="AA7" s="87"/>
      <c r="AB7" s="26"/>
      <c r="AC7" s="27"/>
      <c r="AD7" s="26"/>
      <c r="AE7" s="26"/>
      <c r="AF7" s="28"/>
      <c r="AI7" s="19"/>
      <c r="AJ7" s="14"/>
      <c r="AK7" s="6"/>
      <c r="AL7" s="20"/>
      <c r="AM7" s="5"/>
    </row>
    <row r="8" spans="2:39" outlineLevel="1" x14ac:dyDescent="0.3">
      <c r="B8" s="13">
        <f>B7+1</f>
        <v>2</v>
      </c>
      <c r="C8" s="57" t="s">
        <v>107</v>
      </c>
      <c r="D8" s="8">
        <v>39325</v>
      </c>
      <c r="E8" s="8"/>
      <c r="F8" s="8"/>
      <c r="G8" s="8" t="s">
        <v>250</v>
      </c>
      <c r="H8" s="53"/>
      <c r="I8" s="6" t="s">
        <v>108</v>
      </c>
      <c r="J8" s="6" t="s">
        <v>76</v>
      </c>
      <c r="K8" s="60">
        <v>3195424</v>
      </c>
      <c r="L8" s="6"/>
      <c r="M8" s="17"/>
      <c r="N8" s="101">
        <f t="shared" ref="N8:N34" si="2">IF(F8&gt;0,K8,0)</f>
        <v>0</v>
      </c>
      <c r="O8" s="61">
        <f t="shared" si="0"/>
        <v>3195424</v>
      </c>
      <c r="P8" s="25">
        <v>3194424</v>
      </c>
      <c r="Q8" s="17">
        <f t="shared" ref="Q8:Q34" si="3">SUM(U8:AF8)</f>
        <v>0</v>
      </c>
      <c r="R8" s="30">
        <f t="shared" si="1"/>
        <v>3194424</v>
      </c>
      <c r="S8" s="30">
        <f t="shared" ref="S8:S34" si="4">IF(N8&gt;0,O8,O8-R8)</f>
        <v>1000</v>
      </c>
      <c r="T8" s="177"/>
      <c r="U8" s="104"/>
      <c r="V8" s="87"/>
      <c r="W8" s="87"/>
      <c r="X8" s="87"/>
      <c r="Y8" s="26"/>
      <c r="Z8" s="27"/>
      <c r="AA8" s="87"/>
      <c r="AB8" s="26"/>
      <c r="AC8" s="27"/>
      <c r="AD8" s="26"/>
      <c r="AE8" s="26"/>
      <c r="AF8" s="28"/>
      <c r="AI8" s="19"/>
      <c r="AJ8" s="14"/>
      <c r="AK8" s="6"/>
      <c r="AL8" s="20"/>
      <c r="AM8" s="5"/>
    </row>
    <row r="9" spans="2:39" outlineLevel="1" x14ac:dyDescent="0.3">
      <c r="B9" s="13">
        <f t="shared" ref="B9:B38" si="5">B8+1</f>
        <v>3</v>
      </c>
      <c r="C9" s="57" t="s">
        <v>107</v>
      </c>
      <c r="D9" s="8">
        <v>39325</v>
      </c>
      <c r="E9" s="8"/>
      <c r="F9" s="8"/>
      <c r="G9" s="8" t="s">
        <v>250</v>
      </c>
      <c r="H9" s="53"/>
      <c r="I9" s="6" t="s">
        <v>109</v>
      </c>
      <c r="J9" s="6" t="s">
        <v>77</v>
      </c>
      <c r="K9" s="60">
        <v>3195424</v>
      </c>
      <c r="L9" s="6"/>
      <c r="M9" s="17"/>
      <c r="N9" s="101">
        <f t="shared" si="2"/>
        <v>0</v>
      </c>
      <c r="O9" s="61">
        <f t="shared" si="0"/>
        <v>3195424</v>
      </c>
      <c r="P9" s="25">
        <v>3194424</v>
      </c>
      <c r="Q9" s="17">
        <f t="shared" si="3"/>
        <v>0</v>
      </c>
      <c r="R9" s="30">
        <f t="shared" si="1"/>
        <v>3194424</v>
      </c>
      <c r="S9" s="30">
        <f t="shared" si="4"/>
        <v>1000</v>
      </c>
      <c r="T9" s="177"/>
      <c r="U9" s="104"/>
      <c r="V9" s="87"/>
      <c r="W9" s="87"/>
      <c r="X9" s="87"/>
      <c r="Y9" s="26"/>
      <c r="Z9" s="27"/>
      <c r="AA9" s="87"/>
      <c r="AB9" s="26"/>
      <c r="AC9" s="27"/>
      <c r="AD9" s="26"/>
      <c r="AE9" s="26"/>
      <c r="AF9" s="28"/>
      <c r="AI9" s="19"/>
      <c r="AJ9" s="14"/>
      <c r="AK9" s="6"/>
      <c r="AL9" s="20"/>
      <c r="AM9" s="5"/>
    </row>
    <row r="10" spans="2:39" outlineLevel="1" x14ac:dyDescent="0.3">
      <c r="B10" s="13">
        <f t="shared" si="5"/>
        <v>4</v>
      </c>
      <c r="C10" s="57" t="s">
        <v>107</v>
      </c>
      <c r="D10" s="8">
        <v>39325</v>
      </c>
      <c r="E10" s="8"/>
      <c r="F10" s="8"/>
      <c r="G10" s="8" t="s">
        <v>250</v>
      </c>
      <c r="H10" s="53"/>
      <c r="I10" s="6" t="s">
        <v>110</v>
      </c>
      <c r="J10" s="6" t="s">
        <v>78</v>
      </c>
      <c r="K10" s="60">
        <v>2648876</v>
      </c>
      <c r="L10" s="6"/>
      <c r="M10" s="17"/>
      <c r="N10" s="101">
        <f t="shared" si="2"/>
        <v>0</v>
      </c>
      <c r="O10" s="61">
        <f t="shared" si="0"/>
        <v>2648876</v>
      </c>
      <c r="P10" s="68">
        <v>2647876</v>
      </c>
      <c r="Q10" s="17">
        <f t="shared" si="3"/>
        <v>0</v>
      </c>
      <c r="R10" s="30">
        <f t="shared" si="1"/>
        <v>2647876</v>
      </c>
      <c r="S10" s="30">
        <f t="shared" si="4"/>
        <v>1000</v>
      </c>
      <c r="T10" s="177"/>
      <c r="U10" s="104"/>
      <c r="V10" s="87"/>
      <c r="W10" s="87"/>
      <c r="X10" s="87"/>
      <c r="Y10" s="26"/>
      <c r="Z10" s="27"/>
      <c r="AA10" s="87"/>
      <c r="AB10" s="26"/>
      <c r="AC10" s="27"/>
      <c r="AD10" s="26"/>
      <c r="AE10" s="26"/>
      <c r="AF10" s="28"/>
      <c r="AI10" s="19"/>
      <c r="AJ10" s="14"/>
      <c r="AK10" s="6"/>
      <c r="AL10" s="20"/>
      <c r="AM10" s="5"/>
    </row>
    <row r="11" spans="2:39" outlineLevel="1" x14ac:dyDescent="0.3">
      <c r="B11" s="13">
        <f t="shared" si="5"/>
        <v>5</v>
      </c>
      <c r="C11" s="57" t="s">
        <v>107</v>
      </c>
      <c r="D11" s="8">
        <v>39325</v>
      </c>
      <c r="E11" s="8"/>
      <c r="F11" s="8"/>
      <c r="G11" s="8" t="s">
        <v>250</v>
      </c>
      <c r="H11" s="53"/>
      <c r="I11" s="6" t="s">
        <v>111</v>
      </c>
      <c r="J11" s="6" t="s">
        <v>79</v>
      </c>
      <c r="K11" s="60">
        <v>3195424</v>
      </c>
      <c r="L11" s="6"/>
      <c r="M11" s="17"/>
      <c r="N11" s="101">
        <f t="shared" si="2"/>
        <v>0</v>
      </c>
      <c r="O11" s="61">
        <f t="shared" si="0"/>
        <v>3195424</v>
      </c>
      <c r="P11" s="25">
        <v>3194424</v>
      </c>
      <c r="Q11" s="17">
        <f t="shared" si="3"/>
        <v>0</v>
      </c>
      <c r="R11" s="30">
        <f t="shared" si="1"/>
        <v>3194424</v>
      </c>
      <c r="S11" s="30">
        <f t="shared" si="4"/>
        <v>1000</v>
      </c>
      <c r="T11" s="177"/>
      <c r="U11" s="104"/>
      <c r="V11" s="87"/>
      <c r="W11" s="87"/>
      <c r="X11" s="87"/>
      <c r="Y11" s="26"/>
      <c r="Z11" s="27"/>
      <c r="AA11" s="87"/>
      <c r="AB11" s="26"/>
      <c r="AC11" s="27"/>
      <c r="AD11" s="26"/>
      <c r="AE11" s="26"/>
      <c r="AF11" s="28"/>
      <c r="AI11" s="19"/>
      <c r="AJ11" s="14"/>
      <c r="AK11" s="6"/>
      <c r="AL11" s="20"/>
      <c r="AM11" s="5"/>
    </row>
    <row r="12" spans="2:39" outlineLevel="1" x14ac:dyDescent="0.3">
      <c r="B12" s="13">
        <f t="shared" si="5"/>
        <v>6</v>
      </c>
      <c r="C12" s="57" t="s">
        <v>107</v>
      </c>
      <c r="D12" s="8">
        <v>39325</v>
      </c>
      <c r="E12" s="8"/>
      <c r="F12" s="8"/>
      <c r="G12" s="8" t="s">
        <v>250</v>
      </c>
      <c r="H12" s="53"/>
      <c r="I12" s="6" t="s">
        <v>111</v>
      </c>
      <c r="J12" s="6" t="s">
        <v>80</v>
      </c>
      <c r="K12" s="60">
        <v>3195424</v>
      </c>
      <c r="L12" s="6"/>
      <c r="M12" s="17"/>
      <c r="N12" s="101">
        <f t="shared" si="2"/>
        <v>0</v>
      </c>
      <c r="O12" s="61">
        <f t="shared" si="0"/>
        <v>3195424</v>
      </c>
      <c r="P12" s="25">
        <v>3194424</v>
      </c>
      <c r="Q12" s="17">
        <f t="shared" si="3"/>
        <v>0</v>
      </c>
      <c r="R12" s="30">
        <f t="shared" si="1"/>
        <v>3194424</v>
      </c>
      <c r="S12" s="30">
        <f t="shared" si="4"/>
        <v>1000</v>
      </c>
      <c r="T12" s="177"/>
      <c r="U12" s="104"/>
      <c r="V12" s="87"/>
      <c r="W12" s="87"/>
      <c r="X12" s="87"/>
      <c r="Y12" s="26"/>
      <c r="Z12" s="27"/>
      <c r="AA12" s="87"/>
      <c r="AB12" s="26"/>
      <c r="AC12" s="27"/>
      <c r="AD12" s="26"/>
      <c r="AE12" s="26"/>
      <c r="AF12" s="28"/>
      <c r="AI12" s="19"/>
      <c r="AJ12" s="14"/>
      <c r="AK12" s="6"/>
      <c r="AL12" s="20"/>
      <c r="AM12" s="5"/>
    </row>
    <row r="13" spans="2:39" outlineLevel="1" x14ac:dyDescent="0.3">
      <c r="B13" s="13">
        <f t="shared" si="5"/>
        <v>7</v>
      </c>
      <c r="C13" s="57" t="s">
        <v>107</v>
      </c>
      <c r="D13" s="8">
        <v>39325</v>
      </c>
      <c r="E13" s="8"/>
      <c r="F13" s="8"/>
      <c r="G13" s="8" t="s">
        <v>252</v>
      </c>
      <c r="H13" s="53" t="s">
        <v>251</v>
      </c>
      <c r="I13" s="6" t="s">
        <v>112</v>
      </c>
      <c r="J13" s="6" t="s">
        <v>52</v>
      </c>
      <c r="K13" s="60">
        <v>10108562</v>
      </c>
      <c r="L13" s="6"/>
      <c r="M13" s="17"/>
      <c r="N13" s="101">
        <f t="shared" si="2"/>
        <v>0</v>
      </c>
      <c r="O13" s="61">
        <f t="shared" si="0"/>
        <v>10108562</v>
      </c>
      <c r="P13" s="25">
        <v>10107562</v>
      </c>
      <c r="Q13" s="17">
        <f t="shared" si="3"/>
        <v>0</v>
      </c>
      <c r="R13" s="30">
        <f t="shared" si="1"/>
        <v>10107562</v>
      </c>
      <c r="S13" s="30">
        <f t="shared" si="4"/>
        <v>1000</v>
      </c>
      <c r="T13" s="177"/>
      <c r="U13" s="104"/>
      <c r="V13" s="87"/>
      <c r="W13" s="87"/>
      <c r="X13" s="87"/>
      <c r="Y13" s="26"/>
      <c r="Z13" s="27"/>
      <c r="AA13" s="87"/>
      <c r="AB13" s="26"/>
      <c r="AC13" s="27"/>
      <c r="AD13" s="26"/>
      <c r="AE13" s="26"/>
      <c r="AF13" s="28"/>
      <c r="AI13" s="19"/>
      <c r="AJ13" s="14"/>
      <c r="AK13" s="6"/>
      <c r="AL13" s="20"/>
      <c r="AM13" s="5"/>
    </row>
    <row r="14" spans="2:39" outlineLevel="1" x14ac:dyDescent="0.3">
      <c r="B14" s="13">
        <f t="shared" si="5"/>
        <v>8</v>
      </c>
      <c r="C14" s="57" t="s">
        <v>107</v>
      </c>
      <c r="D14" s="8">
        <v>39805</v>
      </c>
      <c r="E14" s="8"/>
      <c r="F14" s="8"/>
      <c r="G14" s="8" t="s">
        <v>253</v>
      </c>
      <c r="H14" s="53" t="s">
        <v>251</v>
      </c>
      <c r="I14" s="6" t="s">
        <v>113</v>
      </c>
      <c r="J14" s="6"/>
      <c r="K14" s="60">
        <v>435560</v>
      </c>
      <c r="L14" s="6"/>
      <c r="M14" s="17"/>
      <c r="N14" s="101">
        <f t="shared" si="2"/>
        <v>0</v>
      </c>
      <c r="O14" s="61">
        <f t="shared" si="0"/>
        <v>435560</v>
      </c>
      <c r="P14" s="25">
        <v>434560.33333333331</v>
      </c>
      <c r="Q14" s="17">
        <f t="shared" si="3"/>
        <v>0</v>
      </c>
      <c r="R14" s="30">
        <f t="shared" si="1"/>
        <v>434560.33333333331</v>
      </c>
      <c r="S14" s="30">
        <f t="shared" si="4"/>
        <v>999.66666666668607</v>
      </c>
      <c r="T14" s="177"/>
      <c r="U14" s="104"/>
      <c r="V14" s="87"/>
      <c r="W14" s="87"/>
      <c r="X14" s="87"/>
      <c r="Y14" s="26"/>
      <c r="Z14" s="27"/>
      <c r="AA14" s="87"/>
      <c r="AB14" s="26"/>
      <c r="AC14" s="27"/>
      <c r="AD14" s="26"/>
      <c r="AE14" s="26"/>
      <c r="AF14" s="28"/>
      <c r="AI14" s="19"/>
      <c r="AJ14" s="14"/>
      <c r="AK14" s="6"/>
      <c r="AL14" s="20"/>
      <c r="AM14" s="5"/>
    </row>
    <row r="15" spans="2:39" outlineLevel="1" x14ac:dyDescent="0.3">
      <c r="B15" s="13">
        <f t="shared" si="5"/>
        <v>9</v>
      </c>
      <c r="C15" s="57" t="s">
        <v>107</v>
      </c>
      <c r="D15" s="8">
        <v>39902</v>
      </c>
      <c r="E15" s="8"/>
      <c r="F15" s="8"/>
      <c r="G15" s="8" t="s">
        <v>253</v>
      </c>
      <c r="H15" s="53" t="s">
        <v>251</v>
      </c>
      <c r="I15" s="6" t="s">
        <v>114</v>
      </c>
      <c r="J15" s="6"/>
      <c r="K15" s="60">
        <v>552000</v>
      </c>
      <c r="L15" s="6"/>
      <c r="M15" s="17"/>
      <c r="N15" s="101">
        <f t="shared" si="2"/>
        <v>0</v>
      </c>
      <c r="O15" s="61">
        <f t="shared" si="0"/>
        <v>552000</v>
      </c>
      <c r="P15" s="25">
        <v>551000</v>
      </c>
      <c r="Q15" s="17">
        <f t="shared" si="3"/>
        <v>0</v>
      </c>
      <c r="R15" s="30">
        <f t="shared" si="1"/>
        <v>551000</v>
      </c>
      <c r="S15" s="30">
        <f t="shared" si="4"/>
        <v>1000</v>
      </c>
      <c r="T15" s="177"/>
      <c r="U15" s="104"/>
      <c r="V15" s="87"/>
      <c r="W15" s="87"/>
      <c r="X15" s="87"/>
      <c r="Y15" s="26"/>
      <c r="Z15" s="27"/>
      <c r="AA15" s="87"/>
      <c r="AB15" s="26"/>
      <c r="AC15" s="27"/>
      <c r="AD15" s="26"/>
      <c r="AE15" s="26"/>
      <c r="AF15" s="28"/>
      <c r="AI15" s="19"/>
      <c r="AJ15" s="14"/>
      <c r="AK15" s="6"/>
      <c r="AL15" s="20"/>
      <c r="AM15" s="5"/>
    </row>
    <row r="16" spans="2:39" outlineLevel="1" x14ac:dyDescent="0.3">
      <c r="B16" s="13">
        <f t="shared" si="5"/>
        <v>10</v>
      </c>
      <c r="C16" s="57" t="s">
        <v>107</v>
      </c>
      <c r="D16" s="8">
        <v>39902</v>
      </c>
      <c r="E16" s="8"/>
      <c r="F16" s="8"/>
      <c r="G16" s="8" t="s">
        <v>253</v>
      </c>
      <c r="H16" s="53" t="s">
        <v>251</v>
      </c>
      <c r="I16" s="6" t="s">
        <v>115</v>
      </c>
      <c r="J16" s="6"/>
      <c r="K16" s="60">
        <v>435560</v>
      </c>
      <c r="L16" s="6"/>
      <c r="M16" s="17"/>
      <c r="N16" s="101">
        <f t="shared" si="2"/>
        <v>0</v>
      </c>
      <c r="O16" s="61">
        <f t="shared" si="0"/>
        <v>435560</v>
      </c>
      <c r="P16" s="25">
        <v>434560.33333333331</v>
      </c>
      <c r="Q16" s="17">
        <f t="shared" si="3"/>
        <v>0</v>
      </c>
      <c r="R16" s="30">
        <f t="shared" si="1"/>
        <v>434560.33333333331</v>
      </c>
      <c r="S16" s="30">
        <f t="shared" si="4"/>
        <v>999.66666666668607</v>
      </c>
      <c r="T16" s="177"/>
      <c r="U16" s="104"/>
      <c r="V16" s="87"/>
      <c r="W16" s="87"/>
      <c r="X16" s="87"/>
      <c r="Y16" s="26"/>
      <c r="Z16" s="27"/>
      <c r="AA16" s="87"/>
      <c r="AB16" s="26"/>
      <c r="AC16" s="27"/>
      <c r="AD16" s="26"/>
      <c r="AE16" s="26"/>
      <c r="AF16" s="28"/>
      <c r="AI16" s="19"/>
      <c r="AJ16" s="14"/>
      <c r="AK16" s="6"/>
      <c r="AL16" s="20"/>
      <c r="AM16" s="5"/>
    </row>
    <row r="17" spans="2:39" outlineLevel="1" x14ac:dyDescent="0.3">
      <c r="B17" s="13">
        <f t="shared" si="5"/>
        <v>11</v>
      </c>
      <c r="C17" s="57" t="s">
        <v>107</v>
      </c>
      <c r="D17" s="8">
        <v>39902</v>
      </c>
      <c r="E17" s="8"/>
      <c r="F17" s="8"/>
      <c r="G17" s="8" t="s">
        <v>253</v>
      </c>
      <c r="H17" s="53" t="s">
        <v>251</v>
      </c>
      <c r="I17" s="6" t="s">
        <v>116</v>
      </c>
      <c r="J17" s="6"/>
      <c r="K17" s="60">
        <v>435560</v>
      </c>
      <c r="L17" s="6"/>
      <c r="M17" s="17"/>
      <c r="N17" s="101">
        <f t="shared" si="2"/>
        <v>0</v>
      </c>
      <c r="O17" s="61">
        <f t="shared" si="0"/>
        <v>435560</v>
      </c>
      <c r="P17" s="25">
        <v>434560.33333333331</v>
      </c>
      <c r="Q17" s="17">
        <f t="shared" si="3"/>
        <v>0</v>
      </c>
      <c r="R17" s="30">
        <f t="shared" si="1"/>
        <v>434560.33333333331</v>
      </c>
      <c r="S17" s="30">
        <f t="shared" si="4"/>
        <v>999.66666666668607</v>
      </c>
      <c r="T17" s="177"/>
      <c r="U17" s="104"/>
      <c r="V17" s="87"/>
      <c r="W17" s="87"/>
      <c r="X17" s="87"/>
      <c r="Y17" s="26"/>
      <c r="Z17" s="27"/>
      <c r="AA17" s="87"/>
      <c r="AB17" s="26"/>
      <c r="AC17" s="27"/>
      <c r="AD17" s="26"/>
      <c r="AE17" s="26"/>
      <c r="AF17" s="28"/>
      <c r="AI17" s="19"/>
      <c r="AJ17" s="14"/>
      <c r="AK17" s="6"/>
      <c r="AL17" s="20"/>
      <c r="AM17" s="5"/>
    </row>
    <row r="18" spans="2:39" outlineLevel="1" x14ac:dyDescent="0.3">
      <c r="B18" s="13">
        <f t="shared" si="5"/>
        <v>12</v>
      </c>
      <c r="C18" s="57" t="s">
        <v>107</v>
      </c>
      <c r="D18" s="8">
        <v>41578</v>
      </c>
      <c r="E18" s="8"/>
      <c r="F18" s="8"/>
      <c r="G18" s="8" t="s">
        <v>250</v>
      </c>
      <c r="H18" s="53"/>
      <c r="I18" s="6" t="s">
        <v>117</v>
      </c>
      <c r="J18" s="6"/>
      <c r="K18" s="60">
        <v>856000</v>
      </c>
      <c r="L18" s="6"/>
      <c r="M18" s="17"/>
      <c r="N18" s="101">
        <f t="shared" si="2"/>
        <v>0</v>
      </c>
      <c r="O18" s="61">
        <f t="shared" ref="O18:O19" si="6">K18+L18-M18-N18</f>
        <v>856000</v>
      </c>
      <c r="P18" s="25">
        <v>854999.66666666674</v>
      </c>
      <c r="Q18" s="17">
        <f t="shared" si="3"/>
        <v>0</v>
      </c>
      <c r="R18" s="30">
        <f t="shared" ref="R18:R19" si="7">P18+Q18</f>
        <v>854999.66666666674</v>
      </c>
      <c r="S18" s="30">
        <f t="shared" si="4"/>
        <v>1000.3333333332557</v>
      </c>
      <c r="T18" s="177"/>
      <c r="U18" s="104"/>
      <c r="V18" s="87"/>
      <c r="W18" s="87"/>
      <c r="X18" s="87"/>
      <c r="Y18" s="26"/>
      <c r="Z18" s="27"/>
      <c r="AA18" s="87"/>
      <c r="AB18" s="26"/>
      <c r="AC18" s="27"/>
      <c r="AD18" s="26"/>
      <c r="AE18" s="26"/>
      <c r="AF18" s="28"/>
      <c r="AI18" s="19"/>
      <c r="AJ18" s="14"/>
      <c r="AK18" s="6"/>
      <c r="AL18" s="20"/>
      <c r="AM18" s="5"/>
    </row>
    <row r="19" spans="2:39" outlineLevel="1" x14ac:dyDescent="0.3">
      <c r="B19" s="13">
        <f t="shared" si="5"/>
        <v>13</v>
      </c>
      <c r="C19" s="57" t="s">
        <v>107</v>
      </c>
      <c r="D19" s="8">
        <v>41578</v>
      </c>
      <c r="E19" s="8"/>
      <c r="F19" s="8"/>
      <c r="G19" s="8" t="s">
        <v>250</v>
      </c>
      <c r="H19" s="53"/>
      <c r="I19" s="6" t="s">
        <v>118</v>
      </c>
      <c r="J19" s="6"/>
      <c r="K19" s="60">
        <v>352000</v>
      </c>
      <c r="L19" s="6"/>
      <c r="M19" s="17"/>
      <c r="N19" s="101">
        <f t="shared" si="2"/>
        <v>0</v>
      </c>
      <c r="O19" s="61">
        <f t="shared" si="6"/>
        <v>352000</v>
      </c>
      <c r="P19" s="25">
        <v>350999.66666666663</v>
      </c>
      <c r="Q19" s="17">
        <f t="shared" si="3"/>
        <v>0</v>
      </c>
      <c r="R19" s="30">
        <f t="shared" si="7"/>
        <v>350999.66666666663</v>
      </c>
      <c r="S19" s="30">
        <f t="shared" si="4"/>
        <v>1000.3333333333721</v>
      </c>
      <c r="T19" s="177"/>
      <c r="U19" s="104"/>
      <c r="V19" s="87"/>
      <c r="W19" s="87"/>
      <c r="X19" s="87"/>
      <c r="Y19" s="26"/>
      <c r="Z19" s="27"/>
      <c r="AA19" s="87"/>
      <c r="AB19" s="26"/>
      <c r="AC19" s="27"/>
      <c r="AD19" s="26"/>
      <c r="AE19" s="26"/>
      <c r="AF19" s="28"/>
      <c r="AI19" s="19"/>
      <c r="AJ19" s="14"/>
      <c r="AK19" s="6"/>
      <c r="AL19" s="20"/>
      <c r="AM19" s="5"/>
    </row>
    <row r="20" spans="2:39" outlineLevel="1" x14ac:dyDescent="0.3">
      <c r="B20" s="13">
        <f t="shared" si="5"/>
        <v>14</v>
      </c>
      <c r="C20" s="57" t="s">
        <v>107</v>
      </c>
      <c r="D20" s="8">
        <v>41578</v>
      </c>
      <c r="E20" s="8"/>
      <c r="F20" s="8"/>
      <c r="G20" s="8" t="s">
        <v>250</v>
      </c>
      <c r="H20" s="53"/>
      <c r="I20" s="6" t="s">
        <v>119</v>
      </c>
      <c r="J20" s="6"/>
      <c r="K20" s="60">
        <v>821120</v>
      </c>
      <c r="L20" s="6"/>
      <c r="M20" s="17"/>
      <c r="N20" s="101">
        <f t="shared" si="2"/>
        <v>0</v>
      </c>
      <c r="O20" s="61">
        <f>K20+L20-M20-N20</f>
        <v>821120</v>
      </c>
      <c r="P20" s="25">
        <v>820120.33333333326</v>
      </c>
      <c r="Q20" s="17">
        <f t="shared" si="3"/>
        <v>0</v>
      </c>
      <c r="R20" s="30">
        <f>P20+Q20</f>
        <v>820120.33333333326</v>
      </c>
      <c r="S20" s="30">
        <f t="shared" si="4"/>
        <v>999.66666666674428</v>
      </c>
      <c r="T20" s="177"/>
      <c r="U20" s="104"/>
      <c r="V20" s="87"/>
      <c r="W20" s="87"/>
      <c r="X20" s="87"/>
      <c r="Y20" s="26"/>
      <c r="Z20" s="27"/>
      <c r="AA20" s="87"/>
      <c r="AB20" s="26"/>
      <c r="AC20" s="27"/>
      <c r="AD20" s="26"/>
      <c r="AE20" s="26"/>
      <c r="AF20" s="28"/>
      <c r="AI20" s="19"/>
      <c r="AJ20" s="14"/>
      <c r="AK20" s="6"/>
      <c r="AL20" s="20"/>
      <c r="AM20" s="5"/>
    </row>
    <row r="21" spans="2:39" outlineLevel="1" x14ac:dyDescent="0.3">
      <c r="B21" s="13">
        <f t="shared" si="5"/>
        <v>15</v>
      </c>
      <c r="C21" s="57" t="s">
        <v>107</v>
      </c>
      <c r="D21" s="8">
        <v>41820</v>
      </c>
      <c r="E21" s="8"/>
      <c r="F21" s="8"/>
      <c r="G21" s="8" t="s">
        <v>250</v>
      </c>
      <c r="H21" s="53" t="s">
        <v>251</v>
      </c>
      <c r="I21" s="6" t="s">
        <v>120</v>
      </c>
      <c r="J21" s="6"/>
      <c r="K21" s="60">
        <v>30000000</v>
      </c>
      <c r="L21" s="6"/>
      <c r="M21" s="17"/>
      <c r="N21" s="101">
        <f t="shared" si="2"/>
        <v>0</v>
      </c>
      <c r="O21" s="61">
        <f t="shared" ref="O21:O34" si="8">K21+L21-M21-N21</f>
        <v>30000000</v>
      </c>
      <c r="P21" s="25">
        <v>29999000</v>
      </c>
      <c r="Q21" s="17">
        <f t="shared" si="3"/>
        <v>0</v>
      </c>
      <c r="R21" s="30">
        <f t="shared" ref="R21:R34" si="9">P21+Q21</f>
        <v>29999000</v>
      </c>
      <c r="S21" s="30">
        <f t="shared" si="4"/>
        <v>1000</v>
      </c>
      <c r="T21" s="177"/>
      <c r="U21" s="104"/>
      <c r="V21" s="87"/>
      <c r="W21" s="87"/>
      <c r="X21" s="87"/>
      <c r="Y21" s="26"/>
      <c r="Z21" s="27"/>
      <c r="AA21" s="87"/>
      <c r="AB21" s="26"/>
      <c r="AC21" s="27"/>
      <c r="AD21" s="26"/>
      <c r="AE21" s="26"/>
      <c r="AF21" s="28"/>
      <c r="AI21" s="19"/>
      <c r="AJ21" s="14"/>
      <c r="AK21" s="6"/>
      <c r="AL21" s="20"/>
      <c r="AM21" s="5"/>
    </row>
    <row r="22" spans="2:39" outlineLevel="1" x14ac:dyDescent="0.3">
      <c r="B22" s="13">
        <f t="shared" si="5"/>
        <v>16</v>
      </c>
      <c r="C22" s="57" t="s">
        <v>107</v>
      </c>
      <c r="D22" s="8">
        <v>41820</v>
      </c>
      <c r="E22" s="8"/>
      <c r="F22" s="8"/>
      <c r="G22" s="8" t="s">
        <v>250</v>
      </c>
      <c r="H22" s="53" t="s">
        <v>251</v>
      </c>
      <c r="I22" s="6" t="s">
        <v>120</v>
      </c>
      <c r="J22" s="6"/>
      <c r="K22" s="60">
        <v>7808416</v>
      </c>
      <c r="L22" s="6"/>
      <c r="M22" s="17"/>
      <c r="N22" s="101">
        <f t="shared" si="2"/>
        <v>0</v>
      </c>
      <c r="O22" s="61">
        <f t="shared" si="8"/>
        <v>7808416</v>
      </c>
      <c r="P22" s="25">
        <v>7807415.9333333327</v>
      </c>
      <c r="Q22" s="17">
        <f t="shared" si="3"/>
        <v>0</v>
      </c>
      <c r="R22" s="30">
        <f t="shared" si="9"/>
        <v>7807415.9333333327</v>
      </c>
      <c r="S22" s="30">
        <f t="shared" si="4"/>
        <v>1000.0666666673496</v>
      </c>
      <c r="T22" s="177"/>
      <c r="U22" s="104"/>
      <c r="V22" s="87"/>
      <c r="W22" s="87"/>
      <c r="X22" s="87"/>
      <c r="Y22" s="26"/>
      <c r="Z22" s="27"/>
      <c r="AA22" s="87"/>
      <c r="AB22" s="26"/>
      <c r="AC22" s="27"/>
      <c r="AD22" s="26"/>
      <c r="AE22" s="26"/>
      <c r="AF22" s="28"/>
      <c r="AI22" s="19"/>
      <c r="AJ22" s="14"/>
      <c r="AK22" s="6"/>
      <c r="AL22" s="20"/>
      <c r="AM22" s="5"/>
    </row>
    <row r="23" spans="2:39" outlineLevel="1" x14ac:dyDescent="0.3">
      <c r="B23" s="13">
        <f t="shared" si="5"/>
        <v>17</v>
      </c>
      <c r="C23" s="57" t="s">
        <v>107</v>
      </c>
      <c r="D23" s="70">
        <v>41880</v>
      </c>
      <c r="E23" s="9"/>
      <c r="F23" s="9"/>
      <c r="G23" s="8" t="s">
        <v>250</v>
      </c>
      <c r="H23" s="53" t="s">
        <v>251</v>
      </c>
      <c r="I23" s="6" t="s">
        <v>121</v>
      </c>
      <c r="J23" s="6"/>
      <c r="K23" s="25">
        <v>1189452</v>
      </c>
      <c r="L23" s="6"/>
      <c r="M23" s="17"/>
      <c r="N23" s="101">
        <f t="shared" si="2"/>
        <v>0</v>
      </c>
      <c r="O23" s="61">
        <f t="shared" si="8"/>
        <v>1189452</v>
      </c>
      <c r="P23" s="25">
        <v>1188451.8</v>
      </c>
      <c r="Q23" s="17">
        <f t="shared" si="3"/>
        <v>0</v>
      </c>
      <c r="R23" s="30">
        <f t="shared" si="9"/>
        <v>1188451.8</v>
      </c>
      <c r="S23" s="30">
        <f t="shared" si="4"/>
        <v>1000.1999999999534</v>
      </c>
      <c r="T23" s="177"/>
      <c r="U23" s="104"/>
      <c r="V23" s="87"/>
      <c r="W23" s="87"/>
      <c r="X23" s="87"/>
      <c r="Y23" s="26"/>
      <c r="Z23" s="27"/>
      <c r="AA23" s="87"/>
      <c r="AB23" s="26"/>
      <c r="AC23" s="27"/>
      <c r="AD23" s="26"/>
      <c r="AE23" s="26"/>
      <c r="AF23" s="28"/>
      <c r="AI23" s="19"/>
      <c r="AJ23" s="14"/>
      <c r="AK23" s="6"/>
      <c r="AL23" s="20"/>
      <c r="AM23" s="5"/>
    </row>
    <row r="24" spans="2:39" outlineLevel="1" x14ac:dyDescent="0.3">
      <c r="B24" s="13">
        <f t="shared" si="5"/>
        <v>18</v>
      </c>
      <c r="C24" s="57" t="s">
        <v>107</v>
      </c>
      <c r="D24" s="70">
        <v>41943</v>
      </c>
      <c r="E24" s="9"/>
      <c r="F24" s="9"/>
      <c r="G24" s="8" t="s">
        <v>250</v>
      </c>
      <c r="H24" s="53" t="s">
        <v>251</v>
      </c>
      <c r="I24" s="6" t="s">
        <v>122</v>
      </c>
      <c r="J24" s="6"/>
      <c r="K24" s="25">
        <v>1377360</v>
      </c>
      <c r="L24" s="6"/>
      <c r="M24" s="17"/>
      <c r="N24" s="101">
        <f t="shared" si="2"/>
        <v>0</v>
      </c>
      <c r="O24" s="61">
        <f t="shared" si="8"/>
        <v>1377360</v>
      </c>
      <c r="P24" s="25">
        <v>1376360</v>
      </c>
      <c r="Q24" s="17">
        <f t="shared" si="3"/>
        <v>0</v>
      </c>
      <c r="R24" s="30">
        <f t="shared" si="9"/>
        <v>1376360</v>
      </c>
      <c r="S24" s="30">
        <f t="shared" si="4"/>
        <v>1000</v>
      </c>
      <c r="T24" s="177"/>
      <c r="U24" s="104"/>
      <c r="V24" s="87"/>
      <c r="W24" s="87"/>
      <c r="X24" s="87"/>
      <c r="Y24" s="26"/>
      <c r="Z24" s="27"/>
      <c r="AA24" s="87"/>
      <c r="AB24" s="26"/>
      <c r="AC24" s="27"/>
      <c r="AD24" s="26"/>
      <c r="AE24" s="26"/>
      <c r="AF24" s="28"/>
      <c r="AI24" s="19"/>
      <c r="AJ24" s="14"/>
      <c r="AK24" s="6"/>
      <c r="AL24" s="20"/>
      <c r="AM24" s="5"/>
    </row>
    <row r="25" spans="2:39" outlineLevel="1" x14ac:dyDescent="0.3">
      <c r="B25" s="13">
        <f t="shared" si="5"/>
        <v>19</v>
      </c>
      <c r="C25" s="57" t="s">
        <v>107</v>
      </c>
      <c r="D25" s="70">
        <v>42094</v>
      </c>
      <c r="E25" s="9"/>
      <c r="F25" s="9"/>
      <c r="G25" s="8" t="s">
        <v>250</v>
      </c>
      <c r="H25" s="53" t="s">
        <v>251</v>
      </c>
      <c r="I25" s="6" t="s">
        <v>123</v>
      </c>
      <c r="J25" s="6"/>
      <c r="K25" s="25">
        <v>4284840</v>
      </c>
      <c r="L25" s="6"/>
      <c r="M25" s="17"/>
      <c r="N25" s="101">
        <f t="shared" si="2"/>
        <v>0</v>
      </c>
      <c r="O25" s="61">
        <f t="shared" si="8"/>
        <v>4284840</v>
      </c>
      <c r="P25" s="25">
        <v>4283840</v>
      </c>
      <c r="Q25" s="17">
        <f t="shared" si="3"/>
        <v>0</v>
      </c>
      <c r="R25" s="30">
        <f t="shared" si="9"/>
        <v>4283840</v>
      </c>
      <c r="S25" s="30">
        <f t="shared" si="4"/>
        <v>1000</v>
      </c>
      <c r="T25" s="177"/>
      <c r="U25" s="104"/>
      <c r="V25" s="87"/>
      <c r="W25" s="87"/>
      <c r="X25" s="87"/>
      <c r="Y25" s="26"/>
      <c r="Z25" s="27"/>
      <c r="AA25" s="87"/>
      <c r="AB25" s="26"/>
      <c r="AC25" s="27"/>
      <c r="AD25" s="26"/>
      <c r="AE25" s="26"/>
      <c r="AF25" s="28"/>
      <c r="AI25" s="19"/>
      <c r="AJ25" s="14"/>
      <c r="AK25" s="6"/>
      <c r="AL25" s="20"/>
      <c r="AM25" s="5"/>
    </row>
    <row r="26" spans="2:39" outlineLevel="1" x14ac:dyDescent="0.3">
      <c r="B26" s="13">
        <f t="shared" si="5"/>
        <v>20</v>
      </c>
      <c r="C26" s="57" t="s">
        <v>107</v>
      </c>
      <c r="D26" s="70">
        <v>42185</v>
      </c>
      <c r="E26" s="9"/>
      <c r="F26" s="9"/>
      <c r="G26" s="8" t="s">
        <v>250</v>
      </c>
      <c r="H26" s="53"/>
      <c r="I26" s="6" t="s">
        <v>124</v>
      </c>
      <c r="J26" s="6"/>
      <c r="K26" s="25">
        <v>957360</v>
      </c>
      <c r="L26" s="6"/>
      <c r="M26" s="17"/>
      <c r="N26" s="101">
        <f t="shared" si="2"/>
        <v>0</v>
      </c>
      <c r="O26" s="61">
        <f t="shared" si="8"/>
        <v>957360</v>
      </c>
      <c r="P26" s="25">
        <v>956360</v>
      </c>
      <c r="Q26" s="17">
        <f t="shared" si="3"/>
        <v>0</v>
      </c>
      <c r="R26" s="30">
        <f t="shared" si="9"/>
        <v>956360</v>
      </c>
      <c r="S26" s="30">
        <f t="shared" si="4"/>
        <v>1000</v>
      </c>
      <c r="T26" s="177"/>
      <c r="U26" s="104"/>
      <c r="V26" s="87"/>
      <c r="W26" s="87"/>
      <c r="X26" s="87"/>
      <c r="Y26" s="26"/>
      <c r="Z26" s="27"/>
      <c r="AA26" s="87"/>
      <c r="AB26" s="26"/>
      <c r="AC26" s="27"/>
      <c r="AD26" s="26"/>
      <c r="AE26" s="26"/>
      <c r="AF26" s="28"/>
      <c r="AI26" s="19"/>
      <c r="AJ26" s="14"/>
      <c r="AK26" s="6"/>
      <c r="AL26" s="20"/>
      <c r="AM26" s="5"/>
    </row>
    <row r="27" spans="2:39" x14ac:dyDescent="0.3">
      <c r="B27" s="13">
        <f t="shared" si="5"/>
        <v>21</v>
      </c>
      <c r="C27" s="57" t="s">
        <v>107</v>
      </c>
      <c r="D27" s="70">
        <v>43403</v>
      </c>
      <c r="E27" s="9"/>
      <c r="F27" s="9"/>
      <c r="G27" s="8" t="s">
        <v>250</v>
      </c>
      <c r="H27" s="53" t="s">
        <v>251</v>
      </c>
      <c r="I27" s="6" t="s">
        <v>125</v>
      </c>
      <c r="J27" s="6"/>
      <c r="K27" s="25">
        <v>1193200</v>
      </c>
      <c r="L27" s="6"/>
      <c r="M27" s="17"/>
      <c r="N27" s="101">
        <f t="shared" si="2"/>
        <v>0</v>
      </c>
      <c r="O27" s="61">
        <f t="shared" si="8"/>
        <v>1193200</v>
      </c>
      <c r="P27" s="25">
        <v>1192200</v>
      </c>
      <c r="Q27" s="17">
        <f t="shared" si="3"/>
        <v>0</v>
      </c>
      <c r="R27" s="30">
        <f t="shared" si="9"/>
        <v>1192200</v>
      </c>
      <c r="S27" s="30">
        <f t="shared" si="4"/>
        <v>1000</v>
      </c>
      <c r="T27" s="177"/>
      <c r="U27" s="104"/>
      <c r="V27" s="87"/>
      <c r="W27" s="87"/>
      <c r="X27" s="87"/>
      <c r="Y27" s="87"/>
      <c r="Z27" s="87"/>
      <c r="AA27" s="87"/>
      <c r="AB27" s="87"/>
      <c r="AC27" s="87"/>
      <c r="AD27" s="87"/>
      <c r="AE27" s="87"/>
      <c r="AF27" s="28"/>
      <c r="AI27" s="19"/>
      <c r="AJ27" s="14"/>
      <c r="AK27" s="6"/>
      <c r="AL27" s="20"/>
      <c r="AM27" s="5"/>
    </row>
    <row r="28" spans="2:39" x14ac:dyDescent="0.3">
      <c r="B28" s="13">
        <f t="shared" si="5"/>
        <v>22</v>
      </c>
      <c r="C28" s="57" t="s">
        <v>107</v>
      </c>
      <c r="D28" s="70">
        <v>43433</v>
      </c>
      <c r="E28" s="9"/>
      <c r="F28" s="9"/>
      <c r="G28" s="8" t="s">
        <v>250</v>
      </c>
      <c r="H28" s="53" t="s">
        <v>251</v>
      </c>
      <c r="I28" s="6" t="s">
        <v>126</v>
      </c>
      <c r="J28" s="6"/>
      <c r="K28" s="25">
        <v>409000</v>
      </c>
      <c r="L28" s="6"/>
      <c r="M28" s="17"/>
      <c r="N28" s="101">
        <f t="shared" si="2"/>
        <v>0</v>
      </c>
      <c r="O28" s="61">
        <f t="shared" si="8"/>
        <v>409000</v>
      </c>
      <c r="P28" s="25">
        <v>408000</v>
      </c>
      <c r="Q28" s="17">
        <f t="shared" si="3"/>
        <v>0</v>
      </c>
      <c r="R28" s="30">
        <f t="shared" si="9"/>
        <v>408000</v>
      </c>
      <c r="S28" s="30">
        <f t="shared" si="4"/>
        <v>1000</v>
      </c>
      <c r="T28" s="177"/>
      <c r="U28" s="104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28"/>
      <c r="AI28" s="19"/>
      <c r="AJ28" s="14"/>
      <c r="AK28" s="6"/>
      <c r="AL28" s="20"/>
      <c r="AM28" s="5"/>
    </row>
    <row r="29" spans="2:39" x14ac:dyDescent="0.3">
      <c r="B29" s="13">
        <f t="shared" si="5"/>
        <v>23</v>
      </c>
      <c r="C29" s="57" t="s">
        <v>107</v>
      </c>
      <c r="D29" s="70">
        <v>43455</v>
      </c>
      <c r="E29" s="9"/>
      <c r="F29" s="9"/>
      <c r="G29" s="8" t="s">
        <v>250</v>
      </c>
      <c r="H29" s="53" t="s">
        <v>251</v>
      </c>
      <c r="I29" s="6" t="s">
        <v>127</v>
      </c>
      <c r="J29" s="6"/>
      <c r="K29" s="25">
        <v>99000</v>
      </c>
      <c r="L29" s="6"/>
      <c r="M29" s="17"/>
      <c r="N29" s="101">
        <f t="shared" si="2"/>
        <v>0</v>
      </c>
      <c r="O29" s="61">
        <f t="shared" si="8"/>
        <v>99000</v>
      </c>
      <c r="P29" s="25">
        <v>98000</v>
      </c>
      <c r="Q29" s="17">
        <f t="shared" si="3"/>
        <v>0</v>
      </c>
      <c r="R29" s="30">
        <f t="shared" si="9"/>
        <v>98000</v>
      </c>
      <c r="S29" s="30">
        <f t="shared" si="4"/>
        <v>1000</v>
      </c>
      <c r="T29" s="177"/>
      <c r="U29" s="104"/>
      <c r="V29" s="87"/>
      <c r="W29" s="87"/>
      <c r="X29" s="87"/>
      <c r="Y29" s="87"/>
      <c r="Z29" s="87"/>
      <c r="AA29" s="87"/>
      <c r="AB29" s="87"/>
      <c r="AC29" s="87"/>
      <c r="AD29" s="87"/>
      <c r="AE29" s="87"/>
      <c r="AF29" s="28"/>
      <c r="AI29" s="19"/>
      <c r="AJ29" s="14"/>
      <c r="AK29" s="6"/>
      <c r="AL29" s="20"/>
      <c r="AM29" s="5"/>
    </row>
    <row r="30" spans="2:39" x14ac:dyDescent="0.3">
      <c r="B30" s="13">
        <f t="shared" si="5"/>
        <v>24</v>
      </c>
      <c r="C30" s="57" t="s">
        <v>107</v>
      </c>
      <c r="D30" s="70">
        <v>43455</v>
      </c>
      <c r="E30" s="9"/>
      <c r="F30" s="9"/>
      <c r="G30" s="8" t="s">
        <v>250</v>
      </c>
      <c r="H30" s="53" t="s">
        <v>251</v>
      </c>
      <c r="I30" s="6" t="s">
        <v>128</v>
      </c>
      <c r="J30" s="6"/>
      <c r="K30" s="25">
        <v>319120</v>
      </c>
      <c r="L30" s="6"/>
      <c r="M30" s="17"/>
      <c r="N30" s="101">
        <f t="shared" si="2"/>
        <v>0</v>
      </c>
      <c r="O30" s="61">
        <f t="shared" si="8"/>
        <v>319120</v>
      </c>
      <c r="P30" s="25">
        <v>318120</v>
      </c>
      <c r="Q30" s="17">
        <f t="shared" si="3"/>
        <v>0</v>
      </c>
      <c r="R30" s="30">
        <f t="shared" si="9"/>
        <v>318120</v>
      </c>
      <c r="S30" s="30">
        <f t="shared" si="4"/>
        <v>1000</v>
      </c>
      <c r="T30" s="177"/>
      <c r="U30" s="104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28"/>
      <c r="AI30" s="19"/>
      <c r="AJ30" s="14"/>
      <c r="AK30" s="6"/>
      <c r="AL30" s="20"/>
      <c r="AM30" s="5"/>
    </row>
    <row r="31" spans="2:39" x14ac:dyDescent="0.3">
      <c r="B31" s="13">
        <f t="shared" si="5"/>
        <v>25</v>
      </c>
      <c r="C31" s="57" t="s">
        <v>107</v>
      </c>
      <c r="D31" s="70">
        <v>43577</v>
      </c>
      <c r="E31" s="9"/>
      <c r="F31" s="9"/>
      <c r="G31" s="8" t="s">
        <v>250</v>
      </c>
      <c r="H31" s="53" t="s">
        <v>251</v>
      </c>
      <c r="I31" s="6" t="s">
        <v>129</v>
      </c>
      <c r="J31" s="6"/>
      <c r="K31" s="25">
        <v>198000</v>
      </c>
      <c r="L31" s="6"/>
      <c r="M31" s="17"/>
      <c r="N31" s="101">
        <f t="shared" si="2"/>
        <v>0</v>
      </c>
      <c r="O31" s="61">
        <f t="shared" si="8"/>
        <v>198000</v>
      </c>
      <c r="P31" s="25">
        <v>197000</v>
      </c>
      <c r="Q31" s="17">
        <f t="shared" si="3"/>
        <v>0</v>
      </c>
      <c r="R31" s="30">
        <f t="shared" si="9"/>
        <v>197000</v>
      </c>
      <c r="S31" s="30">
        <f t="shared" si="4"/>
        <v>1000</v>
      </c>
      <c r="T31" s="177"/>
      <c r="U31" s="104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28"/>
      <c r="AI31" s="19"/>
      <c r="AJ31" s="14"/>
      <c r="AK31" s="6"/>
      <c r="AL31" s="20"/>
      <c r="AM31" s="5"/>
    </row>
    <row r="32" spans="2:39" x14ac:dyDescent="0.3">
      <c r="B32" s="13">
        <f t="shared" si="5"/>
        <v>26</v>
      </c>
      <c r="C32" s="57" t="s">
        <v>107</v>
      </c>
      <c r="D32" s="70">
        <v>43577</v>
      </c>
      <c r="E32" s="9"/>
      <c r="F32" s="9"/>
      <c r="G32" s="8" t="s">
        <v>250</v>
      </c>
      <c r="H32" s="53" t="s">
        <v>251</v>
      </c>
      <c r="I32" s="6" t="s">
        <v>130</v>
      </c>
      <c r="J32" s="6"/>
      <c r="K32" s="25">
        <v>698240</v>
      </c>
      <c r="L32" s="6"/>
      <c r="M32" s="17"/>
      <c r="N32" s="101">
        <f t="shared" si="2"/>
        <v>0</v>
      </c>
      <c r="O32" s="61">
        <f t="shared" si="8"/>
        <v>698240</v>
      </c>
      <c r="P32" s="25">
        <v>697240</v>
      </c>
      <c r="Q32" s="17">
        <f t="shared" si="3"/>
        <v>0</v>
      </c>
      <c r="R32" s="30">
        <f t="shared" si="9"/>
        <v>697240</v>
      </c>
      <c r="S32" s="30">
        <f t="shared" si="4"/>
        <v>1000</v>
      </c>
      <c r="T32" s="177"/>
      <c r="U32" s="104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28"/>
      <c r="AI32" s="19"/>
      <c r="AJ32" s="14"/>
      <c r="AK32" s="6"/>
      <c r="AL32" s="20"/>
      <c r="AM32" s="5"/>
    </row>
    <row r="33" spans="2:39" x14ac:dyDescent="0.3">
      <c r="B33" s="13">
        <f t="shared" si="5"/>
        <v>27</v>
      </c>
      <c r="C33" s="57" t="s">
        <v>107</v>
      </c>
      <c r="D33" s="70">
        <v>43791</v>
      </c>
      <c r="E33" s="9"/>
      <c r="F33" s="9"/>
      <c r="G33" s="8" t="s">
        <v>250</v>
      </c>
      <c r="H33" s="53" t="s">
        <v>251</v>
      </c>
      <c r="I33" s="6" t="s">
        <v>131</v>
      </c>
      <c r="J33" s="6"/>
      <c r="K33" s="25">
        <v>297000</v>
      </c>
      <c r="L33" s="6"/>
      <c r="M33" s="17"/>
      <c r="N33" s="101">
        <f t="shared" si="2"/>
        <v>0</v>
      </c>
      <c r="O33" s="61">
        <f t="shared" si="8"/>
        <v>297000</v>
      </c>
      <c r="P33" s="25">
        <v>296000</v>
      </c>
      <c r="Q33" s="17">
        <f t="shared" si="3"/>
        <v>0</v>
      </c>
      <c r="R33" s="30">
        <f t="shared" si="9"/>
        <v>296000</v>
      </c>
      <c r="S33" s="30">
        <f t="shared" si="4"/>
        <v>1000</v>
      </c>
      <c r="T33" s="177"/>
      <c r="U33" s="104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28"/>
      <c r="AI33" s="19"/>
      <c r="AJ33" s="14"/>
      <c r="AK33" s="6"/>
      <c r="AL33" s="20"/>
      <c r="AM33" s="5"/>
    </row>
    <row r="34" spans="2:39" x14ac:dyDescent="0.3">
      <c r="B34" s="13">
        <f t="shared" si="5"/>
        <v>28</v>
      </c>
      <c r="C34" s="57" t="s">
        <v>107</v>
      </c>
      <c r="D34" s="70">
        <v>43791</v>
      </c>
      <c r="E34" s="9"/>
      <c r="F34" s="9"/>
      <c r="G34" s="8" t="s">
        <v>250</v>
      </c>
      <c r="H34" s="53" t="s">
        <v>251</v>
      </c>
      <c r="I34" s="6" t="s">
        <v>132</v>
      </c>
      <c r="J34" s="6"/>
      <c r="K34" s="25">
        <v>440240</v>
      </c>
      <c r="L34" s="6"/>
      <c r="M34" s="17"/>
      <c r="N34" s="101">
        <f t="shared" si="2"/>
        <v>0</v>
      </c>
      <c r="O34" s="61">
        <f t="shared" si="8"/>
        <v>440240</v>
      </c>
      <c r="P34" s="25">
        <v>439240</v>
      </c>
      <c r="Q34" s="17">
        <f t="shared" si="3"/>
        <v>0</v>
      </c>
      <c r="R34" s="30">
        <f t="shared" si="9"/>
        <v>439240</v>
      </c>
      <c r="S34" s="30">
        <f t="shared" si="4"/>
        <v>1000</v>
      </c>
      <c r="T34" s="177"/>
      <c r="U34" s="104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28"/>
      <c r="AI34" s="19"/>
      <c r="AJ34" s="14"/>
      <c r="AK34" s="6"/>
      <c r="AL34" s="20"/>
      <c r="AM34" s="5"/>
    </row>
    <row r="35" spans="2:39" x14ac:dyDescent="0.3">
      <c r="B35" s="13">
        <v>29</v>
      </c>
      <c r="C35" s="57" t="s">
        <v>107</v>
      </c>
      <c r="D35" s="70">
        <v>45713</v>
      </c>
      <c r="E35" s="9"/>
      <c r="F35" s="9"/>
      <c r="G35" s="8" t="s">
        <v>250</v>
      </c>
      <c r="H35" s="53" t="s">
        <v>251</v>
      </c>
      <c r="I35" s="6" t="s">
        <v>291</v>
      </c>
      <c r="J35" s="6"/>
      <c r="K35" s="25">
        <v>539000</v>
      </c>
      <c r="L35" s="6"/>
      <c r="M35" s="17"/>
      <c r="N35" s="101">
        <f t="shared" ref="N35:N38" si="10">IF(F35&gt;0,K35,0)</f>
        <v>0</v>
      </c>
      <c r="O35" s="61">
        <f t="shared" ref="O35:O38" si="11">K35+L35-M35-N35</f>
        <v>539000</v>
      </c>
      <c r="P35" s="25">
        <v>98813</v>
      </c>
      <c r="Q35" s="17">
        <f t="shared" ref="Q35:Q38" si="12">SUM(U35:AF35)</f>
        <v>35932</v>
      </c>
      <c r="R35" s="30">
        <f t="shared" ref="R35:R36" si="13">P35+Q35</f>
        <v>134745</v>
      </c>
      <c r="S35" s="30">
        <f>IF(N35&gt;0,O35,O35-R35)</f>
        <v>404255</v>
      </c>
      <c r="T35" s="177"/>
      <c r="U35" s="235">
        <f t="shared" ref="U35:X38" si="14">INT($O35/$E$4)</f>
        <v>8983</v>
      </c>
      <c r="V35" s="316">
        <f t="shared" si="14"/>
        <v>8983</v>
      </c>
      <c r="W35" s="316">
        <f t="shared" si="14"/>
        <v>8983</v>
      </c>
      <c r="X35" s="316">
        <f t="shared" si="14"/>
        <v>8983</v>
      </c>
      <c r="Y35" s="316"/>
      <c r="Z35" s="316"/>
      <c r="AA35" s="316"/>
      <c r="AB35" s="316"/>
      <c r="AC35" s="316"/>
      <c r="AD35" s="316"/>
      <c r="AE35" s="316"/>
      <c r="AF35" s="376"/>
      <c r="AI35" s="19"/>
      <c r="AJ35" s="14"/>
      <c r="AK35" s="6"/>
      <c r="AL35" s="20"/>
      <c r="AM35" s="5"/>
    </row>
    <row r="36" spans="2:39" x14ac:dyDescent="0.3">
      <c r="B36" s="13">
        <f t="shared" si="5"/>
        <v>30</v>
      </c>
      <c r="C36" s="57" t="s">
        <v>107</v>
      </c>
      <c r="D36" s="70">
        <v>45713</v>
      </c>
      <c r="E36" s="9"/>
      <c r="F36" s="9"/>
      <c r="G36" s="8" t="s">
        <v>250</v>
      </c>
      <c r="H36" s="53" t="s">
        <v>251</v>
      </c>
      <c r="I36" s="6" t="s">
        <v>292</v>
      </c>
      <c r="J36" s="6"/>
      <c r="K36" s="25">
        <v>2263840</v>
      </c>
      <c r="L36" s="6"/>
      <c r="M36" s="17"/>
      <c r="N36" s="101">
        <f t="shared" si="10"/>
        <v>0</v>
      </c>
      <c r="O36" s="61">
        <f t="shared" si="11"/>
        <v>2263840</v>
      </c>
      <c r="P36" s="25">
        <v>415030</v>
      </c>
      <c r="Q36" s="17">
        <f t="shared" si="12"/>
        <v>150920</v>
      </c>
      <c r="R36" s="30">
        <f t="shared" si="13"/>
        <v>565950</v>
      </c>
      <c r="S36" s="30">
        <f t="shared" ref="S36" si="15">IF(N36&gt;0,O36,O36-R36)</f>
        <v>1697890</v>
      </c>
      <c r="T36" s="177"/>
      <c r="U36" s="235">
        <f t="shared" si="14"/>
        <v>37730</v>
      </c>
      <c r="V36" s="316">
        <f t="shared" si="14"/>
        <v>37730</v>
      </c>
      <c r="W36" s="316">
        <f t="shared" si="14"/>
        <v>37730</v>
      </c>
      <c r="X36" s="316">
        <f t="shared" si="14"/>
        <v>37730</v>
      </c>
      <c r="Y36" s="316"/>
      <c r="Z36" s="316"/>
      <c r="AA36" s="316"/>
      <c r="AB36" s="316"/>
      <c r="AC36" s="316"/>
      <c r="AD36" s="316"/>
      <c r="AE36" s="316"/>
      <c r="AF36" s="376"/>
      <c r="AI36" s="19"/>
      <c r="AJ36" s="14"/>
      <c r="AK36" s="6"/>
      <c r="AL36" s="20"/>
      <c r="AM36" s="5"/>
    </row>
    <row r="37" spans="2:39" x14ac:dyDescent="0.3">
      <c r="B37" s="13">
        <f t="shared" si="5"/>
        <v>31</v>
      </c>
      <c r="C37" s="57" t="s">
        <v>107</v>
      </c>
      <c r="D37" s="70">
        <v>46047</v>
      </c>
      <c r="E37" s="47"/>
      <c r="F37" s="9"/>
      <c r="G37" s="8" t="s">
        <v>250</v>
      </c>
      <c r="H37" s="53" t="s">
        <v>251</v>
      </c>
      <c r="I37" s="6" t="s">
        <v>344</v>
      </c>
      <c r="J37" s="6"/>
      <c r="K37" s="25">
        <v>329120</v>
      </c>
      <c r="L37" s="6"/>
      <c r="M37" s="17"/>
      <c r="N37" s="29">
        <f t="shared" si="10"/>
        <v>0</v>
      </c>
      <c r="O37" s="61">
        <f t="shared" si="11"/>
        <v>329120</v>
      </c>
      <c r="P37" s="25">
        <v>0</v>
      </c>
      <c r="Q37" s="17">
        <f t="shared" si="12"/>
        <v>21940</v>
      </c>
      <c r="R37" s="30">
        <f t="shared" ref="R37:R38" si="16">P37+Q37</f>
        <v>21940</v>
      </c>
      <c r="S37" s="30">
        <f t="shared" ref="S37:S38" si="17">IF(N37&gt;0,O37,O37-R37)</f>
        <v>307180</v>
      </c>
      <c r="T37" s="177"/>
      <c r="U37" s="235">
        <f t="shared" si="14"/>
        <v>5485</v>
      </c>
      <c r="V37" s="364">
        <f t="shared" si="14"/>
        <v>5485</v>
      </c>
      <c r="W37" s="364">
        <f t="shared" si="14"/>
        <v>5485</v>
      </c>
      <c r="X37" s="364">
        <f t="shared" si="14"/>
        <v>5485</v>
      </c>
      <c r="Y37" s="364"/>
      <c r="Z37" s="27"/>
      <c r="AA37" s="27"/>
      <c r="AB37" s="27"/>
      <c r="AC37" s="27"/>
      <c r="AD37" s="364"/>
      <c r="AE37" s="364"/>
      <c r="AF37" s="167"/>
      <c r="AI37" s="19"/>
      <c r="AJ37" s="14"/>
      <c r="AK37" s="6"/>
      <c r="AL37" s="20"/>
      <c r="AM37" s="5"/>
    </row>
    <row r="38" spans="2:39" x14ac:dyDescent="0.3">
      <c r="B38" s="13">
        <f t="shared" si="5"/>
        <v>32</v>
      </c>
      <c r="C38" s="57" t="s">
        <v>107</v>
      </c>
      <c r="D38" s="70">
        <v>46047</v>
      </c>
      <c r="E38" s="47"/>
      <c r="F38" s="9"/>
      <c r="G38" s="8" t="s">
        <v>250</v>
      </c>
      <c r="H38" s="53" t="s">
        <v>251</v>
      </c>
      <c r="I38" s="6" t="s">
        <v>345</v>
      </c>
      <c r="J38" s="6"/>
      <c r="K38" s="25">
        <v>77000</v>
      </c>
      <c r="L38" s="6"/>
      <c r="M38" s="17"/>
      <c r="N38" s="29">
        <f t="shared" si="10"/>
        <v>0</v>
      </c>
      <c r="O38" s="61">
        <f t="shared" si="11"/>
        <v>77000</v>
      </c>
      <c r="P38" s="25">
        <v>0</v>
      </c>
      <c r="Q38" s="17">
        <f t="shared" si="12"/>
        <v>5132</v>
      </c>
      <c r="R38" s="30">
        <f t="shared" si="16"/>
        <v>5132</v>
      </c>
      <c r="S38" s="30">
        <f t="shared" si="17"/>
        <v>71868</v>
      </c>
      <c r="T38" s="177"/>
      <c r="U38" s="235">
        <f t="shared" si="14"/>
        <v>1283</v>
      </c>
      <c r="V38" s="364">
        <f t="shared" si="14"/>
        <v>1283</v>
      </c>
      <c r="W38" s="364">
        <f t="shared" si="14"/>
        <v>1283</v>
      </c>
      <c r="X38" s="364">
        <f t="shared" si="14"/>
        <v>1283</v>
      </c>
      <c r="Y38" s="364"/>
      <c r="Z38" s="27"/>
      <c r="AA38" s="27"/>
      <c r="AB38" s="27"/>
      <c r="AC38" s="27"/>
      <c r="AD38" s="364"/>
      <c r="AE38" s="364"/>
      <c r="AF38" s="167"/>
      <c r="AI38" s="19"/>
      <c r="AJ38" s="14"/>
      <c r="AK38" s="6"/>
      <c r="AL38" s="20"/>
      <c r="AM38" s="5"/>
    </row>
    <row r="39" spans="2:39" ht="14.25" thickBot="1" x14ac:dyDescent="0.35">
      <c r="B39" s="13"/>
      <c r="C39" s="57"/>
      <c r="D39" s="50"/>
      <c r="E39" s="47"/>
      <c r="F39" s="50"/>
      <c r="G39" s="50"/>
      <c r="H39" s="47"/>
      <c r="I39" s="54"/>
      <c r="J39" s="54"/>
      <c r="K39" s="69"/>
      <c r="L39" s="54"/>
      <c r="M39" s="18"/>
      <c r="N39" s="16"/>
      <c r="O39" s="62"/>
      <c r="P39" s="25"/>
      <c r="Q39" s="17"/>
      <c r="R39" s="30"/>
      <c r="S39" s="30"/>
      <c r="T39" s="20"/>
      <c r="U39" s="69"/>
      <c r="V39" s="126"/>
      <c r="W39" s="380"/>
      <c r="X39" s="126"/>
      <c r="Y39" s="126"/>
      <c r="Z39" s="380"/>
      <c r="AA39" s="381"/>
      <c r="AB39" s="381"/>
      <c r="AC39" s="380"/>
      <c r="AD39" s="126"/>
      <c r="AE39" s="126"/>
      <c r="AF39" s="382"/>
      <c r="AI39" s="19"/>
      <c r="AJ39" s="14"/>
      <c r="AK39" s="6"/>
      <c r="AL39" s="20"/>
      <c r="AM39" s="5"/>
    </row>
    <row r="40" spans="2:39" s="2" customFormat="1" ht="19.5" customHeight="1" collapsed="1" thickBot="1" x14ac:dyDescent="0.35">
      <c r="B40" s="400" t="s">
        <v>260</v>
      </c>
      <c r="C40" s="401"/>
      <c r="D40" s="401"/>
      <c r="E40" s="401"/>
      <c r="F40" s="401"/>
      <c r="G40" s="401"/>
      <c r="H40" s="401"/>
      <c r="I40" s="401"/>
      <c r="J40" s="10"/>
      <c r="K40" s="63">
        <f t="shared" ref="K40:S40" si="18">SUM(K7:K39)</f>
        <v>85033589</v>
      </c>
      <c r="L40" s="36">
        <f t="shared" si="18"/>
        <v>0</v>
      </c>
      <c r="M40" s="37">
        <f t="shared" si="18"/>
        <v>0</v>
      </c>
      <c r="N40" s="11">
        <f t="shared" si="18"/>
        <v>0</v>
      </c>
      <c r="O40" s="64">
        <f t="shared" si="18"/>
        <v>85033589</v>
      </c>
      <c r="P40" s="63">
        <f t="shared" si="18"/>
        <v>82310472.399999991</v>
      </c>
      <c r="Q40" s="36">
        <f t="shared" si="18"/>
        <v>213924</v>
      </c>
      <c r="R40" s="35">
        <f t="shared" si="18"/>
        <v>82524396.399999991</v>
      </c>
      <c r="S40" s="65">
        <f t="shared" si="18"/>
        <v>2509192.6000000006</v>
      </c>
      <c r="T40" s="20"/>
      <c r="U40" s="100">
        <f>SUM(U7:U39)</f>
        <v>53481</v>
      </c>
      <c r="V40" s="31">
        <f>SUM(V7:V39)</f>
        <v>53481</v>
      </c>
      <c r="W40" s="31">
        <f>SUM(W7:W39)</f>
        <v>53481</v>
      </c>
      <c r="X40" s="31">
        <f>SUM(X7:X39)</f>
        <v>53481</v>
      </c>
      <c r="Y40" s="31">
        <f t="shared" ref="Y40:AF40" si="19">SUM(Y7:Y39)</f>
        <v>0</v>
      </c>
      <c r="Z40" s="31">
        <f t="shared" si="19"/>
        <v>0</v>
      </c>
      <c r="AA40" s="31">
        <f t="shared" si="19"/>
        <v>0</v>
      </c>
      <c r="AB40" s="31">
        <f t="shared" si="19"/>
        <v>0</v>
      </c>
      <c r="AC40" s="31">
        <f t="shared" si="19"/>
        <v>0</v>
      </c>
      <c r="AD40" s="31">
        <f t="shared" si="19"/>
        <v>0</v>
      </c>
      <c r="AE40" s="31">
        <f t="shared" si="19"/>
        <v>0</v>
      </c>
      <c r="AF40" s="31">
        <f t="shared" si="19"/>
        <v>0</v>
      </c>
      <c r="AG40" s="1"/>
      <c r="AI40" s="40">
        <v>14758785</v>
      </c>
      <c r="AJ40" s="43">
        <v>5849520</v>
      </c>
      <c r="AK40" s="45">
        <f>AI40-S40</f>
        <v>12249592.399999999</v>
      </c>
      <c r="AL40" s="41">
        <f>AJ40-Q40</f>
        <v>5635596</v>
      </c>
    </row>
    <row r="43" spans="2:39" x14ac:dyDescent="0.3">
      <c r="U43" s="5"/>
      <c r="Y43" s="5"/>
    </row>
    <row r="45" spans="2:39" x14ac:dyDescent="0.3">
      <c r="C45" s="3"/>
      <c r="H45" s="1"/>
      <c r="J45" s="34"/>
      <c r="K45" s="1"/>
      <c r="L45" s="34"/>
      <c r="M45" s="1"/>
      <c r="O45" s="34"/>
      <c r="P45" s="1"/>
    </row>
  </sheetData>
  <mergeCells count="7">
    <mergeCell ref="AI5:AL5"/>
    <mergeCell ref="B40:I40"/>
    <mergeCell ref="B5:B6"/>
    <mergeCell ref="K5:O5"/>
    <mergeCell ref="P5:R5"/>
    <mergeCell ref="S5:S6"/>
    <mergeCell ref="U5:AF5"/>
  </mergeCells>
  <phoneticPr fontId="2" type="noConversion"/>
  <pageMargins left="0.7" right="0.7" top="0.75" bottom="0.75" header="0.3" footer="0.3"/>
  <pageSetup paperSize="9" scale="25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2:AM11"/>
  <sheetViews>
    <sheetView view="pageBreakPreview" zoomScale="80" zoomScaleNormal="70" zoomScaleSheetLayoutView="80" workbookViewId="0">
      <pane xSplit="9" ySplit="6" topLeftCell="N7" activePane="bottomRight" state="frozen"/>
      <selection activeCell="F13" sqref="F13"/>
      <selection pane="topRight" activeCell="F13" sqref="F13"/>
      <selection pane="bottomLeft" activeCell="F13" sqref="F13"/>
      <selection pane="bottomRight" activeCell="Z31" sqref="Z31"/>
    </sheetView>
  </sheetViews>
  <sheetFormatPr defaultRowHeight="13.5" outlineLevelCol="1" x14ac:dyDescent="0.3"/>
  <cols>
    <col min="1" max="1" width="3.5" style="1" customWidth="1"/>
    <col min="2" max="2" width="8" style="1" bestFit="1" customWidth="1"/>
    <col min="3" max="3" width="11.375" style="1" bestFit="1" customWidth="1"/>
    <col min="4" max="4" width="14.625" style="3" customWidth="1"/>
    <col min="5" max="6" width="9.75" style="3" bestFit="1" customWidth="1"/>
    <col min="7" max="7" width="13" style="3" bestFit="1" customWidth="1"/>
    <col min="8" max="8" width="6.375" style="3" customWidth="1"/>
    <col min="9" max="9" width="45.375" style="1" bestFit="1" customWidth="1"/>
    <col min="10" max="10" width="14.875" style="1" bestFit="1" customWidth="1"/>
    <col min="11" max="11" width="14.25" style="34" bestFit="1" customWidth="1"/>
    <col min="12" max="12" width="10.25" style="1" customWidth="1" outlineLevel="1"/>
    <col min="13" max="13" width="13.25" style="34" customWidth="1" outlineLevel="1"/>
    <col min="14" max="14" width="12.75" style="1" bestFit="1" customWidth="1" outlineLevel="1"/>
    <col min="15" max="15" width="14.25" style="1" bestFit="1" customWidth="1"/>
    <col min="16" max="16" width="14.25" style="34" customWidth="1"/>
    <col min="17" max="17" width="11.625" style="1" customWidth="1"/>
    <col min="18" max="18" width="13.25" style="1" customWidth="1"/>
    <col min="19" max="19" width="14.25" style="1" customWidth="1"/>
    <col min="20" max="20" width="2" style="1" customWidth="1"/>
    <col min="21" max="32" width="12.75" style="1" customWidth="1"/>
    <col min="33" max="33" width="4.25" style="1" customWidth="1"/>
    <col min="34" max="34" width="2" style="1" customWidth="1"/>
    <col min="35" max="35" width="13.625" style="1" bestFit="1" customWidth="1"/>
    <col min="36" max="36" width="12.375" style="1" customWidth="1"/>
    <col min="37" max="37" width="14" style="1" bestFit="1" customWidth="1"/>
    <col min="38" max="38" width="12.875" style="1" bestFit="1" customWidth="1"/>
    <col min="39" max="39" width="11.5" style="1" bestFit="1" customWidth="1"/>
    <col min="40" max="16384" width="9" style="1"/>
  </cols>
  <sheetData>
    <row r="2" spans="2:39" ht="20.25" x14ac:dyDescent="0.3">
      <c r="B2" s="72" t="s">
        <v>159</v>
      </c>
    </row>
    <row r="3" spans="2:39" x14ac:dyDescent="0.3">
      <c r="B3" s="1" t="s">
        <v>23</v>
      </c>
      <c r="D3" s="46">
        <f>상표권!D3</f>
        <v>46142</v>
      </c>
    </row>
    <row r="4" spans="2:39" ht="14.25" thickBot="1" x14ac:dyDescent="0.35">
      <c r="C4" s="1" t="s">
        <v>19</v>
      </c>
      <c r="D4" s="210" t="s">
        <v>18</v>
      </c>
      <c r="E4" s="1">
        <v>60</v>
      </c>
      <c r="F4" s="1"/>
      <c r="G4" s="1"/>
      <c r="H4" s="1"/>
      <c r="P4" s="3" t="s">
        <v>290</v>
      </c>
      <c r="Q4" s="3" t="s">
        <v>316</v>
      </c>
      <c r="S4" s="3" t="s">
        <v>316</v>
      </c>
    </row>
    <row r="5" spans="2:39" ht="16.5" customHeight="1" x14ac:dyDescent="0.3">
      <c r="B5" s="422" t="s">
        <v>11</v>
      </c>
      <c r="C5" s="202"/>
      <c r="D5" s="201"/>
      <c r="E5" s="201"/>
      <c r="F5" s="192"/>
      <c r="G5" s="187"/>
      <c r="H5" s="186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5"/>
      <c r="T5" s="20"/>
      <c r="U5" s="402" t="s">
        <v>277</v>
      </c>
      <c r="V5" s="403"/>
      <c r="W5" s="403"/>
      <c r="X5" s="403"/>
      <c r="Y5" s="403"/>
      <c r="Z5" s="403"/>
      <c r="AA5" s="403"/>
      <c r="AB5" s="403"/>
      <c r="AC5" s="403"/>
      <c r="AD5" s="403"/>
      <c r="AE5" s="403"/>
      <c r="AF5" s="404"/>
      <c r="AI5" s="402" t="s">
        <v>20</v>
      </c>
      <c r="AJ5" s="403"/>
      <c r="AK5" s="403"/>
      <c r="AL5" s="404"/>
    </row>
    <row r="6" spans="2:39" ht="30" customHeight="1" thickBot="1" x14ac:dyDescent="0.35">
      <c r="B6" s="423"/>
      <c r="C6" s="199" t="s">
        <v>0</v>
      </c>
      <c r="D6" s="200" t="s">
        <v>133</v>
      </c>
      <c r="E6" s="209" t="s">
        <v>15</v>
      </c>
      <c r="F6" s="197" t="s">
        <v>249</v>
      </c>
      <c r="G6" s="198" t="s">
        <v>248</v>
      </c>
      <c r="H6" s="197" t="s">
        <v>247</v>
      </c>
      <c r="I6" s="200" t="s">
        <v>2</v>
      </c>
      <c r="J6" s="184" t="s">
        <v>3</v>
      </c>
      <c r="K6" s="184" t="s">
        <v>4</v>
      </c>
      <c r="L6" s="184" t="s">
        <v>267</v>
      </c>
      <c r="M6" s="48" t="s">
        <v>268</v>
      </c>
      <c r="N6" s="184" t="s">
        <v>269</v>
      </c>
      <c r="O6" s="184" t="s">
        <v>1</v>
      </c>
      <c r="P6" s="48" t="s">
        <v>270</v>
      </c>
      <c r="Q6" s="184" t="s">
        <v>271</v>
      </c>
      <c r="R6" s="184" t="s">
        <v>272</v>
      </c>
      <c r="S6" s="185" t="s">
        <v>17</v>
      </c>
      <c r="T6" s="20"/>
      <c r="U6" s="23" t="s">
        <v>306</v>
      </c>
      <c r="V6" s="21" t="s">
        <v>307</v>
      </c>
      <c r="W6" s="24" t="s">
        <v>308</v>
      </c>
      <c r="X6" s="84" t="s">
        <v>309</v>
      </c>
      <c r="Y6" s="84" t="s">
        <v>310</v>
      </c>
      <c r="Z6" s="21" t="s">
        <v>311</v>
      </c>
      <c r="AA6" s="24" t="s">
        <v>312</v>
      </c>
      <c r="AB6" s="21" t="s">
        <v>313</v>
      </c>
      <c r="AC6" s="24" t="s">
        <v>314</v>
      </c>
      <c r="AD6" s="21" t="s">
        <v>303</v>
      </c>
      <c r="AE6" s="24" t="s">
        <v>304</v>
      </c>
      <c r="AF6" s="22" t="s">
        <v>305</v>
      </c>
      <c r="AI6" s="38" t="s">
        <v>136</v>
      </c>
      <c r="AJ6" s="42" t="s">
        <v>103</v>
      </c>
      <c r="AK6" s="44" t="s">
        <v>138</v>
      </c>
      <c r="AL6" s="39" t="s">
        <v>105</v>
      </c>
    </row>
    <row r="7" spans="2:39" x14ac:dyDescent="0.3">
      <c r="B7" s="13">
        <v>1</v>
      </c>
      <c r="C7" s="57" t="s">
        <v>136</v>
      </c>
      <c r="D7" s="8">
        <v>43830</v>
      </c>
      <c r="E7" s="52"/>
      <c r="F7" s="52"/>
      <c r="G7" s="52" t="s">
        <v>252</v>
      </c>
      <c r="H7" s="52" t="s">
        <v>251</v>
      </c>
      <c r="I7" s="6" t="s">
        <v>137</v>
      </c>
      <c r="J7" s="6"/>
      <c r="K7" s="60">
        <v>67180000</v>
      </c>
      <c r="L7" s="6"/>
      <c r="M7" s="17"/>
      <c r="N7" s="101">
        <f t="shared" ref="N7" si="0">IF(F7&gt;0,K7,0)</f>
        <v>0</v>
      </c>
      <c r="O7" s="61">
        <f t="shared" ref="O7" si="1">K7+L7-M7-N7</f>
        <v>67180000</v>
      </c>
      <c r="P7" s="25">
        <v>0</v>
      </c>
      <c r="Q7" s="17"/>
      <c r="R7" s="30">
        <f t="shared" ref="R7" si="2">P7+Q7</f>
        <v>0</v>
      </c>
      <c r="S7" s="30">
        <f t="shared" ref="S7" si="3">IF(N7&gt;0,O7,O7-R7)</f>
        <v>67180000</v>
      </c>
      <c r="T7" s="20"/>
      <c r="U7" s="104"/>
      <c r="V7" s="26"/>
      <c r="W7" s="27"/>
      <c r="X7" s="87"/>
      <c r="Y7" s="87"/>
      <c r="Z7" s="26"/>
      <c r="AA7" s="87"/>
      <c r="AB7" s="26"/>
      <c r="AC7" s="87"/>
      <c r="AD7" s="26"/>
      <c r="AE7" s="26"/>
      <c r="AF7" s="28"/>
      <c r="AI7" s="19"/>
      <c r="AJ7" s="14"/>
      <c r="AK7" s="6"/>
      <c r="AL7" s="20"/>
      <c r="AM7" s="5"/>
    </row>
    <row r="8" spans="2:39" x14ac:dyDescent="0.3">
      <c r="B8" s="13"/>
      <c r="C8" s="57"/>
      <c r="D8" s="8"/>
      <c r="E8" s="52"/>
      <c r="F8" s="52"/>
      <c r="G8" s="52"/>
      <c r="H8" s="52"/>
      <c r="I8" s="6"/>
      <c r="J8" s="6"/>
      <c r="K8" s="60"/>
      <c r="L8" s="6"/>
      <c r="M8" s="17"/>
      <c r="N8" s="56"/>
      <c r="O8" s="61"/>
      <c r="P8" s="25"/>
      <c r="Q8" s="17"/>
      <c r="R8" s="30"/>
      <c r="S8" s="30"/>
      <c r="T8" s="20"/>
      <c r="U8" s="104"/>
      <c r="V8" s="26"/>
      <c r="W8" s="27"/>
      <c r="X8" s="87"/>
      <c r="Y8" s="87"/>
      <c r="Z8" s="26"/>
      <c r="AA8" s="27"/>
      <c r="AB8" s="26"/>
      <c r="AC8" s="27"/>
      <c r="AD8" s="26"/>
      <c r="AE8" s="27"/>
      <c r="AF8" s="28"/>
      <c r="AI8" s="19"/>
      <c r="AJ8" s="14"/>
      <c r="AK8" s="6"/>
      <c r="AL8" s="20"/>
      <c r="AM8" s="5"/>
    </row>
    <row r="9" spans="2:39" ht="14.25" thickBot="1" x14ac:dyDescent="0.35">
      <c r="B9" s="13"/>
      <c r="C9" s="57"/>
      <c r="D9" s="8"/>
      <c r="E9" s="52"/>
      <c r="F9" s="52"/>
      <c r="G9" s="52"/>
      <c r="H9" s="52"/>
      <c r="I9" s="6"/>
      <c r="J9" s="6"/>
      <c r="K9" s="60"/>
      <c r="L9" s="6"/>
      <c r="M9" s="17"/>
      <c r="N9" s="56"/>
      <c r="O9" s="61"/>
      <c r="P9" s="25"/>
      <c r="Q9" s="17"/>
      <c r="R9" s="30"/>
      <c r="S9" s="30"/>
      <c r="T9" s="20"/>
      <c r="U9" s="104"/>
      <c r="V9" s="26"/>
      <c r="W9" s="27"/>
      <c r="X9" s="87"/>
      <c r="Y9" s="87"/>
      <c r="Z9" s="26"/>
      <c r="AA9" s="27"/>
      <c r="AB9" s="26"/>
      <c r="AC9" s="27"/>
      <c r="AD9" s="26"/>
      <c r="AE9" s="27"/>
      <c r="AF9" s="28"/>
      <c r="AI9" s="19"/>
      <c r="AJ9" s="14"/>
      <c r="AK9" s="6"/>
      <c r="AL9" s="20"/>
      <c r="AM9" s="5"/>
    </row>
    <row r="10" spans="2:39" s="2" customFormat="1" ht="19.5" customHeight="1" thickBot="1" x14ac:dyDescent="0.35">
      <c r="B10" s="400" t="s">
        <v>161</v>
      </c>
      <c r="C10" s="401"/>
      <c r="D10" s="401"/>
      <c r="E10" s="401"/>
      <c r="F10" s="401"/>
      <c r="G10" s="401"/>
      <c r="H10" s="401"/>
      <c r="I10" s="401"/>
      <c r="J10" s="10"/>
      <c r="K10" s="63">
        <f t="shared" ref="K10:S10" si="4">SUM(K7:K9)</f>
        <v>67180000</v>
      </c>
      <c r="L10" s="36">
        <f t="shared" si="4"/>
        <v>0</v>
      </c>
      <c r="M10" s="37">
        <f t="shared" si="4"/>
        <v>0</v>
      </c>
      <c r="N10" s="11">
        <f t="shared" si="4"/>
        <v>0</v>
      </c>
      <c r="O10" s="64">
        <f t="shared" si="4"/>
        <v>67180000</v>
      </c>
      <c r="P10" s="63">
        <f t="shared" si="4"/>
        <v>0</v>
      </c>
      <c r="Q10" s="36">
        <f t="shared" si="4"/>
        <v>0</v>
      </c>
      <c r="R10" s="35">
        <f t="shared" si="4"/>
        <v>0</v>
      </c>
      <c r="S10" s="65">
        <f t="shared" si="4"/>
        <v>67180000</v>
      </c>
      <c r="T10" s="20"/>
      <c r="U10" s="88">
        <f t="shared" ref="U10:AF10" si="5">SUM(U7:U9)</f>
        <v>0</v>
      </c>
      <c r="V10" s="86">
        <f t="shared" si="5"/>
        <v>0</v>
      </c>
      <c r="W10" s="86">
        <f t="shared" si="5"/>
        <v>0</v>
      </c>
      <c r="X10" s="86">
        <f t="shared" si="5"/>
        <v>0</v>
      </c>
      <c r="Y10" s="86">
        <f t="shared" si="5"/>
        <v>0</v>
      </c>
      <c r="Z10" s="86">
        <f t="shared" si="5"/>
        <v>0</v>
      </c>
      <c r="AA10" s="86">
        <f t="shared" si="5"/>
        <v>0</v>
      </c>
      <c r="AB10" s="86">
        <f t="shared" si="5"/>
        <v>0</v>
      </c>
      <c r="AC10" s="86">
        <f t="shared" si="5"/>
        <v>0</v>
      </c>
      <c r="AD10" s="86">
        <f t="shared" si="5"/>
        <v>0</v>
      </c>
      <c r="AE10" s="86">
        <f t="shared" si="5"/>
        <v>0</v>
      </c>
      <c r="AF10" s="65">
        <f t="shared" si="5"/>
        <v>0</v>
      </c>
      <c r="AG10" s="1"/>
      <c r="AI10" s="40">
        <v>93858822</v>
      </c>
      <c r="AJ10" s="43">
        <v>16069948</v>
      </c>
      <c r="AK10" s="45">
        <f>AI10-S10</f>
        <v>26678822</v>
      </c>
      <c r="AL10" s="41">
        <f>AJ10-Q10</f>
        <v>16069948</v>
      </c>
    </row>
    <row r="11" spans="2:39" x14ac:dyDescent="0.3">
      <c r="AI11" s="1" t="s">
        <v>134</v>
      </c>
    </row>
  </sheetData>
  <mergeCells count="4">
    <mergeCell ref="B10:I10"/>
    <mergeCell ref="B5:B6"/>
    <mergeCell ref="AI5:AL5"/>
    <mergeCell ref="U5:AF5"/>
  </mergeCells>
  <phoneticPr fontId="2" type="noConversion"/>
  <pageMargins left="0.70866141732283472" right="0.70866141732283472" top="0.74803149606299213" bottom="0.74803149606299213" header="0.31496062992125984" footer="0.31496062992125984"/>
  <pageSetup paperSize="9" scale="2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이름이 지정된 범위</vt:lpstr>
      </vt:variant>
      <vt:variant>
        <vt:i4>8</vt:i4>
      </vt:variant>
    </vt:vector>
  </HeadingPairs>
  <TitlesOfParts>
    <vt:vector size="19" baseType="lpstr">
      <vt:lpstr>결산전표입력후BSP</vt:lpstr>
      <vt:lpstr>요약</vt:lpstr>
      <vt:lpstr>요약_변동내역</vt:lpstr>
      <vt:lpstr>▶유형자산</vt:lpstr>
      <vt:lpstr>차량</vt:lpstr>
      <vt:lpstr>비품</vt:lpstr>
      <vt:lpstr>시설장치</vt:lpstr>
      <vt:lpstr>▶무형자산</vt:lpstr>
      <vt:lpstr>소프트웨어</vt:lpstr>
      <vt:lpstr>상표권</vt:lpstr>
      <vt:lpstr>기타무형자산</vt:lpstr>
      <vt:lpstr>기타무형자산!Print_Area</vt:lpstr>
      <vt:lpstr>비품!Print_Area</vt:lpstr>
      <vt:lpstr>상표권!Print_Area</vt:lpstr>
      <vt:lpstr>소프트웨어!Print_Area</vt:lpstr>
      <vt:lpstr>요약!Print_Area</vt:lpstr>
      <vt:lpstr>차량!Print_Area</vt:lpstr>
      <vt:lpstr>비품!Print_Titles</vt:lpstr>
      <vt:lpstr>시설장치!Print_Titles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apro</dc:creator>
  <cp:lastModifiedBy>OK</cp:lastModifiedBy>
  <cp:lastPrinted>2023-09-25T04:34:49Z</cp:lastPrinted>
  <dcterms:created xsi:type="dcterms:W3CDTF">2022-03-31T05:02:04Z</dcterms:created>
  <dcterms:modified xsi:type="dcterms:W3CDTF">2026-05-06T03:54:51Z</dcterms:modified>
</cp:coreProperties>
</file>